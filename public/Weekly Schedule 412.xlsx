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il\j-app\public\"/>
    </mc:Choice>
  </mc:AlternateContent>
  <xr:revisionPtr revIDLastSave="0" documentId="13_ncr:1_{929D3E78-C532-4D0E-A6FB-A4792C083BEE}" xr6:coauthVersionLast="47" xr6:coauthVersionMax="47" xr10:uidLastSave="{00000000-0000-0000-0000-000000000000}"/>
  <bookViews>
    <workbookView xWindow="-120" yWindow="-120" windowWidth="38640" windowHeight="21120" activeTab="4" xr2:uid="{DA04CCEA-4F6E-4DFB-94CD-D9073283A380}"/>
  </bookViews>
  <sheets>
    <sheet name="Sheet1" sheetId="10" r:id="rId1"/>
    <sheet name="Active " sheetId="2" r:id="rId2"/>
    <sheet name="Sheet2" sheetId="21" r:id="rId3"/>
    <sheet name="Inactive" sheetId="3" r:id="rId4"/>
    <sheet name="Numbers 2026" sheetId="19" r:id="rId5"/>
    <sheet name="Numbers 2025" sheetId="16" r:id="rId6"/>
    <sheet name="Numbers 2024" sheetId="6" r:id="rId7"/>
    <sheet name="Numbers 2025 BEFORE CHANGES JUL" sheetId="11" r:id="rId8"/>
  </sheets>
  <definedNames>
    <definedName name="_xlnm._FilterDatabase" localSheetId="1" hidden="1">'Active '!$A$1:$J$1</definedName>
    <definedName name="_xlnm._FilterDatabase" localSheetId="6" hidden="1">'Numbers 2024'!$A$1:$K$1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2" i="2" l="1"/>
  <c r="F36" i="10"/>
  <c r="E36" i="10"/>
  <c r="F35" i="10"/>
  <c r="F34" i="10"/>
  <c r="E34" i="10"/>
  <c r="F33" i="10"/>
  <c r="E33" i="10"/>
  <c r="F32" i="10"/>
  <c r="E32" i="10"/>
  <c r="F31" i="10"/>
  <c r="E31" i="10"/>
  <c r="F30" i="10"/>
  <c r="F29" i="10"/>
  <c r="F28" i="10"/>
  <c r="F27" i="10"/>
  <c r="E35" i="2"/>
  <c r="D35" i="2"/>
  <c r="B1" i="10"/>
  <c r="J15" i="19"/>
  <c r="F15" i="19"/>
  <c r="D28" i="2"/>
  <c r="D24" i="2"/>
  <c r="B2" i="10"/>
  <c r="J13" i="19"/>
  <c r="J14" i="19"/>
  <c r="J12" i="19"/>
  <c r="F14" i="19"/>
  <c r="F13" i="19"/>
  <c r="F12" i="19"/>
  <c r="D22" i="2"/>
  <c r="D20" i="2"/>
  <c r="E20" i="2"/>
  <c r="I56" i="19"/>
  <c r="J56" i="19"/>
  <c r="C2" i="10"/>
  <c r="J11" i="19"/>
  <c r="F11" i="19"/>
  <c r="F56" i="19"/>
  <c r="D2" i="10" s="1"/>
  <c r="F2" i="10" s="1"/>
  <c r="J10" i="19"/>
  <c r="J9" i="19"/>
  <c r="J8" i="19"/>
  <c r="F10" i="19"/>
  <c r="F9" i="19"/>
  <c r="F8" i="19"/>
  <c r="D23" i="2"/>
  <c r="D21" i="2"/>
  <c r="E12" i="21"/>
  <c r="D12" i="21"/>
  <c r="E11" i="21"/>
  <c r="D11" i="21"/>
  <c r="E10" i="21"/>
  <c r="E9" i="21"/>
  <c r="D9" i="21"/>
  <c r="E8" i="21"/>
  <c r="E7" i="21"/>
  <c r="D7" i="21"/>
  <c r="E6" i="21"/>
  <c r="D6" i="21"/>
  <c r="E5" i="21"/>
  <c r="D5" i="21"/>
  <c r="E4" i="21"/>
  <c r="D4" i="21"/>
  <c r="E3" i="21"/>
  <c r="E2" i="21"/>
  <c r="D25" i="2"/>
  <c r="D30" i="2"/>
  <c r="D17" i="2"/>
  <c r="D27" i="2"/>
  <c r="D16" i="2"/>
  <c r="J7" i="19"/>
  <c r="F7" i="19"/>
  <c r="F26" i="10"/>
  <c r="F25" i="10"/>
  <c r="F24" i="10"/>
  <c r="F23" i="10"/>
  <c r="F22" i="10"/>
  <c r="F21" i="10"/>
  <c r="F20" i="10"/>
  <c r="J6" i="19"/>
  <c r="F6" i="19"/>
  <c r="J5" i="19"/>
  <c r="F5" i="19"/>
  <c r="J4" i="19"/>
  <c r="F4" i="19"/>
  <c r="F3" i="19"/>
  <c r="H56" i="19"/>
  <c r="D56" i="19"/>
  <c r="E56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3" i="19"/>
  <c r="F3" i="16"/>
  <c r="C3" i="19"/>
  <c r="K55" i="19"/>
  <c r="C55" i="19"/>
  <c r="K54" i="19"/>
  <c r="C54" i="19"/>
  <c r="K53" i="19"/>
  <c r="C53" i="19"/>
  <c r="K52" i="19"/>
  <c r="C52" i="19"/>
  <c r="K51" i="19"/>
  <c r="C51" i="19"/>
  <c r="K50" i="19"/>
  <c r="C50" i="19"/>
  <c r="K49" i="19"/>
  <c r="C49" i="19"/>
  <c r="K48" i="19"/>
  <c r="C48" i="19"/>
  <c r="K47" i="19"/>
  <c r="C47" i="19"/>
  <c r="K46" i="19"/>
  <c r="C46" i="19"/>
  <c r="K45" i="19"/>
  <c r="C45" i="19"/>
  <c r="K44" i="19"/>
  <c r="C44" i="19"/>
  <c r="K43" i="19"/>
  <c r="C43" i="19"/>
  <c r="K42" i="19"/>
  <c r="C42" i="19"/>
  <c r="K41" i="19"/>
  <c r="C41" i="19"/>
  <c r="K40" i="19"/>
  <c r="C40" i="19"/>
  <c r="K39" i="19"/>
  <c r="C39" i="19"/>
  <c r="K38" i="19"/>
  <c r="C38" i="19"/>
  <c r="K37" i="19"/>
  <c r="C37" i="19"/>
  <c r="K36" i="19"/>
  <c r="C36" i="19"/>
  <c r="K35" i="19"/>
  <c r="C35" i="19"/>
  <c r="K34" i="19"/>
  <c r="C34" i="19"/>
  <c r="K33" i="19"/>
  <c r="C33" i="19"/>
  <c r="K32" i="19"/>
  <c r="C32" i="19"/>
  <c r="K31" i="19"/>
  <c r="C31" i="19"/>
  <c r="K30" i="19"/>
  <c r="C30" i="19"/>
  <c r="K29" i="19"/>
  <c r="C29" i="19"/>
  <c r="K28" i="19"/>
  <c r="C28" i="19"/>
  <c r="K27" i="19"/>
  <c r="C27" i="19"/>
  <c r="K26" i="19"/>
  <c r="C26" i="19"/>
  <c r="K25" i="19"/>
  <c r="C25" i="19"/>
  <c r="K24" i="19"/>
  <c r="C24" i="19"/>
  <c r="K23" i="19"/>
  <c r="C23" i="19"/>
  <c r="K22" i="19"/>
  <c r="C22" i="19"/>
  <c r="K21" i="19"/>
  <c r="C21" i="19"/>
  <c r="K20" i="19"/>
  <c r="C20" i="19"/>
  <c r="K19" i="19"/>
  <c r="C19" i="19"/>
  <c r="K18" i="19"/>
  <c r="C18" i="19"/>
  <c r="K17" i="19"/>
  <c r="C17" i="19"/>
  <c r="K16" i="19"/>
  <c r="C16" i="19"/>
  <c r="K15" i="19"/>
  <c r="C15" i="19"/>
  <c r="K14" i="19"/>
  <c r="C14" i="19"/>
  <c r="K13" i="19"/>
  <c r="C13" i="19"/>
  <c r="K12" i="19"/>
  <c r="C12" i="19"/>
  <c r="K11" i="19"/>
  <c r="C11" i="19"/>
  <c r="K10" i="19"/>
  <c r="C10" i="19"/>
  <c r="K9" i="19"/>
  <c r="C9" i="19"/>
  <c r="K8" i="19"/>
  <c r="C8" i="19"/>
  <c r="K7" i="19"/>
  <c r="C7" i="19"/>
  <c r="K6" i="19"/>
  <c r="C6" i="19"/>
  <c r="K5" i="19"/>
  <c r="C5" i="19"/>
  <c r="K4" i="19"/>
  <c r="C4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K3" i="19"/>
  <c r="J3" i="19"/>
  <c r="K56" i="19"/>
  <c r="K56" i="16"/>
  <c r="K55" i="16"/>
  <c r="D19" i="2"/>
  <c r="I56" i="16"/>
  <c r="F55" i="16"/>
  <c r="G55" i="16"/>
  <c r="E56" i="16"/>
  <c r="F54" i="16"/>
  <c r="G54" i="16"/>
  <c r="F53" i="16"/>
  <c r="G53" i="16"/>
  <c r="J55" i="16"/>
  <c r="J56" i="16"/>
  <c r="J54" i="16"/>
  <c r="J53" i="16"/>
  <c r="B55" i="16"/>
  <c r="C55" i="16"/>
  <c r="G51" i="16"/>
  <c r="C56" i="16"/>
  <c r="J52" i="16"/>
  <c r="F52" i="16"/>
  <c r="F56" i="16"/>
  <c r="D33" i="2"/>
  <c r="D14" i="2"/>
  <c r="J51" i="16"/>
  <c r="F51" i="16"/>
  <c r="J50" i="16"/>
  <c r="F50" i="16"/>
  <c r="J49" i="16"/>
  <c r="F49" i="16"/>
  <c r="J48" i="16"/>
  <c r="F48" i="16"/>
  <c r="J47" i="16"/>
  <c r="F47" i="16"/>
  <c r="J46" i="16"/>
  <c r="F46" i="16"/>
  <c r="J45" i="16"/>
  <c r="F45" i="16"/>
  <c r="J44" i="16"/>
  <c r="F44" i="16"/>
  <c r="F43" i="16"/>
  <c r="J43" i="16"/>
  <c r="D15" i="2"/>
  <c r="J42" i="16"/>
  <c r="F42" i="16"/>
  <c r="D34" i="2"/>
  <c r="E34" i="2"/>
  <c r="J41" i="16"/>
  <c r="F41" i="16"/>
  <c r="N56" i="16"/>
  <c r="J40" i="16"/>
  <c r="F40" i="16"/>
  <c r="J39" i="16"/>
  <c r="F39" i="16"/>
  <c r="J38" i="16"/>
  <c r="F38" i="16"/>
  <c r="J37" i="16"/>
  <c r="F37" i="16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F36" i="16"/>
  <c r="F35" i="16"/>
  <c r="D29" i="2"/>
  <c r="F34" i="16"/>
  <c r="F33" i="16"/>
  <c r="F32" i="16"/>
  <c r="F31" i="16"/>
  <c r="F30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3" i="16"/>
  <c r="D56" i="16"/>
  <c r="K54" i="16"/>
  <c r="K53" i="16"/>
  <c r="K52" i="16"/>
  <c r="G52" i="16"/>
  <c r="K51" i="16"/>
  <c r="K50" i="16"/>
  <c r="G50" i="16"/>
  <c r="K49" i="16"/>
  <c r="G49" i="16"/>
  <c r="K48" i="16"/>
  <c r="G48" i="16"/>
  <c r="K47" i="16"/>
  <c r="G47" i="16"/>
  <c r="K46" i="16"/>
  <c r="G46" i="16"/>
  <c r="K45" i="16"/>
  <c r="G45" i="16"/>
  <c r="K44" i="16"/>
  <c r="G44" i="16"/>
  <c r="K43" i="16"/>
  <c r="G43" i="16"/>
  <c r="K42" i="16"/>
  <c r="G42" i="16"/>
  <c r="K41" i="16"/>
  <c r="G41" i="16"/>
  <c r="K40" i="16"/>
  <c r="G40" i="16"/>
  <c r="K39" i="16"/>
  <c r="G39" i="16"/>
  <c r="K38" i="16"/>
  <c r="G38" i="16"/>
  <c r="K37" i="16"/>
  <c r="G37" i="16"/>
  <c r="K36" i="16"/>
  <c r="G36" i="16"/>
  <c r="K35" i="16"/>
  <c r="G35" i="16"/>
  <c r="K34" i="16"/>
  <c r="G34" i="16"/>
  <c r="K33" i="16"/>
  <c r="G33" i="16"/>
  <c r="K32" i="16"/>
  <c r="G32" i="16"/>
  <c r="K31" i="16"/>
  <c r="G31" i="16"/>
  <c r="K30" i="16"/>
  <c r="G30" i="16"/>
  <c r="K29" i="16"/>
  <c r="G29" i="16"/>
  <c r="F29" i="16"/>
  <c r="K28" i="16"/>
  <c r="G28" i="16"/>
  <c r="F28" i="16"/>
  <c r="K27" i="16"/>
  <c r="G27" i="16"/>
  <c r="F27" i="16"/>
  <c r="K26" i="16"/>
  <c r="G26" i="16"/>
  <c r="F26" i="16"/>
  <c r="K25" i="16"/>
  <c r="G25" i="16"/>
  <c r="F25" i="16"/>
  <c r="K24" i="16"/>
  <c r="G24" i="16"/>
  <c r="F24" i="16"/>
  <c r="K23" i="16"/>
  <c r="G23" i="16"/>
  <c r="F23" i="16"/>
  <c r="K22" i="16"/>
  <c r="G22" i="16"/>
  <c r="F22" i="16"/>
  <c r="K21" i="16"/>
  <c r="G21" i="16"/>
  <c r="F21" i="16"/>
  <c r="K20" i="16"/>
  <c r="G20" i="16"/>
  <c r="F20" i="16"/>
  <c r="K19" i="16"/>
  <c r="G19" i="16"/>
  <c r="F19" i="16"/>
  <c r="K18" i="16"/>
  <c r="G18" i="16"/>
  <c r="F18" i="16"/>
  <c r="K17" i="16"/>
  <c r="G17" i="16"/>
  <c r="F17" i="16"/>
  <c r="K16" i="16"/>
  <c r="G16" i="16"/>
  <c r="F16" i="16"/>
  <c r="K15" i="16"/>
  <c r="G15" i="16"/>
  <c r="F15" i="16"/>
  <c r="K14" i="16"/>
  <c r="G14" i="16"/>
  <c r="F14" i="16"/>
  <c r="K13" i="16"/>
  <c r="G13" i="16"/>
  <c r="F13" i="16"/>
  <c r="K12" i="16"/>
  <c r="G12" i="16"/>
  <c r="F12" i="16"/>
  <c r="K11" i="16"/>
  <c r="G11" i="16"/>
  <c r="F11" i="16"/>
  <c r="K10" i="16"/>
  <c r="G10" i="16"/>
  <c r="F10" i="16"/>
  <c r="K9" i="16"/>
  <c r="G9" i="16"/>
  <c r="F9" i="16"/>
  <c r="K8" i="16"/>
  <c r="G8" i="16"/>
  <c r="F8" i="16"/>
  <c r="K7" i="16"/>
  <c r="G7" i="16"/>
  <c r="F7" i="16"/>
  <c r="K6" i="16"/>
  <c r="G6" i="16"/>
  <c r="F6" i="16"/>
  <c r="K5" i="16"/>
  <c r="G5" i="16"/>
  <c r="F5" i="16"/>
  <c r="K4" i="16"/>
  <c r="G4" i="16"/>
  <c r="F4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K3" i="16"/>
  <c r="G3" i="16"/>
  <c r="F29" i="11"/>
  <c r="L29" i="11"/>
  <c r="M29" i="11"/>
  <c r="J28" i="11"/>
  <c r="F28" i="11"/>
  <c r="L28" i="11"/>
  <c r="M28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3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J25" i="11"/>
  <c r="J26" i="11"/>
  <c r="J27" i="11"/>
  <c r="J24" i="11"/>
  <c r="F27" i="11"/>
  <c r="F26" i="11"/>
  <c r="F25" i="11"/>
  <c r="F24" i="11"/>
  <c r="J23" i="11"/>
  <c r="F23" i="11"/>
  <c r="G23" i="11"/>
  <c r="G22" i="11"/>
  <c r="J22" i="11"/>
  <c r="F22" i="11"/>
  <c r="J21" i="11"/>
  <c r="F21" i="11"/>
  <c r="J20" i="11"/>
  <c r="F20" i="11"/>
  <c r="J19" i="11"/>
  <c r="F19" i="11"/>
  <c r="J18" i="11"/>
  <c r="F18" i="11"/>
  <c r="J17" i="11"/>
  <c r="F17" i="11"/>
  <c r="J16" i="11"/>
  <c r="F16" i="11"/>
  <c r="J15" i="11"/>
  <c r="F15" i="11"/>
  <c r="E36" i="2"/>
  <c r="D55" i="11"/>
  <c r="J14" i="11"/>
  <c r="K14" i="11"/>
  <c r="F14" i="11"/>
  <c r="J13" i="11"/>
  <c r="J12" i="11"/>
  <c r="F13" i="11"/>
  <c r="F12" i="11"/>
  <c r="J11" i="11"/>
  <c r="F11" i="11"/>
  <c r="E55" i="11"/>
  <c r="J9" i="11"/>
  <c r="J10" i="11"/>
  <c r="F10" i="11"/>
  <c r="E19" i="2"/>
  <c r="E33" i="2"/>
  <c r="E7" i="2"/>
  <c r="E26" i="2"/>
  <c r="D26" i="2"/>
  <c r="C4" i="11"/>
  <c r="C3" i="11"/>
  <c r="C55" i="11"/>
  <c r="F9" i="11"/>
  <c r="E18" i="2"/>
  <c r="J8" i="11"/>
  <c r="F8" i="11"/>
  <c r="J7" i="11"/>
  <c r="F7" i="11"/>
  <c r="J6" i="11"/>
  <c r="F6" i="11"/>
  <c r="J5" i="11"/>
  <c r="F5" i="11"/>
  <c r="E21" i="2"/>
  <c r="J4" i="11"/>
  <c r="F4" i="11"/>
  <c r="F55" i="11"/>
  <c r="C51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2" i="11"/>
  <c r="C53" i="11"/>
  <c r="C54" i="11"/>
  <c r="C5" i="11"/>
  <c r="I55" i="11"/>
  <c r="K54" i="11"/>
  <c r="G54" i="11"/>
  <c r="K53" i="11"/>
  <c r="G53" i="11"/>
  <c r="K52" i="11"/>
  <c r="G52" i="11"/>
  <c r="K51" i="11"/>
  <c r="G51" i="11"/>
  <c r="K50" i="11"/>
  <c r="G50" i="11"/>
  <c r="K49" i="11"/>
  <c r="G49" i="11"/>
  <c r="K48" i="11"/>
  <c r="G48" i="11"/>
  <c r="K47" i="11"/>
  <c r="G47" i="11"/>
  <c r="K46" i="11"/>
  <c r="G46" i="11"/>
  <c r="K45" i="11"/>
  <c r="G45" i="11"/>
  <c r="K44" i="11"/>
  <c r="G44" i="11"/>
  <c r="K43" i="11"/>
  <c r="G43" i="11"/>
  <c r="K42" i="11"/>
  <c r="G42" i="11"/>
  <c r="K41" i="11"/>
  <c r="G41" i="11"/>
  <c r="K40" i="11"/>
  <c r="G40" i="11"/>
  <c r="K39" i="11"/>
  <c r="G39" i="11"/>
  <c r="K38" i="11"/>
  <c r="G38" i="11"/>
  <c r="K37" i="11"/>
  <c r="G37" i="11"/>
  <c r="K36" i="11"/>
  <c r="G36" i="11"/>
  <c r="K35" i="11"/>
  <c r="G35" i="11"/>
  <c r="K34" i="11"/>
  <c r="G34" i="11"/>
  <c r="K33" i="11"/>
  <c r="G33" i="11"/>
  <c r="K32" i="11"/>
  <c r="G32" i="11"/>
  <c r="K31" i="11"/>
  <c r="G31" i="11"/>
  <c r="K30" i="11"/>
  <c r="G30" i="11"/>
  <c r="K29" i="11"/>
  <c r="G29" i="11"/>
  <c r="K28" i="11"/>
  <c r="G28" i="11"/>
  <c r="K27" i="11"/>
  <c r="G27" i="11"/>
  <c r="K26" i="11"/>
  <c r="G26" i="11"/>
  <c r="K25" i="11"/>
  <c r="G25" i="11"/>
  <c r="K24" i="11"/>
  <c r="G24" i="11"/>
  <c r="K23" i="11"/>
  <c r="K22" i="11"/>
  <c r="K21" i="11"/>
  <c r="G21" i="11"/>
  <c r="K20" i="11"/>
  <c r="G20" i="11"/>
  <c r="K19" i="11"/>
  <c r="G19" i="11"/>
  <c r="K18" i="11"/>
  <c r="G18" i="11"/>
  <c r="K17" i="11"/>
  <c r="G17" i="11"/>
  <c r="K16" i="11"/>
  <c r="G16" i="11"/>
  <c r="K15" i="11"/>
  <c r="G15" i="11"/>
  <c r="G14" i="11"/>
  <c r="K13" i="11"/>
  <c r="G13" i="11"/>
  <c r="K12" i="11"/>
  <c r="G12" i="11"/>
  <c r="K11" i="11"/>
  <c r="G11" i="11"/>
  <c r="K10" i="11"/>
  <c r="G10" i="11"/>
  <c r="K9" i="11"/>
  <c r="G9" i="11"/>
  <c r="K8" i="11"/>
  <c r="G8" i="11"/>
  <c r="K7" i="11"/>
  <c r="G7" i="11"/>
  <c r="K6" i="11"/>
  <c r="G6" i="11"/>
  <c r="K5" i="11"/>
  <c r="G5" i="11"/>
  <c r="K4" i="11"/>
  <c r="G4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K3" i="11"/>
  <c r="J3" i="11"/>
  <c r="G3" i="11"/>
  <c r="F3" i="11"/>
  <c r="J49" i="6"/>
  <c r="J50" i="6"/>
  <c r="J51" i="6"/>
  <c r="J52" i="6"/>
  <c r="J53" i="6"/>
  <c r="J48" i="6"/>
  <c r="F49" i="6"/>
  <c r="F50" i="6"/>
  <c r="F51" i="6"/>
  <c r="F52" i="6"/>
  <c r="F53" i="6"/>
  <c r="F48" i="6"/>
  <c r="E15" i="2"/>
  <c r="J47" i="6"/>
  <c r="F47" i="6"/>
  <c r="J46" i="6"/>
  <c r="F46" i="6"/>
  <c r="J45" i="6"/>
  <c r="F45" i="6"/>
  <c r="J44" i="6"/>
  <c r="F44" i="6"/>
  <c r="J43" i="6"/>
  <c r="J42" i="6"/>
  <c r="J41" i="6"/>
  <c r="J40" i="6"/>
  <c r="F43" i="6"/>
  <c r="F42" i="6"/>
  <c r="F41" i="6"/>
  <c r="F40" i="6"/>
  <c r="J39" i="6"/>
  <c r="J38" i="6"/>
  <c r="F39" i="6"/>
  <c r="F38" i="6"/>
  <c r="J37" i="6"/>
  <c r="J36" i="6"/>
  <c r="F37" i="6"/>
  <c r="F36" i="6"/>
  <c r="J35" i="6"/>
  <c r="F35" i="6"/>
  <c r="J34" i="6"/>
  <c r="F34" i="6"/>
  <c r="J31" i="6"/>
  <c r="J32" i="6"/>
  <c r="J33" i="6"/>
  <c r="F32" i="6"/>
  <c r="F33" i="6"/>
  <c r="F31" i="6"/>
  <c r="J30" i="6"/>
  <c r="F30" i="6"/>
  <c r="J24" i="6"/>
  <c r="J25" i="6"/>
  <c r="J26" i="6"/>
  <c r="J27" i="6"/>
  <c r="J28" i="6"/>
  <c r="J29" i="6"/>
  <c r="J23" i="6"/>
  <c r="F24" i="6"/>
  <c r="F25" i="6"/>
  <c r="F26" i="6"/>
  <c r="F27" i="6"/>
  <c r="F28" i="6"/>
  <c r="F29" i="6"/>
  <c r="F23" i="6"/>
  <c r="E11" i="2"/>
  <c r="E5" i="2"/>
  <c r="J22" i="6"/>
  <c r="F22" i="6"/>
  <c r="J21" i="6"/>
  <c r="J20" i="6"/>
  <c r="F21" i="6"/>
  <c r="F20" i="6"/>
  <c r="J19" i="6"/>
  <c r="F19" i="6"/>
  <c r="J18" i="6"/>
  <c r="J17" i="6"/>
  <c r="J16" i="6"/>
  <c r="F18" i="6"/>
  <c r="F17" i="6"/>
  <c r="F16" i="6"/>
  <c r="F15" i="6"/>
  <c r="J13" i="6"/>
  <c r="J14" i="6"/>
  <c r="J15" i="6"/>
  <c r="J12" i="6"/>
  <c r="F12" i="6"/>
  <c r="F13" i="6"/>
  <c r="F14" i="6"/>
  <c r="F11" i="6"/>
  <c r="E4" i="2"/>
  <c r="J11" i="6"/>
  <c r="J10" i="6"/>
  <c r="J9" i="6"/>
  <c r="F10" i="6"/>
  <c r="F9" i="6"/>
  <c r="J55" i="6"/>
  <c r="I55" i="6"/>
  <c r="C55" i="6"/>
  <c r="J8" i="6"/>
  <c r="F8" i="6"/>
  <c r="J7" i="6"/>
  <c r="F7" i="6"/>
  <c r="E16" i="2"/>
  <c r="J5" i="6"/>
  <c r="J6" i="6"/>
  <c r="F5" i="6"/>
  <c r="F6" i="6"/>
  <c r="J4" i="6"/>
  <c r="F4" i="6"/>
  <c r="F55" i="6"/>
  <c r="J3" i="6"/>
  <c r="F3" i="6"/>
  <c r="K52" i="6"/>
  <c r="K53" i="6"/>
  <c r="F2" i="6"/>
  <c r="J2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E55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D55" i="6"/>
  <c r="C56" i="6"/>
  <c r="D56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E6" i="2"/>
  <c r="E27" i="2"/>
  <c r="E13" i="2"/>
  <c r="E31" i="2"/>
  <c r="E39" i="2"/>
  <c r="E8" i="2"/>
  <c r="E37" i="2"/>
  <c r="E23" i="2"/>
  <c r="E9" i="2"/>
  <c r="E32" i="2"/>
  <c r="E12" i="2"/>
  <c r="E25" i="2"/>
  <c r="E14" i="2"/>
  <c r="E28" i="2"/>
  <c r="E3" i="2"/>
  <c r="E24" i="2"/>
  <c r="E22" i="2"/>
  <c r="E38" i="2"/>
  <c r="E29" i="2"/>
  <c r="E30" i="2"/>
  <c r="E10" i="2"/>
  <c r="E17" i="2"/>
  <c r="D31" i="2"/>
  <c r="K55" i="6"/>
  <c r="G55" i="6"/>
  <c r="J55" i="11"/>
  <c r="K55" i="11"/>
  <c r="G55" i="11"/>
  <c r="G56" i="16"/>
  <c r="C56" i="19"/>
  <c r="G56" i="19" l="1"/>
  <c r="E2" i="10" s="1"/>
</calcChain>
</file>

<file path=xl/sharedStrings.xml><?xml version="1.0" encoding="utf-8"?>
<sst xmlns="http://schemas.openxmlformats.org/spreadsheetml/2006/main" count="878" uniqueCount="260">
  <si>
    <t>Monday</t>
  </si>
  <si>
    <t>Tuesday</t>
  </si>
  <si>
    <t>Wednesday</t>
  </si>
  <si>
    <t>Thursday</t>
  </si>
  <si>
    <t>Friday</t>
  </si>
  <si>
    <t>Mira Grocery Llc            (Blitz)</t>
  </si>
  <si>
    <t>Fresh Grocer 144</t>
  </si>
  <si>
    <t>Ron's Deli &amp; Pastries     (Blitz)</t>
  </si>
  <si>
    <t>7 Eleven 11455</t>
  </si>
  <si>
    <t>Torres Market Llc       (F9)</t>
  </si>
  <si>
    <t>Sara Velasquez C 2/10/06  (F9)</t>
  </si>
  <si>
    <t>Cust #</t>
  </si>
  <si>
    <t>Customer Name</t>
  </si>
  <si>
    <t>Delivered at</t>
  </si>
  <si>
    <t>Visit</t>
  </si>
  <si>
    <t>Days</t>
  </si>
  <si>
    <t>PAID</t>
  </si>
  <si>
    <t xml:space="preserve">Biweekly </t>
  </si>
  <si>
    <t>Weekly</t>
  </si>
  <si>
    <t>Daily</t>
  </si>
  <si>
    <t>Rahway Garden Farm</t>
  </si>
  <si>
    <t>Wal-Mart 3469</t>
  </si>
  <si>
    <t>Wal-Mart 3469 Frozen</t>
  </si>
  <si>
    <t>Orlando Mendez</t>
  </si>
  <si>
    <t>Fresh Grocer 144 Frozen</t>
  </si>
  <si>
    <t>Key Food 2602              074298</t>
  </si>
  <si>
    <t>Stop &amp; Shop 857</t>
  </si>
  <si>
    <t>Kings Market 3620</t>
  </si>
  <si>
    <t>Kings Market 3620 Frozen</t>
  </si>
  <si>
    <t>Shop Rite 162</t>
  </si>
  <si>
    <t>Shop Rite 162 Frozen</t>
  </si>
  <si>
    <t>Address</t>
  </si>
  <si>
    <t>City</t>
  </si>
  <si>
    <t>Order Frequency</t>
  </si>
  <si>
    <t>Pay</t>
  </si>
  <si>
    <t>1265 Saint George Ave</t>
  </si>
  <si>
    <t>Colonia</t>
  </si>
  <si>
    <t>Call/Monthly</t>
  </si>
  <si>
    <t>Monthly</t>
  </si>
  <si>
    <t>567 4Th Ave       1St Fl</t>
  </si>
  <si>
    <t>Elizabeth</t>
  </si>
  <si>
    <t>Newark</t>
  </si>
  <si>
    <t>CIA</t>
  </si>
  <si>
    <t>134 5Th St</t>
  </si>
  <si>
    <t>454 1St Ave</t>
  </si>
  <si>
    <t>863 E Jersey St</t>
  </si>
  <si>
    <t>714 E Jersey St</t>
  </si>
  <si>
    <t>Dollar General 16678</t>
  </si>
  <si>
    <t>801 Livingston St</t>
  </si>
  <si>
    <t>Medina Liquors             (Blitz)</t>
  </si>
  <si>
    <t>709 E Jersey St</t>
  </si>
  <si>
    <t>Biweekly</t>
  </si>
  <si>
    <t>Sazon Dominicano Latin American</t>
  </si>
  <si>
    <t>380 saint georges ave</t>
  </si>
  <si>
    <t>Rahway</t>
  </si>
  <si>
    <t>La Poderosa Grocery</t>
  </si>
  <si>
    <t>882 Anna st</t>
  </si>
  <si>
    <t>Neighbor Mini Market 2 Llc (Blitz)</t>
  </si>
  <si>
    <t>561 Magnolia Ave</t>
  </si>
  <si>
    <t>Rahway Minimart Corp        (Blitz)</t>
  </si>
  <si>
    <t>297 W Grand Ave</t>
  </si>
  <si>
    <t>L&amp;N Grocery Llc              (F9)</t>
  </si>
  <si>
    <t>501 E. Jersey St</t>
  </si>
  <si>
    <t>Mozzarepas/ Leon &amp; CO Food services`</t>
  </si>
  <si>
    <t>6 Washignton st</t>
  </si>
  <si>
    <t>Clark</t>
  </si>
  <si>
    <t>Alejandro Flores     5/11/07</t>
  </si>
  <si>
    <t>1534 Irving St</t>
  </si>
  <si>
    <t>El Almacen Mexicano</t>
  </si>
  <si>
    <t>1586 Irving St</t>
  </si>
  <si>
    <t>Rankin St Deli Llc        (Blitz)</t>
  </si>
  <si>
    <t>48 Rankin St</t>
  </si>
  <si>
    <t>1050 St George Ave</t>
  </si>
  <si>
    <t>Reys Mini Market V Llc</t>
  </si>
  <si>
    <t>462 Franklin St</t>
  </si>
  <si>
    <t>Rio Via Supermarket Corp</t>
  </si>
  <si>
    <t>562 S. Park St</t>
  </si>
  <si>
    <t>Recuerdame Bonito Mexico</t>
  </si>
  <si>
    <t>407 South ave W</t>
  </si>
  <si>
    <t>Westfield</t>
  </si>
  <si>
    <t>Jose Miguel Medina C12/29/00   (F9)</t>
  </si>
  <si>
    <t>513 E Jersey St</t>
  </si>
  <si>
    <t>Pankag Patel (F) (C)10/95</t>
  </si>
  <si>
    <t>301 South Ave East</t>
  </si>
  <si>
    <t>CALL</t>
  </si>
  <si>
    <t>Maminga Grocery &amp; Deli Corp (Blitz)</t>
  </si>
  <si>
    <t>400 Elizabeth Ave</t>
  </si>
  <si>
    <t>Cakes By Ligia Limited Liability</t>
  </si>
  <si>
    <t>8 Eastman St</t>
  </si>
  <si>
    <t>Cranford</t>
  </si>
  <si>
    <t>Asgp Party Supplies Llc</t>
  </si>
  <si>
    <t>736 W Grand Ave</t>
  </si>
  <si>
    <t>Elizabeth Mini Market Llc  (Blitz)</t>
  </si>
  <si>
    <t>430 Elizabeth Ave</t>
  </si>
  <si>
    <t>944 18Th Ave</t>
  </si>
  <si>
    <t>Dollar Zone</t>
  </si>
  <si>
    <t>860 W Edgar Rd</t>
  </si>
  <si>
    <t>Linden</t>
  </si>
  <si>
    <t>510 Inman Ave</t>
  </si>
  <si>
    <t>DD</t>
  </si>
  <si>
    <t>Fresh Grocer 144 Dairy</t>
  </si>
  <si>
    <t>Fresh Grocer 144 Deli</t>
  </si>
  <si>
    <t>2325 Elizabeth Ave</t>
  </si>
  <si>
    <t>200 South Ave</t>
  </si>
  <si>
    <t>Garwood</t>
  </si>
  <si>
    <t>547 Elizabeth Ave</t>
  </si>
  <si>
    <t>511 North</t>
  </si>
  <si>
    <t>Shop Rite 162 Deli</t>
  </si>
  <si>
    <t>511 North Ave.</t>
  </si>
  <si>
    <t>Shop Rite 162 Direct</t>
  </si>
  <si>
    <t>511 North Ave</t>
  </si>
  <si>
    <t>219 Elm St</t>
  </si>
  <si>
    <t>Stop &amp; Shop 857 Deli</t>
  </si>
  <si>
    <t>1000 W Edgar Rd</t>
  </si>
  <si>
    <t>1000 Edgar Rd</t>
  </si>
  <si>
    <t>Week</t>
  </si>
  <si>
    <t>Weekly Quota</t>
  </si>
  <si>
    <t>Dif. Dollars</t>
  </si>
  <si>
    <t>% Chg.</t>
  </si>
  <si>
    <t>Diff Cases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</si>
  <si>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</si>
  <si>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</si>
  <si>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</si>
  <si>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</si>
  <si>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</si>
  <si>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</si>
  <si>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</si>
  <si>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</si>
  <si>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</si>
  <si>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</si>
  <si>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</si>
  <si>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</si>
  <si>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</si>
  <si>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</si>
  <si>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</si>
  <si>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</si>
  <si>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</si>
  <si>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</si>
  <si>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</si>
  <si>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</si>
  <si>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</si>
  <si>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</si>
  <si>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</si>
  <si>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</si>
  <si>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</si>
  <si>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</si>
  <si>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</si>
  <si>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</si>
  <si>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</si>
  <si>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</si>
  <si>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</si>
  <si>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</si>
  <si>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</si>
  <si>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</si>
  <si>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</si>
  <si>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</si>
  <si>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</si>
  <si>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</si>
  <si>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</si>
  <si>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</si>
  <si>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</si>
  <si>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</si>
  <si>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</si>
  <si>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</si>
  <si>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</si>
  <si>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</si>
  <si>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</si>
  <si>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</si>
  <si>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</si>
  <si>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</si>
  <si>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</si>
  <si>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</si>
  <si>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Average</t>
  </si>
  <si>
    <t>Customer</t>
  </si>
  <si>
    <t>742981</t>
  </si>
  <si>
    <t>Universal Meat Mkt      (Closed)</t>
  </si>
  <si>
    <t>2325 Elizabeth Ave (No Del After 12</t>
  </si>
  <si>
    <t>Closed</t>
  </si>
  <si>
    <t>756082</t>
  </si>
  <si>
    <t>Kings Market 43</t>
  </si>
  <si>
    <t>Changed Customer#</t>
  </si>
  <si>
    <t>738240</t>
  </si>
  <si>
    <t>Sime-S Marekt Llc          (Blitz)</t>
  </si>
  <si>
    <t>243 Stuyvesant Ave</t>
  </si>
  <si>
    <t>Closing</t>
  </si>
  <si>
    <t>737890</t>
  </si>
  <si>
    <t>Dario Rivas C 1/6/06   Bd 7/29/2021</t>
  </si>
  <si>
    <t>89 Brookdale Ave</t>
  </si>
  <si>
    <t>Owner Sold</t>
  </si>
  <si>
    <t>730400</t>
  </si>
  <si>
    <t>Alex Supermarket Corp        (F9)</t>
  </si>
  <si>
    <t>1140 Broad St</t>
  </si>
  <si>
    <t>756083</t>
  </si>
  <si>
    <t>Kings Market 43 Frozen</t>
  </si>
  <si>
    <t>737510</t>
  </si>
  <si>
    <t>Ramon Velez     9/14/07</t>
  </si>
  <si>
    <t>777 So Orange Ave</t>
  </si>
  <si>
    <t>Don't want</t>
  </si>
  <si>
    <t>740135</t>
  </si>
  <si>
    <t>1601 Edgar Rd</t>
  </si>
  <si>
    <t>740139</t>
  </si>
  <si>
    <t>Zulia Grill Llc</t>
  </si>
  <si>
    <t>222 S Stiles St</t>
  </si>
  <si>
    <t>736733</t>
  </si>
  <si>
    <t>Union Supermarket</t>
  </si>
  <si>
    <t>741993</t>
  </si>
  <si>
    <t>Magical Sub Shop Llc       (Blitz)</t>
  </si>
  <si>
    <t>561 3Rd Ave</t>
  </si>
  <si>
    <t>740136</t>
  </si>
  <si>
    <t>Wal-Mart #3469 Frozen</t>
  </si>
  <si>
    <t>Neighbrhood Mini Market Llc (Blitz)</t>
  </si>
  <si>
    <t>561-A Magnolia Ave</t>
  </si>
  <si>
    <t>Elizabeth Truck Stop LLC</t>
  </si>
  <si>
    <t>600-610 Bond st</t>
  </si>
  <si>
    <t>NEW OWNER</t>
  </si>
  <si>
    <t xml:space="preserve">J &amp; K Grocery Store LLC </t>
  </si>
  <si>
    <t>804 2nd Ave</t>
  </si>
  <si>
    <t>Debe</t>
  </si>
  <si>
    <t>9AM</t>
  </si>
  <si>
    <t>DJR Service II LLC</t>
  </si>
  <si>
    <t>500 Magnolia ave</t>
  </si>
  <si>
    <t>9:30AM</t>
  </si>
  <si>
    <t>Proyeccion</t>
  </si>
  <si>
    <t>YD&amp;D Grocery Store LLC</t>
  </si>
  <si>
    <t>Family Market LLC</t>
  </si>
  <si>
    <t>D-Chucho Antojitos LLC</t>
  </si>
  <si>
    <t>307 Elizabeth ave</t>
  </si>
  <si>
    <t>Ali Abdalla (756472)</t>
  </si>
  <si>
    <t>712 1st ave</t>
  </si>
  <si>
    <t xml:space="preserve">Elizabeth </t>
  </si>
  <si>
    <t>Baleadas Supreme 2 LLC</t>
  </si>
  <si>
    <t>201 Erie st</t>
  </si>
  <si>
    <t>Liz Mini Market LLC</t>
  </si>
  <si>
    <t>200 Erie st</t>
  </si>
  <si>
    <t>N&amp;R Deli &amp; Grocery LLC</t>
  </si>
  <si>
    <t>65 Delaware st</t>
  </si>
  <si>
    <t>New</t>
  </si>
  <si>
    <t>544 2nd St</t>
  </si>
  <si>
    <t xml:space="preserve"> </t>
  </si>
  <si>
    <t>SACARLE ORDEN</t>
  </si>
  <si>
    <t>ABRIR CUENTAS</t>
  </si>
  <si>
    <t>Key Food 2560 Universal Elizabeth</t>
  </si>
  <si>
    <t>80 3rd St</t>
  </si>
  <si>
    <t>Thur aft 11:45</t>
  </si>
  <si>
    <t>Key Food 2560 Universal Elizabeth AFTER 11:30AM</t>
  </si>
  <si>
    <r>
      <t>D-Chucho Antojitos LLC</t>
    </r>
    <r>
      <rPr>
        <b/>
        <sz val="11"/>
        <color theme="1"/>
        <rFont val="Calibri"/>
        <family val="2"/>
        <scheme val="minor"/>
      </rPr>
      <t xml:space="preserve"> CALL</t>
    </r>
    <r>
      <rPr>
        <sz val="11"/>
        <color theme="1"/>
        <rFont val="Calibri"/>
        <family val="2"/>
        <scheme val="minor"/>
      </rPr>
      <t xml:space="preserve"> 908-764-3233</t>
    </r>
  </si>
  <si>
    <t>VISITAR URGENTE</t>
  </si>
  <si>
    <t>Nueva cuenta</t>
  </si>
  <si>
    <t>Orden</t>
  </si>
  <si>
    <t>Orden (LLAMAR)</t>
  </si>
  <si>
    <t>CLOSED</t>
  </si>
  <si>
    <t>OWNER DOES NOT WANT GOYA</t>
  </si>
  <si>
    <t>Week 53</t>
  </si>
  <si>
    <t>Kings Food Market</t>
  </si>
  <si>
    <t xml:space="preserve">Wal-Mart 3469 </t>
  </si>
  <si>
    <t xml:space="preserve">J&amp;K Grocery &amp; Deli </t>
  </si>
  <si>
    <t>Changed Owner</t>
  </si>
  <si>
    <t>Reys Mini Market V Llc CALL</t>
  </si>
  <si>
    <t>0</t>
  </si>
  <si>
    <t>Mozzarepas/ Leon &amp; CO Food services`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</si>
</sst>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name val="Arial"/>
      <family val="2"/>
    </font>
    <font>
      <sz val="7"/>
      <color rgb="FF00000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2" fillId="0" borderId="0"/>
    <xf numFmtId="44" fontId="12" fillId="0" borderId="0" applyFont="0" applyFill="0" applyBorder="0" applyAlignment="0" applyProtection="0"/>
  </cellStyleXfs>
  <cellXfs count="11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16" fontId="0" fillId="0" borderId="0" xfId="0" applyNumberFormat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0" fillId="0" borderId="3" xfId="0" applyBorder="1"/>
    <xf numFmtId="16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9" fontId="0" fillId="0" borderId="3" xfId="0" applyNumberFormat="1" applyBorder="1" applyAlignment="1">
      <alignment horizontal="left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44" fontId="0" fillId="0" borderId="0" xfId="1" applyFont="1" applyFill="1"/>
    <xf numFmtId="0" fontId="1" fillId="0" borderId="0" xfId="0" applyFont="1" applyAlignment="1">
      <alignment horizontal="left" vertical="top"/>
    </xf>
    <xf numFmtId="1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44" fontId="0" fillId="0" borderId="0" xfId="1" applyFont="1"/>
    <xf numFmtId="44" fontId="1" fillId="0" borderId="0" xfId="1" applyFont="1" applyFill="1" applyAlignment="1">
      <alignment horizontal="left" vertical="top"/>
    </xf>
    <xf numFmtId="2" fontId="0" fillId="0" borderId="0" xfId="2" applyNumberFormat="1" applyFont="1"/>
    <xf numFmtId="2" fontId="0" fillId="0" borderId="0" xfId="0" applyNumberFormat="1"/>
    <xf numFmtId="44" fontId="1" fillId="0" borderId="0" xfId="1" applyFont="1" applyFill="1"/>
    <xf numFmtId="44" fontId="1" fillId="0" borderId="0" xfId="0" applyNumberFormat="1" applyFont="1"/>
    <xf numFmtId="2" fontId="1" fillId="0" borderId="0" xfId="2" applyNumberFormat="1" applyFont="1"/>
    <xf numFmtId="2" fontId="1" fillId="0" borderId="0" xfId="0" applyNumberFormat="1" applyFont="1"/>
    <xf numFmtId="164" fontId="0" fillId="0" borderId="0" xfId="0" applyNumberFormat="1"/>
    <xf numFmtId="164" fontId="0" fillId="0" borderId="0" xfId="1" applyNumberFormat="1" applyFont="1"/>
    <xf numFmtId="0" fontId="0" fillId="0" borderId="0" xfId="0" applyBorder="1" applyAlignment="1">
      <alignment horizontal="left"/>
    </xf>
    <xf numFmtId="0" fontId="4" fillId="0" borderId="0" xfId="0" applyFont="1" applyBorder="1" applyAlignment="1">
      <alignment horizontal="center"/>
    </xf>
    <xf numFmtId="0" fontId="0" fillId="0" borderId="3" xfId="0" applyFill="1" applyBorder="1"/>
    <xf numFmtId="0" fontId="0" fillId="0" borderId="4" xfId="0" applyBorder="1"/>
    <xf numFmtId="44" fontId="9" fillId="3" borderId="0" xfId="4" applyNumberFormat="1"/>
    <xf numFmtId="0" fontId="0" fillId="0" borderId="0" xfId="0" applyFont="1"/>
    <xf numFmtId="0" fontId="1" fillId="0" borderId="4" xfId="0" applyFont="1" applyFill="1" applyBorder="1"/>
    <xf numFmtId="6" fontId="0" fillId="0" borderId="0" xfId="0" applyNumberFormat="1"/>
    <xf numFmtId="0" fontId="1" fillId="0" borderId="0" xfId="0" applyFont="1" applyBorder="1" applyAlignment="1">
      <alignment horizontal="center"/>
    </xf>
    <xf numFmtId="0" fontId="0" fillId="0" borderId="4" xfId="0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right"/>
    </xf>
    <xf numFmtId="20" fontId="0" fillId="0" borderId="0" xfId="0" applyNumberFormat="1" applyAlignment="1">
      <alignment horizontal="right"/>
    </xf>
    <xf numFmtId="20" fontId="0" fillId="0" borderId="0" xfId="0" applyNumberFormat="1" applyFill="1" applyBorder="1" applyAlignment="1">
      <alignment horizontal="right"/>
    </xf>
    <xf numFmtId="20" fontId="0" fillId="0" borderId="0" xfId="0" applyNumberFormat="1" applyFont="1" applyAlignment="1">
      <alignment horizontal="right"/>
    </xf>
    <xf numFmtId="0" fontId="11" fillId="0" borderId="0" xfId="0" applyFont="1"/>
    <xf numFmtId="2" fontId="11" fillId="0" borderId="0" xfId="0" applyNumberFormat="1" applyFont="1"/>
    <xf numFmtId="0" fontId="1" fillId="4" borderId="0" xfId="0" applyFont="1" applyFill="1" applyAlignment="1">
      <alignment horizontal="left" vertical="top"/>
    </xf>
    <xf numFmtId="44" fontId="1" fillId="4" borderId="0" xfId="1" applyFont="1" applyFill="1" applyAlignment="1">
      <alignment horizontal="left" vertical="top"/>
    </xf>
    <xf numFmtId="0" fontId="10" fillId="4" borderId="0" xfId="0" applyFont="1" applyFill="1" applyAlignment="1">
      <alignment horizontal="left" vertical="top"/>
    </xf>
    <xf numFmtId="0" fontId="10" fillId="4" borderId="0" xfId="0" applyFont="1" applyFill="1"/>
    <xf numFmtId="9" fontId="0" fillId="4" borderId="0" xfId="0" applyNumberFormat="1" applyFill="1"/>
    <xf numFmtId="0" fontId="0" fillId="4" borderId="0" xfId="0" applyFill="1"/>
    <xf numFmtId="0" fontId="1" fillId="4" borderId="0" xfId="1" applyNumberFormat="1" applyFont="1" applyFill="1" applyAlignment="1">
      <alignment horizontal="left" vertical="top"/>
    </xf>
    <xf numFmtId="0" fontId="1" fillId="0" borderId="3" xfId="0" applyFont="1" applyFill="1" applyBorder="1"/>
    <xf numFmtId="0" fontId="0" fillId="0" borderId="0" xfId="0" applyAlignment="1"/>
    <xf numFmtId="0" fontId="0" fillId="0" borderId="0" xfId="0" applyBorder="1"/>
    <xf numFmtId="0" fontId="13" fillId="0" borderId="8" xfId="0" applyFont="1" applyBorder="1" applyAlignment="1">
      <alignment horizontal="right" vertical="top" wrapText="1" readingOrder="1"/>
    </xf>
    <xf numFmtId="0" fontId="14" fillId="0" borderId="9" xfId="0" applyFont="1" applyBorder="1" applyAlignment="1">
      <alignment vertical="top" wrapText="1"/>
    </xf>
    <xf numFmtId="6" fontId="0" fillId="0" borderId="0" xfId="0" applyNumberFormat="1" applyAlignment="1"/>
    <xf numFmtId="3" fontId="0" fillId="0" borderId="0" xfId="0" applyNumberFormat="1"/>
    <xf numFmtId="0" fontId="0" fillId="0" borderId="0" xfId="0" applyFill="1" applyBorder="1" applyAlignment="1">
      <alignment horizontal="left"/>
    </xf>
    <xf numFmtId="0" fontId="3" fillId="0" borderId="4" xfId="0" applyFont="1" applyFill="1" applyBorder="1"/>
    <xf numFmtId="0" fontId="0" fillId="0" borderId="3" xfId="0" applyFill="1" applyBorder="1" applyAlignment="1">
      <alignment horizontal="left"/>
    </xf>
    <xf numFmtId="0" fontId="15" fillId="0" borderId="0" xfId="0" applyFont="1"/>
    <xf numFmtId="6" fontId="9" fillId="3" borderId="0" xfId="4" applyNumberFormat="1"/>
    <xf numFmtId="10" fontId="9" fillId="3" borderId="3" xfId="2" applyNumberFormat="1" applyFont="1" applyFill="1" applyBorder="1"/>
    <xf numFmtId="1" fontId="9" fillId="3" borderId="0" xfId="4" applyNumberFormat="1"/>
    <xf numFmtId="0" fontId="1" fillId="0" borderId="3" xfId="0" applyFont="1" applyBorder="1" applyAlignment="1">
      <alignment horizontal="right"/>
    </xf>
    <xf numFmtId="6" fontId="1" fillId="0" borderId="0" xfId="1" applyNumberFormat="1" applyFont="1" applyFill="1"/>
    <xf numFmtId="44" fontId="0" fillId="0" borderId="0" xfId="0" applyNumberFormat="1"/>
    <xf numFmtId="0" fontId="0" fillId="0" borderId="4" xfId="0" applyFill="1" applyBorder="1"/>
    <xf numFmtId="0" fontId="0" fillId="0" borderId="0" xfId="0" applyFill="1" applyBorder="1"/>
    <xf numFmtId="0" fontId="0" fillId="0" borderId="0" xfId="0" applyFill="1"/>
    <xf numFmtId="0" fontId="0" fillId="0" borderId="3" xfId="0" applyFont="1" applyFill="1" applyBorder="1"/>
    <xf numFmtId="0" fontId="0" fillId="0" borderId="3" xfId="0" applyFont="1" applyFill="1" applyBorder="1" applyAlignment="1">
      <alignment horizontal="left"/>
    </xf>
    <xf numFmtId="0" fontId="1" fillId="0" borderId="10" xfId="0" applyFont="1" applyFill="1" applyBorder="1"/>
    <xf numFmtId="0" fontId="0" fillId="0" borderId="0" xfId="0" applyFont="1" applyFill="1"/>
    <xf numFmtId="0" fontId="1" fillId="0" borderId="0" xfId="0" applyFont="1" applyFill="1"/>
    <xf numFmtId="0" fontId="0" fillId="0" borderId="3" xfId="0" applyFont="1" applyBorder="1" applyAlignment="1">
      <alignment horizontal="left"/>
    </xf>
    <xf numFmtId="0" fontId="0" fillId="0" borderId="3" xfId="0" applyFont="1" applyBorder="1"/>
    <xf numFmtId="0" fontId="16" fillId="0" borderId="3" xfId="0" applyFont="1" applyBorder="1" applyAlignment="1">
      <alignment wrapText="1"/>
    </xf>
    <xf numFmtId="8" fontId="0" fillId="0" borderId="0" xfId="0" applyNumberFormat="1"/>
    <xf numFmtId="3" fontId="1" fillId="0" borderId="0" xfId="0" applyNumberFormat="1" applyFont="1"/>
    <xf numFmtId="0" fontId="3" fillId="0" borderId="0" xfId="0" applyFont="1" applyBorder="1"/>
    <xf numFmtId="0" fontId="9" fillId="3" borderId="3" xfId="4" applyBorder="1"/>
    <xf numFmtId="0" fontId="9" fillId="3" borderId="3" xfId="4" applyBorder="1" applyAlignment="1">
      <alignment horizontal="left"/>
    </xf>
    <xf numFmtId="0" fontId="0" fillId="0" borderId="4" xfId="0" applyFont="1" applyFill="1" applyBorder="1"/>
    <xf numFmtId="0" fontId="0" fillId="0" borderId="7" xfId="0" applyFont="1" applyFill="1" applyBorder="1"/>
    <xf numFmtId="3" fontId="0" fillId="0" borderId="0" xfId="0" applyNumberFormat="1" applyAlignment="1">
      <alignment horizontal="right"/>
    </xf>
    <xf numFmtId="0" fontId="12" fillId="0" borderId="0" xfId="5" applyAlignment="1"/>
    <xf numFmtId="0" fontId="9" fillId="3" borderId="3" xfId="4" applyFont="1" applyBorder="1"/>
    <xf numFmtId="0" fontId="9" fillId="3" borderId="3" xfId="4" applyFont="1" applyBorder="1" applyAlignment="1">
      <alignment horizontal="left"/>
    </xf>
    <xf numFmtId="6" fontId="14" fillId="0" borderId="9" xfId="0" applyNumberFormat="1" applyFont="1" applyBorder="1" applyAlignment="1">
      <alignment vertical="top" wrapText="1"/>
    </xf>
    <xf numFmtId="3" fontId="11" fillId="0" borderId="0" xfId="0" applyNumberFormat="1" applyFont="1"/>
    <xf numFmtId="0" fontId="9" fillId="3" borderId="0" xfId="4" applyBorder="1"/>
    <xf numFmtId="0" fontId="14" fillId="0" borderId="0" xfId="0" applyFont="1" applyBorder="1" applyAlignment="1">
      <alignment vertical="top" wrapText="1"/>
    </xf>
    <xf numFmtId="6" fontId="1" fillId="0" borderId="0" xfId="0" applyNumberFormat="1" applyFont="1"/>
    <xf numFmtId="0" fontId="5" fillId="0" borderId="0" xfId="0" applyFont="1" applyBorder="1"/>
    <xf numFmtId="0" fontId="4" fillId="0" borderId="3" xfId="0" applyFont="1" applyBorder="1" applyAlignment="1">
      <alignment horizontal="right"/>
    </xf>
    <xf numFmtId="0" fontId="0" fillId="0" borderId="0" xfId="0" applyNumberFormat="1" applyAlignment="1">
      <alignment horizontal="right"/>
    </xf>
    <xf numFmtId="6" fontId="0" fillId="0" borderId="0" xfId="1" applyNumberFormat="1" applyFont="1"/>
    <xf numFmtId="0" fontId="1" fillId="0" borderId="0" xfId="0" applyFont="1" applyFill="1" applyBorder="1"/>
    <xf numFmtId="0" fontId="8" fillId="2" borderId="5" xfId="3" applyBorder="1" applyAlignment="1">
      <alignment horizontal="center"/>
    </xf>
    <xf numFmtId="0" fontId="8" fillId="2" borderId="6" xfId="3" applyBorder="1" applyAlignment="1">
      <alignment horizontal="center"/>
    </xf>
    <xf numFmtId="0" fontId="0" fillId="0" borderId="0" xfId="0" applyAlignment="1"/>
    <xf numFmtId="0" fontId="0" fillId="0" borderId="11" xfId="0" applyFill="1" applyBorder="1"/>
    <xf numFmtId="0" fontId="17" fillId="0" borderId="3" xfId="0" applyFont="1" applyBorder="1"/>
    <xf numFmtId="0" fontId="3" fillId="0" borderId="3" xfId="0" applyFont="1" applyFill="1" applyBorder="1"/>
    <xf numFmtId="16" fontId="3" fillId="0" borderId="3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0" fillId="0" borderId="3" xfId="0" applyNumberFormat="1" applyBorder="1" applyAlignment="1">
      <alignment horizontal="left"/>
    </xf>
    <xf numFmtId="6" fontId="3" fillId="0" borderId="4" xfId="0" applyNumberFormat="1" applyFont="1" applyBorder="1"/>
    <xf numFmtId="0" fontId="18" fillId="2" borderId="4" xfId="3" applyFont="1" applyBorder="1"/>
  </cellXfs>
  <cellStyles count="7">
    <cellStyle name="Currency" xfId="1" builtinId="4"/>
    <cellStyle name="Currency 2" xfId="6" xr:uid="{9242CD16-6314-4EA0-997B-0220D738889A}"/>
    <cellStyle name="Good" xfId="3" builtinId="26"/>
    <cellStyle name="Neutral" xfId="4" builtinId="28"/>
    <cellStyle name="Normal" xfId="0" builtinId="0"/>
    <cellStyle name="Normal 2" xfId="5" xr:uid="{2F0E5B2C-3FB9-4A20-A423-776D554C3C82}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3DEFF"/>
      <color rgb="FFFF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0BDA-9482-4BA1-A2BE-A60EEA909B34}">
  <dimension ref="A1:K49"/>
  <sheetViews>
    <sheetView zoomScaleNormal="100" workbookViewId="0">
      <selection activeCell="E11" sqref="E11"/>
    </sheetView>
  </sheetViews>
  <sheetFormatPr defaultRowHeight="15" x14ac:dyDescent="0.25"/>
  <cols>
    <col min="2" max="2" width="43.5703125" bestFit="1" customWidth="1"/>
    <col min="3" max="3" width="44.5703125" bestFit="1" customWidth="1"/>
    <col min="4" max="4" width="46.28515625" bestFit="1" customWidth="1"/>
    <col min="5" max="5" width="45.85546875" bestFit="1" customWidth="1"/>
    <col min="6" max="6" width="33.28515625" bestFit="1" customWidth="1"/>
    <col min="7" max="7" width="31.28515625" customWidth="1"/>
    <col min="8" max="8" width="33.28515625" bestFit="1" customWidth="1"/>
    <col min="9" max="9" width="11" bestFit="1" customWidth="1"/>
  </cols>
  <sheetData>
    <row r="1" spans="1:10" x14ac:dyDescent="0.25">
      <c r="B1" s="106" t="str">
        <f>'Numbers 2026'!A16</f>
        <v>Week 14</v>
      </c>
      <c r="C1" s="106"/>
      <c r="D1" s="106"/>
      <c r="E1" s="106"/>
      <c r="F1" s="107"/>
    </row>
    <row r="2" spans="1:10" x14ac:dyDescent="0.25">
      <c r="B2" s="68">
        <f>'Numbers 2026'!D15</f>
        <v>66283</v>
      </c>
      <c r="C2" s="70">
        <f>'Numbers 2026'!J56</f>
        <v>-311</v>
      </c>
      <c r="D2" s="36">
        <f>'Numbers 2026'!F56</f>
        <v>-5394</v>
      </c>
      <c r="E2" s="69">
        <f>'Numbers 2026'!G56/100</f>
        <v>-6.3728733459357282E-3</v>
      </c>
      <c r="F2" s="73">
        <f>SUM(D2+(D2*0.02))</f>
        <v>-5501.88</v>
      </c>
      <c r="H2" s="1"/>
    </row>
    <row r="3" spans="1:10" x14ac:dyDescent="0.25">
      <c r="B3" s="57" t="s">
        <v>0</v>
      </c>
      <c r="C3" s="79" t="s">
        <v>1</v>
      </c>
      <c r="D3" s="57" t="s">
        <v>2</v>
      </c>
      <c r="E3" s="79" t="s">
        <v>3</v>
      </c>
      <c r="F3" s="57" t="s">
        <v>4</v>
      </c>
      <c r="G3" s="38" t="s">
        <v>246</v>
      </c>
    </row>
    <row r="4" spans="1:10" x14ac:dyDescent="0.25">
      <c r="A4" s="44" t="s">
        <v>218</v>
      </c>
      <c r="B4" s="37" t="s">
        <v>23</v>
      </c>
      <c r="C4" s="37" t="s">
        <v>26</v>
      </c>
      <c r="D4" s="77" t="s">
        <v>227</v>
      </c>
      <c r="E4" s="118" t="s">
        <v>244</v>
      </c>
      <c r="F4" s="1" t="s">
        <v>6</v>
      </c>
      <c r="G4" s="94" t="s">
        <v>52</v>
      </c>
      <c r="H4" s="90" t="s">
        <v>247</v>
      </c>
    </row>
    <row r="5" spans="1:10" x14ac:dyDescent="0.25">
      <c r="A5" s="44" t="s">
        <v>221</v>
      </c>
      <c r="B5" s="83" t="s">
        <v>5</v>
      </c>
      <c r="C5" s="90" t="s">
        <v>253</v>
      </c>
      <c r="D5" s="34" t="s">
        <v>219</v>
      </c>
      <c r="E5" s="34" t="s">
        <v>212</v>
      </c>
      <c r="G5" s="94" t="s">
        <v>77</v>
      </c>
      <c r="H5" s="90" t="s">
        <v>248</v>
      </c>
    </row>
    <row r="6" spans="1:10" x14ac:dyDescent="0.25">
      <c r="A6" s="45">
        <v>0.4375</v>
      </c>
      <c r="B6" s="77" t="s">
        <v>224</v>
      </c>
      <c r="C6" s="37" t="s">
        <v>25</v>
      </c>
      <c r="D6" s="11" t="s">
        <v>80</v>
      </c>
      <c r="E6" s="83"/>
      <c r="F6" s="83"/>
      <c r="G6" s="94" t="s">
        <v>70</v>
      </c>
      <c r="H6" s="90" t="s">
        <v>248</v>
      </c>
    </row>
    <row r="7" spans="1:10" x14ac:dyDescent="0.25">
      <c r="A7" s="44">
        <v>11</v>
      </c>
      <c r="B7" s="37"/>
      <c r="C7" s="37" t="s">
        <v>29</v>
      </c>
      <c r="D7" s="82" t="s">
        <v>10</v>
      </c>
      <c r="E7" s="77"/>
      <c r="F7" s="77"/>
      <c r="G7" s="94" t="s">
        <v>95</v>
      </c>
      <c r="H7" s="90" t="s">
        <v>247</v>
      </c>
    </row>
    <row r="8" spans="1:10" x14ac:dyDescent="0.25">
      <c r="A8" s="44">
        <v>12</v>
      </c>
      <c r="C8" s="37"/>
      <c r="D8" s="83" t="s">
        <v>49</v>
      </c>
      <c r="E8" s="77"/>
      <c r="F8" s="77"/>
      <c r="G8" s="94" t="s">
        <v>225</v>
      </c>
      <c r="H8" s="91" t="s">
        <v>249</v>
      </c>
    </row>
    <row r="9" spans="1:10" x14ac:dyDescent="0.25">
      <c r="A9" s="45">
        <v>0.52083333333333337</v>
      </c>
      <c r="B9" s="83" t="s">
        <v>259</v>
      </c>
      <c r="C9" s="57"/>
      <c r="D9" s="37"/>
      <c r="E9" s="77"/>
      <c r="F9" s="83"/>
      <c r="G9" s="94"/>
      <c r="H9" s="91" t="s">
        <v>248</v>
      </c>
    </row>
    <row r="10" spans="1:10" x14ac:dyDescent="0.25">
      <c r="A10" s="45">
        <v>4.8611111111111112E-2</v>
      </c>
      <c r="B10" s="83" t="s">
        <v>257</v>
      </c>
      <c r="C10" s="37"/>
      <c r="D10" s="57" t="s">
        <v>254</v>
      </c>
      <c r="E10" s="77"/>
      <c r="F10" s="83"/>
      <c r="G10" s="94"/>
      <c r="H10" s="91" t="s">
        <v>248</v>
      </c>
    </row>
    <row r="11" spans="1:10" x14ac:dyDescent="0.25">
      <c r="A11" s="45">
        <v>0.10416666666666667</v>
      </c>
      <c r="B11" s="105" t="s">
        <v>21</v>
      </c>
      <c r="C11" s="57" t="s">
        <v>21</v>
      </c>
      <c r="D11" s="37"/>
      <c r="E11" s="1"/>
      <c r="F11" s="11"/>
      <c r="G11" s="95" t="s">
        <v>90</v>
      </c>
      <c r="H11" s="91" t="s">
        <v>248</v>
      </c>
    </row>
    <row r="12" spans="1:10" x14ac:dyDescent="0.25">
      <c r="A12" s="46">
        <v>0.15625</v>
      </c>
      <c r="C12" s="77"/>
      <c r="D12" s="83"/>
      <c r="E12" s="9"/>
      <c r="F12" s="80"/>
      <c r="G12" s="94" t="s">
        <v>212</v>
      </c>
      <c r="H12" s="91" t="s">
        <v>248</v>
      </c>
    </row>
    <row r="13" spans="1:10" x14ac:dyDescent="0.25">
      <c r="A13" s="45">
        <v>0.19791666666666666</v>
      </c>
      <c r="B13" s="57"/>
      <c r="C13" s="83"/>
      <c r="D13" s="37"/>
      <c r="E13" s="57"/>
      <c r="F13" s="57" t="s">
        <v>21</v>
      </c>
      <c r="G13" s="84"/>
      <c r="H13" s="84"/>
    </row>
    <row r="14" spans="1:10" x14ac:dyDescent="0.25">
      <c r="A14" s="45">
        <v>0.20833333333333334</v>
      </c>
      <c r="C14" s="78"/>
      <c r="D14" s="77"/>
      <c r="E14" s="82"/>
      <c r="F14" s="80"/>
      <c r="G14" s="84"/>
      <c r="H14" s="84"/>
    </row>
    <row r="15" spans="1:10" x14ac:dyDescent="0.25">
      <c r="A15" s="47">
        <v>0.21875</v>
      </c>
      <c r="B15" s="77"/>
      <c r="C15" s="37"/>
      <c r="D15" s="57" t="s">
        <v>21</v>
      </c>
      <c r="E15" s="83"/>
      <c r="F15" s="80"/>
      <c r="H15" s="84"/>
    </row>
    <row r="16" spans="1:10" s="37" customFormat="1" x14ac:dyDescent="0.25">
      <c r="B16" s="57" t="s">
        <v>239</v>
      </c>
      <c r="C16" s="57" t="s">
        <v>240</v>
      </c>
      <c r="D16" s="57" t="s">
        <v>239</v>
      </c>
      <c r="E16" s="57" t="s">
        <v>239</v>
      </c>
      <c r="F16" s="80"/>
      <c r="G16"/>
      <c r="H16" s="84"/>
      <c r="I16"/>
      <c r="J16"/>
    </row>
    <row r="17" spans="2:11" s="1" customFormat="1" x14ac:dyDescent="0.25">
      <c r="B17" s="78" t="s">
        <v>245</v>
      </c>
      <c r="C17" s="77" t="s">
        <v>52</v>
      </c>
      <c r="D17" s="77" t="s">
        <v>92</v>
      </c>
      <c r="E17" s="77" t="s">
        <v>70</v>
      </c>
      <c r="F17" s="81"/>
      <c r="G17"/>
      <c r="H17"/>
      <c r="I17"/>
      <c r="J17"/>
      <c r="K17"/>
    </row>
    <row r="18" spans="2:11" s="1" customFormat="1" x14ac:dyDescent="0.25">
      <c r="B18" s="78"/>
      <c r="C18" s="77"/>
      <c r="D18" s="77"/>
      <c r="E18" s="77"/>
      <c r="F18" s="81"/>
      <c r="G18"/>
      <c r="H18"/>
      <c r="I18"/>
      <c r="J18"/>
      <c r="K18"/>
    </row>
    <row r="19" spans="2:11" ht="14.25" customHeight="1" x14ac:dyDescent="0.25">
      <c r="B19" s="71" t="s">
        <v>11</v>
      </c>
      <c r="C19" s="9" t="s">
        <v>12</v>
      </c>
      <c r="D19" s="10" t="s">
        <v>13</v>
      </c>
      <c r="E19" s="10" t="s">
        <v>14</v>
      </c>
      <c r="F19" s="10" t="s">
        <v>15</v>
      </c>
    </row>
    <row r="20" spans="2:11" s="76" customFormat="1" ht="14.25" customHeight="1" x14ac:dyDescent="0.25">
      <c r="B20" s="71">
        <v>743279</v>
      </c>
      <c r="C20" s="88" t="s">
        <v>52</v>
      </c>
      <c r="D20" s="12" t="s">
        <v>214</v>
      </c>
      <c r="E20" s="12">
        <v>45502</v>
      </c>
      <c r="F20" s="20" t="e">
        <f t="shared" ref="F20:F26" ca="1" si="0">TODAY()-D20</f>
        <v>#VALUE!</v>
      </c>
    </row>
    <row r="21" spans="2:11" x14ac:dyDescent="0.25">
      <c r="B21" s="71">
        <v>756036</v>
      </c>
      <c r="C21" s="88" t="s">
        <v>77</v>
      </c>
      <c r="D21" s="12" t="s">
        <v>16</v>
      </c>
      <c r="E21" s="12">
        <v>45594</v>
      </c>
      <c r="F21" s="20" t="e">
        <f t="shared" ca="1" si="0"/>
        <v>#VALUE!</v>
      </c>
    </row>
    <row r="22" spans="2:11" x14ac:dyDescent="0.25">
      <c r="B22" s="102">
        <v>740937</v>
      </c>
      <c r="C22" s="88" t="s">
        <v>70</v>
      </c>
      <c r="D22" s="12" t="s">
        <v>16</v>
      </c>
      <c r="E22" s="12">
        <v>45691</v>
      </c>
      <c r="F22" s="20" t="e">
        <f t="shared" ca="1" si="0"/>
        <v>#VALUE!</v>
      </c>
      <c r="G22" s="9"/>
    </row>
    <row r="23" spans="2:11" x14ac:dyDescent="0.25">
      <c r="B23" s="71">
        <v>740142</v>
      </c>
      <c r="C23" s="88" t="s">
        <v>95</v>
      </c>
      <c r="D23" s="12" t="s">
        <v>16</v>
      </c>
      <c r="E23" s="12">
        <v>45701</v>
      </c>
      <c r="F23" s="43" t="e">
        <f t="shared" ca="1" si="0"/>
        <v>#VALUE!</v>
      </c>
    </row>
    <row r="24" spans="2:11" x14ac:dyDescent="0.25">
      <c r="B24" s="71">
        <v>741014</v>
      </c>
      <c r="C24" s="88" t="s">
        <v>225</v>
      </c>
      <c r="D24" s="43" t="s">
        <v>84</v>
      </c>
      <c r="E24" s="12">
        <v>45712</v>
      </c>
      <c r="F24" s="20" t="e">
        <f t="shared" ca="1" si="0"/>
        <v>#VALUE!</v>
      </c>
    </row>
    <row r="25" spans="2:11" x14ac:dyDescent="0.25">
      <c r="B25" s="102">
        <v>740301</v>
      </c>
      <c r="C25" s="98" t="s">
        <v>92</v>
      </c>
      <c r="D25" s="12" t="s">
        <v>16</v>
      </c>
      <c r="E25" s="12">
        <v>45805</v>
      </c>
      <c r="F25" s="20" t="e">
        <f t="shared" ca="1" si="0"/>
        <v>#VALUE!</v>
      </c>
    </row>
    <row r="26" spans="2:11" x14ac:dyDescent="0.25">
      <c r="B26" s="102">
        <v>743270</v>
      </c>
      <c r="C26" s="89" t="s">
        <v>90</v>
      </c>
      <c r="D26" s="12" t="s">
        <v>16</v>
      </c>
      <c r="E26" s="12">
        <v>45810</v>
      </c>
      <c r="F26" s="20" t="e">
        <f t="shared" ca="1" si="0"/>
        <v>#VALUE!</v>
      </c>
    </row>
    <row r="27" spans="2:11" x14ac:dyDescent="0.25">
      <c r="B27" s="21">
        <v>741721</v>
      </c>
      <c r="C27" s="83" t="s">
        <v>49</v>
      </c>
      <c r="D27" s="12" t="s">
        <v>16</v>
      </c>
      <c r="E27" s="12">
        <v>45970</v>
      </c>
      <c r="F27" s="20" t="e">
        <f ca="1">TODAY()-D27</f>
        <v>#VALUE!</v>
      </c>
    </row>
    <row r="28" spans="2:11" x14ac:dyDescent="0.25">
      <c r="B28" s="9">
        <v>741346</v>
      </c>
      <c r="C28" s="34" t="s">
        <v>212</v>
      </c>
      <c r="D28" s="12" t="s">
        <v>16</v>
      </c>
      <c r="E28" s="12">
        <v>46069</v>
      </c>
      <c r="F28" s="20" t="e">
        <f ca="1">TODAY()-D28</f>
        <v>#VALUE!</v>
      </c>
      <c r="G28" s="43"/>
    </row>
    <row r="29" spans="2:11" x14ac:dyDescent="0.25">
      <c r="B29" s="16">
        <v>740934</v>
      </c>
      <c r="C29" s="83" t="s">
        <v>5</v>
      </c>
      <c r="D29" s="12" t="s">
        <v>16</v>
      </c>
      <c r="E29" s="12">
        <v>46105</v>
      </c>
      <c r="F29" s="20" t="e">
        <f ca="1">TODAY()-D29</f>
        <v>#VALUE!</v>
      </c>
      <c r="G29" s="11"/>
    </row>
    <row r="30" spans="2:11" x14ac:dyDescent="0.25">
      <c r="B30" s="21">
        <v>741800</v>
      </c>
      <c r="C30" s="83" t="s">
        <v>73</v>
      </c>
      <c r="D30" s="12" t="s">
        <v>16</v>
      </c>
      <c r="E30" s="12">
        <v>46113</v>
      </c>
      <c r="F30" s="43" t="e">
        <f ca="1">TODAY()-D30</f>
        <v>#VALUE!</v>
      </c>
      <c r="G30" s="11"/>
    </row>
    <row r="31" spans="2:11" x14ac:dyDescent="0.25">
      <c r="B31" s="9">
        <v>743284</v>
      </c>
      <c r="C31" s="83" t="s">
        <v>63</v>
      </c>
      <c r="D31" s="12">
        <v>46097</v>
      </c>
      <c r="E31" s="12">
        <f>D31+25</f>
        <v>46122</v>
      </c>
      <c r="F31" s="20">
        <f ca="1">TODAY()-D31</f>
        <v>27</v>
      </c>
    </row>
    <row r="32" spans="2:11" x14ac:dyDescent="0.25">
      <c r="B32" s="9">
        <v>741366</v>
      </c>
      <c r="C32" s="34" t="s">
        <v>219</v>
      </c>
      <c r="D32" s="12">
        <v>46098</v>
      </c>
      <c r="E32" s="12">
        <f>D32+25</f>
        <v>46123</v>
      </c>
      <c r="F32" s="20">
        <f ca="1">TODAY()-D32</f>
        <v>26</v>
      </c>
    </row>
    <row r="33" spans="2:6" x14ac:dyDescent="0.25">
      <c r="B33" s="16">
        <v>741720</v>
      </c>
      <c r="C33" s="82" t="s">
        <v>10</v>
      </c>
      <c r="D33" s="12">
        <v>46099</v>
      </c>
      <c r="E33" s="12">
        <f>D33+25</f>
        <v>46124</v>
      </c>
      <c r="F33" s="43">
        <f ca="1">TODAY()-D33</f>
        <v>25</v>
      </c>
    </row>
    <row r="34" spans="2:6" x14ac:dyDescent="0.25">
      <c r="B34" s="21">
        <v>741360</v>
      </c>
      <c r="C34" s="11" t="s">
        <v>80</v>
      </c>
      <c r="D34" s="12">
        <v>46064</v>
      </c>
      <c r="E34" s="12">
        <f>D34+60</f>
        <v>46124</v>
      </c>
      <c r="F34" s="20">
        <f ca="1">TODAY()-D34</f>
        <v>60</v>
      </c>
    </row>
    <row r="35" spans="2:6" x14ac:dyDescent="0.25">
      <c r="B35" s="9">
        <v>741994</v>
      </c>
      <c r="C35" s="77" t="s">
        <v>224</v>
      </c>
      <c r="D35" s="12" t="s">
        <v>16</v>
      </c>
      <c r="E35" s="12">
        <v>46127</v>
      </c>
      <c r="F35" s="20" t="e">
        <f ca="1">TODAY()-D35</f>
        <v>#VALUE!</v>
      </c>
    </row>
    <row r="36" spans="2:6" x14ac:dyDescent="0.25">
      <c r="B36" s="9">
        <v>740620</v>
      </c>
      <c r="C36" s="77" t="s">
        <v>227</v>
      </c>
      <c r="D36" s="12">
        <v>46101</v>
      </c>
      <c r="E36" s="12">
        <f>D36+27</f>
        <v>46128</v>
      </c>
      <c r="F36" s="20">
        <f ca="1">TODAY()-D36</f>
        <v>23</v>
      </c>
    </row>
    <row r="39" spans="2:6" x14ac:dyDescent="0.25">
      <c r="E39" s="12"/>
      <c r="F39" s="20"/>
    </row>
    <row r="40" spans="2:6" x14ac:dyDescent="0.25">
      <c r="B40" s="1" t="s">
        <v>17</v>
      </c>
      <c r="C40" s="1" t="s">
        <v>18</v>
      </c>
      <c r="D40" s="1" t="s">
        <v>19</v>
      </c>
      <c r="E40" s="12"/>
      <c r="F40" s="20"/>
    </row>
    <row r="41" spans="2:6" x14ac:dyDescent="0.25">
      <c r="B41" s="13" t="s">
        <v>20</v>
      </c>
      <c r="C41" s="1" t="s">
        <v>23</v>
      </c>
      <c r="D41" t="s">
        <v>21</v>
      </c>
      <c r="E41" s="12"/>
      <c r="F41" s="43"/>
    </row>
    <row r="42" spans="2:6" x14ac:dyDescent="0.25">
      <c r="B42" s="11" t="s">
        <v>47</v>
      </c>
      <c r="C42" s="1" t="s">
        <v>6</v>
      </c>
      <c r="D42" t="s">
        <v>22</v>
      </c>
      <c r="E42" s="12"/>
      <c r="F42" s="20"/>
    </row>
    <row r="43" spans="2:6" x14ac:dyDescent="0.25">
      <c r="C43" s="1" t="s">
        <v>24</v>
      </c>
    </row>
    <row r="44" spans="2:6" x14ac:dyDescent="0.25">
      <c r="C44" s="1" t="s">
        <v>25</v>
      </c>
    </row>
    <row r="45" spans="2:6" x14ac:dyDescent="0.25">
      <c r="C45" s="1" t="s">
        <v>26</v>
      </c>
    </row>
    <row r="46" spans="2:6" x14ac:dyDescent="0.25">
      <c r="C46" s="1" t="s">
        <v>29</v>
      </c>
    </row>
    <row r="47" spans="2:6" x14ac:dyDescent="0.25">
      <c r="C47" s="1" t="s">
        <v>30</v>
      </c>
    </row>
    <row r="48" spans="2:6" x14ac:dyDescent="0.25">
      <c r="C48" s="38" t="s">
        <v>241</v>
      </c>
    </row>
    <row r="49" spans="2:4" x14ac:dyDescent="0.25">
      <c r="B49" s="71"/>
      <c r="C49" s="77" t="s">
        <v>227</v>
      </c>
      <c r="D49" s="12"/>
    </row>
  </sheetData>
  <mergeCells count="1">
    <mergeCell ref="B1:F1"/>
  </mergeCells>
  <phoneticPr fontId="7" type="noConversion"/>
  <conditionalFormatting sqref="B2">
    <cfRule type="cellIs" dxfId="2" priority="20" operator="greaterThan">
      <formula>69261</formula>
    </cfRule>
    <cfRule type="aboveAverage" priority="21"/>
  </conditionalFormatting>
  <dataValidations count="2">
    <dataValidation type="list" allowBlank="1" showInputMessage="1" showErrorMessage="1" sqref="I24:I28" xr:uid="{2376A087-0FF5-41F8-9BAD-B2A38F80EF8E}">
      <formula1>"1%, DD, CIA, Send Email 3 Days before, Call 1 day before, Monthly, Biweekly"</formula1>
    </dataValidation>
    <dataValidation type="list" allowBlank="1" showInputMessage="1" showErrorMessage="1" sqref="H24:H28" xr:uid="{2867CA79-E062-424F-9A26-FF9BBF251DAB}">
      <formula1>"Daily, Biweekly, Triweekly, Weekly, Monthly, Call/Monthly, Bimonthly"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2078-0951-4B32-98C9-40AC2FD2ECA0}">
  <sheetPr>
    <pageSetUpPr fitToPage="1"/>
  </sheetPr>
  <dimension ref="A1:O59"/>
  <sheetViews>
    <sheetView zoomScale="130" zoomScaleNormal="130" workbookViewId="0">
      <selection activeCell="E14" sqref="E14"/>
    </sheetView>
  </sheetViews>
  <sheetFormatPr defaultRowHeight="15" x14ac:dyDescent="0.25"/>
  <cols>
    <col min="1" max="1" width="8.5703125" style="1" bestFit="1" customWidth="1"/>
    <col min="2" max="2" width="33.85546875" bestFit="1" customWidth="1"/>
    <col min="3" max="3" width="16.7109375" style="7" bestFit="1" customWidth="1"/>
    <col min="4" max="4" width="11.85546875" style="7" bestFit="1" customWidth="1"/>
    <col min="5" max="5" width="18.7109375" style="7" customWidth="1"/>
    <col min="6" max="6" width="30.7109375" bestFit="1" customWidth="1"/>
    <col min="7" max="7" width="12.85546875" bestFit="1" customWidth="1"/>
    <col min="8" max="8" width="16" bestFit="1" customWidth="1"/>
    <col min="9" max="9" width="23.5703125" bestFit="1" customWidth="1"/>
    <col min="10" max="10" width="13.140625" bestFit="1" customWidth="1"/>
  </cols>
  <sheetData>
    <row r="1" spans="1:15" x14ac:dyDescent="0.25">
      <c r="A1" s="9" t="s">
        <v>11</v>
      </c>
      <c r="B1" s="9" t="s">
        <v>12</v>
      </c>
      <c r="C1" s="10" t="s">
        <v>13</v>
      </c>
      <c r="D1" s="10" t="s">
        <v>14</v>
      </c>
      <c r="E1" s="10" t="s">
        <v>15</v>
      </c>
      <c r="F1" s="9" t="s">
        <v>31</v>
      </c>
      <c r="G1" s="9" t="s">
        <v>32</v>
      </c>
      <c r="H1" s="9" t="s">
        <v>33</v>
      </c>
      <c r="I1" s="9" t="s">
        <v>34</v>
      </c>
      <c r="J1" s="38" t="s">
        <v>217</v>
      </c>
    </row>
    <row r="2" spans="1:15" s="15" customFormat="1" x14ac:dyDescent="0.25">
      <c r="A2" s="110">
        <v>742821</v>
      </c>
      <c r="B2" s="111" t="s">
        <v>215</v>
      </c>
      <c r="C2" s="112">
        <v>0</v>
      </c>
      <c r="D2" s="112">
        <v>0</v>
      </c>
      <c r="E2" s="113" t="s">
        <v>258</v>
      </c>
      <c r="F2" s="111" t="s">
        <v>216</v>
      </c>
      <c r="G2" s="111" t="s">
        <v>40</v>
      </c>
      <c r="H2" s="114" t="s">
        <v>38</v>
      </c>
      <c r="I2" s="115" t="s">
        <v>38</v>
      </c>
      <c r="J2" s="117" t="s">
        <v>256</v>
      </c>
      <c r="K2"/>
      <c r="L2"/>
      <c r="M2"/>
      <c r="N2"/>
      <c r="O2"/>
    </row>
    <row r="3" spans="1:15" x14ac:dyDescent="0.25">
      <c r="A3" s="9">
        <v>743279</v>
      </c>
      <c r="B3" s="88" t="s">
        <v>52</v>
      </c>
      <c r="C3" s="12" t="s">
        <v>214</v>
      </c>
      <c r="D3" s="12">
        <v>45502</v>
      </c>
      <c r="E3" s="20" t="e">
        <f ca="1">TODAY()-C3</f>
        <v>#VALUE!</v>
      </c>
      <c r="F3" s="11" t="s">
        <v>53</v>
      </c>
      <c r="G3" s="11" t="s">
        <v>54</v>
      </c>
      <c r="H3" s="11" t="s">
        <v>37</v>
      </c>
      <c r="I3" s="11" t="s">
        <v>38</v>
      </c>
      <c r="J3" s="74" t="s">
        <v>251</v>
      </c>
    </row>
    <row r="4" spans="1:15" s="15" customFormat="1" x14ac:dyDescent="0.25">
      <c r="A4" s="9">
        <v>756036</v>
      </c>
      <c r="B4" s="88" t="s">
        <v>77</v>
      </c>
      <c r="C4" s="12" t="s">
        <v>16</v>
      </c>
      <c r="D4" s="12">
        <v>45594</v>
      </c>
      <c r="E4" s="20" t="e">
        <f ca="1">TODAY()-C4</f>
        <v>#VALUE!</v>
      </c>
      <c r="F4" s="11" t="s">
        <v>78</v>
      </c>
      <c r="G4" s="11" t="s">
        <v>79</v>
      </c>
      <c r="H4" s="11" t="s">
        <v>38</v>
      </c>
      <c r="I4" s="43" t="s">
        <v>42</v>
      </c>
      <c r="J4" s="75" t="s">
        <v>250</v>
      </c>
      <c r="K4"/>
      <c r="L4"/>
      <c r="M4"/>
      <c r="N4"/>
      <c r="O4"/>
    </row>
    <row r="5" spans="1:15" x14ac:dyDescent="0.25">
      <c r="A5" s="16">
        <v>740937</v>
      </c>
      <c r="B5" s="88" t="s">
        <v>70</v>
      </c>
      <c r="C5" s="12" t="s">
        <v>16</v>
      </c>
      <c r="D5" s="12">
        <v>45691</v>
      </c>
      <c r="E5" s="20" t="e">
        <f ca="1">TODAY()-C5</f>
        <v>#VALUE!</v>
      </c>
      <c r="F5" s="11" t="s">
        <v>71</v>
      </c>
      <c r="G5" s="11" t="s">
        <v>40</v>
      </c>
      <c r="H5" s="11" t="s">
        <v>38</v>
      </c>
      <c r="I5" s="43" t="s">
        <v>42</v>
      </c>
    </row>
    <row r="6" spans="1:15" x14ac:dyDescent="0.25">
      <c r="A6" s="9">
        <v>740142</v>
      </c>
      <c r="B6" s="88" t="s">
        <v>95</v>
      </c>
      <c r="C6" s="12" t="s">
        <v>16</v>
      </c>
      <c r="D6" s="12">
        <v>45701</v>
      </c>
      <c r="E6" s="43" t="e">
        <f ca="1">TODAY()-C6</f>
        <v>#VALUE!</v>
      </c>
      <c r="F6" s="11" t="s">
        <v>96</v>
      </c>
      <c r="G6" s="11" t="s">
        <v>97</v>
      </c>
      <c r="H6" s="11" t="s">
        <v>51</v>
      </c>
      <c r="I6" s="43" t="s">
        <v>51</v>
      </c>
      <c r="J6" s="74" t="s">
        <v>250</v>
      </c>
    </row>
    <row r="7" spans="1:15" x14ac:dyDescent="0.25">
      <c r="A7" s="9">
        <v>741014</v>
      </c>
      <c r="B7" s="98" t="s">
        <v>225</v>
      </c>
      <c r="C7" s="43" t="s">
        <v>84</v>
      </c>
      <c r="D7" s="12">
        <v>45712</v>
      </c>
      <c r="E7" s="20" t="e">
        <f ca="1">TODAY()-C7</f>
        <v>#VALUE!</v>
      </c>
      <c r="F7" s="34" t="s">
        <v>226</v>
      </c>
      <c r="G7" s="66" t="s">
        <v>40</v>
      </c>
      <c r="H7" s="11" t="s">
        <v>38</v>
      </c>
      <c r="I7" s="43" t="s">
        <v>38</v>
      </c>
      <c r="J7" s="59" t="s">
        <v>236</v>
      </c>
    </row>
    <row r="8" spans="1:15" x14ac:dyDescent="0.25">
      <c r="A8" s="16">
        <v>740301</v>
      </c>
      <c r="B8" s="88" t="s">
        <v>92</v>
      </c>
      <c r="C8" s="12" t="s">
        <v>16</v>
      </c>
      <c r="D8" s="12">
        <v>45805</v>
      </c>
      <c r="E8" s="20" t="e">
        <f ca="1">TODAY()-C8</f>
        <v>#VALUE!</v>
      </c>
      <c r="F8" s="11" t="s">
        <v>93</v>
      </c>
      <c r="G8" s="11" t="s">
        <v>40</v>
      </c>
      <c r="H8" s="11" t="s">
        <v>37</v>
      </c>
      <c r="I8" s="43" t="s">
        <v>38</v>
      </c>
    </row>
    <row r="9" spans="1:15" x14ac:dyDescent="0.25">
      <c r="A9" s="16">
        <v>743270</v>
      </c>
      <c r="B9" s="89" t="s">
        <v>90</v>
      </c>
      <c r="C9" s="12" t="s">
        <v>16</v>
      </c>
      <c r="D9" s="12">
        <v>45810</v>
      </c>
      <c r="E9" s="20" t="e">
        <f ca="1">TODAY()-C9</f>
        <v>#VALUE!</v>
      </c>
      <c r="F9" s="43" t="s">
        <v>91</v>
      </c>
      <c r="G9" s="43" t="s">
        <v>54</v>
      </c>
      <c r="H9" s="11" t="s">
        <v>38</v>
      </c>
      <c r="I9" s="43" t="s">
        <v>38</v>
      </c>
    </row>
    <row r="10" spans="1:15" x14ac:dyDescent="0.25">
      <c r="A10" s="21">
        <v>741721</v>
      </c>
      <c r="B10" s="83" t="s">
        <v>49</v>
      </c>
      <c r="C10" s="12" t="s">
        <v>16</v>
      </c>
      <c r="D10" s="12">
        <v>45970</v>
      </c>
      <c r="E10" s="20" t="e">
        <f ca="1">TODAY()-C10</f>
        <v>#VALUE!</v>
      </c>
      <c r="F10" s="11" t="s">
        <v>50</v>
      </c>
      <c r="G10" s="11" t="s">
        <v>40</v>
      </c>
      <c r="H10" s="11" t="s">
        <v>37</v>
      </c>
      <c r="I10" s="43" t="s">
        <v>38</v>
      </c>
      <c r="J10" s="59"/>
    </row>
    <row r="11" spans="1:15" s="15" customFormat="1" x14ac:dyDescent="0.25">
      <c r="A11" s="9">
        <v>741346</v>
      </c>
      <c r="B11" s="34" t="s">
        <v>212</v>
      </c>
      <c r="C11" s="12" t="s">
        <v>16</v>
      </c>
      <c r="D11" s="12">
        <v>46069</v>
      </c>
      <c r="E11" s="20" t="e">
        <f ca="1">TODAY()-C11</f>
        <v>#VALUE!</v>
      </c>
      <c r="F11" s="34" t="s">
        <v>213</v>
      </c>
      <c r="G11" s="34" t="s">
        <v>40</v>
      </c>
      <c r="H11" s="11" t="s">
        <v>38</v>
      </c>
      <c r="I11" s="43" t="s">
        <v>38</v>
      </c>
      <c r="J11" s="59"/>
    </row>
    <row r="12" spans="1:15" x14ac:dyDescent="0.25">
      <c r="A12" s="16">
        <v>740934</v>
      </c>
      <c r="B12" s="83" t="s">
        <v>5</v>
      </c>
      <c r="C12" s="12" t="s">
        <v>16</v>
      </c>
      <c r="D12" s="12">
        <v>46105</v>
      </c>
      <c r="E12" s="20" t="e">
        <f ca="1">TODAY()-C12</f>
        <v>#VALUE!</v>
      </c>
      <c r="F12" s="11" t="s">
        <v>43</v>
      </c>
      <c r="G12" s="11" t="s">
        <v>40</v>
      </c>
      <c r="H12" s="11" t="s">
        <v>38</v>
      </c>
      <c r="I12" s="43" t="s">
        <v>38</v>
      </c>
      <c r="J12" s="59"/>
    </row>
    <row r="13" spans="1:15" x14ac:dyDescent="0.25">
      <c r="A13" s="21">
        <v>741800</v>
      </c>
      <c r="B13" s="83" t="s">
        <v>73</v>
      </c>
      <c r="C13" s="12" t="s">
        <v>16</v>
      </c>
      <c r="D13" s="12">
        <v>46113</v>
      </c>
      <c r="E13" s="43" t="e">
        <f ca="1">TODAY()-C13</f>
        <v>#VALUE!</v>
      </c>
      <c r="F13" s="11" t="s">
        <v>74</v>
      </c>
      <c r="G13" s="11" t="s">
        <v>40</v>
      </c>
      <c r="H13" s="11" t="s">
        <v>38</v>
      </c>
      <c r="I13" s="43" t="s">
        <v>38</v>
      </c>
      <c r="J13" s="59"/>
    </row>
    <row r="14" spans="1:15" x14ac:dyDescent="0.25">
      <c r="A14" s="9">
        <v>743284</v>
      </c>
      <c r="B14" s="83" t="s">
        <v>63</v>
      </c>
      <c r="C14" s="12">
        <v>46097</v>
      </c>
      <c r="D14" s="12">
        <f>C14+25</f>
        <v>46122</v>
      </c>
      <c r="E14" s="20">
        <f ca="1">TODAY()-C14</f>
        <v>27</v>
      </c>
      <c r="F14" s="11" t="s">
        <v>64</v>
      </c>
      <c r="G14" s="11" t="s">
        <v>65</v>
      </c>
      <c r="H14" s="11" t="s">
        <v>37</v>
      </c>
      <c r="I14" s="11" t="s">
        <v>38</v>
      </c>
      <c r="J14" s="35"/>
    </row>
    <row r="15" spans="1:15" s="15" customFormat="1" x14ac:dyDescent="0.25">
      <c r="A15" s="9">
        <v>741366</v>
      </c>
      <c r="B15" s="34" t="s">
        <v>219</v>
      </c>
      <c r="C15" s="12">
        <v>46098</v>
      </c>
      <c r="D15" s="12">
        <f>C15+25</f>
        <v>46123</v>
      </c>
      <c r="E15" s="20">
        <f ca="1">TODAY()-C15</f>
        <v>26</v>
      </c>
      <c r="F15" s="34" t="s">
        <v>220</v>
      </c>
      <c r="G15" s="34" t="s">
        <v>40</v>
      </c>
      <c r="H15" s="11" t="s">
        <v>38</v>
      </c>
      <c r="I15" s="43" t="s">
        <v>42</v>
      </c>
      <c r="J15" s="59"/>
      <c r="K15"/>
      <c r="L15"/>
      <c r="M15"/>
      <c r="N15"/>
      <c r="O15"/>
    </row>
    <row r="16" spans="1:15" x14ac:dyDescent="0.25">
      <c r="A16" s="16">
        <v>741720</v>
      </c>
      <c r="B16" s="82" t="s">
        <v>10</v>
      </c>
      <c r="C16" s="12">
        <v>46099</v>
      </c>
      <c r="D16" s="12">
        <f>C16+25</f>
        <v>46124</v>
      </c>
      <c r="E16" s="43">
        <f ca="1">TODAY()-C16</f>
        <v>25</v>
      </c>
      <c r="F16" s="43" t="s">
        <v>46</v>
      </c>
      <c r="G16" s="43" t="s">
        <v>40</v>
      </c>
      <c r="H16" s="11" t="s">
        <v>38</v>
      </c>
      <c r="I16" s="43" t="s">
        <v>38</v>
      </c>
      <c r="J16" s="64"/>
    </row>
    <row r="17" spans="1:15" s="17" customFormat="1" x14ac:dyDescent="0.25">
      <c r="A17" s="21">
        <v>741360</v>
      </c>
      <c r="B17" s="11" t="s">
        <v>80</v>
      </c>
      <c r="C17" s="12">
        <v>46064</v>
      </c>
      <c r="D17" s="12">
        <f>C17+60</f>
        <v>46124</v>
      </c>
      <c r="E17" s="20">
        <f ca="1">TODAY()-C17</f>
        <v>60</v>
      </c>
      <c r="F17" s="11" t="s">
        <v>81</v>
      </c>
      <c r="G17" s="11" t="s">
        <v>40</v>
      </c>
      <c r="H17" s="11" t="s">
        <v>38</v>
      </c>
      <c r="I17" s="43" t="s">
        <v>42</v>
      </c>
      <c r="J17" s="59"/>
      <c r="K17"/>
      <c r="L17"/>
      <c r="M17"/>
      <c r="N17"/>
      <c r="O17"/>
    </row>
    <row r="18" spans="1:15" s="15" customFormat="1" x14ac:dyDescent="0.25">
      <c r="A18" s="9">
        <v>741994</v>
      </c>
      <c r="B18" s="77" t="s">
        <v>224</v>
      </c>
      <c r="C18" s="12" t="s">
        <v>16</v>
      </c>
      <c r="D18" s="12">
        <v>46127</v>
      </c>
      <c r="E18" s="20" t="e">
        <f ca="1">TODAY()-C18</f>
        <v>#VALUE!</v>
      </c>
      <c r="F18" s="11" t="s">
        <v>44</v>
      </c>
      <c r="G18" s="11" t="s">
        <v>40</v>
      </c>
      <c r="H18" s="11" t="s">
        <v>51</v>
      </c>
      <c r="I18" s="14">
        <v>0.01</v>
      </c>
      <c r="J18" s="59"/>
    </row>
    <row r="19" spans="1:15" x14ac:dyDescent="0.25">
      <c r="A19" s="9">
        <v>740620</v>
      </c>
      <c r="B19" s="77" t="s">
        <v>227</v>
      </c>
      <c r="C19" s="12">
        <v>46101</v>
      </c>
      <c r="D19" s="12">
        <f>C19+27</f>
        <v>46128</v>
      </c>
      <c r="E19" s="20">
        <f ca="1">TODAY()-C19</f>
        <v>23</v>
      </c>
      <c r="F19" s="11" t="s">
        <v>228</v>
      </c>
      <c r="G19" s="66" t="s">
        <v>229</v>
      </c>
      <c r="H19" s="11" t="s">
        <v>18</v>
      </c>
      <c r="I19" s="14" t="s">
        <v>38</v>
      </c>
      <c r="J19" s="59" t="s">
        <v>236</v>
      </c>
    </row>
    <row r="20" spans="1:15" x14ac:dyDescent="0.25">
      <c r="A20" s="9">
        <v>741901</v>
      </c>
      <c r="B20" s="83" t="s">
        <v>55</v>
      </c>
      <c r="C20" s="12">
        <v>46107</v>
      </c>
      <c r="D20" s="12">
        <f>C20+25</f>
        <v>46132</v>
      </c>
      <c r="E20" s="20">
        <f ca="1">TODAY()-C20</f>
        <v>17</v>
      </c>
      <c r="F20" s="11" t="s">
        <v>56</v>
      </c>
      <c r="G20" s="11" t="s">
        <v>40</v>
      </c>
      <c r="H20" s="11" t="s">
        <v>38</v>
      </c>
      <c r="I20" s="43" t="s">
        <v>38</v>
      </c>
      <c r="J20" s="59"/>
    </row>
    <row r="21" spans="1:15" x14ac:dyDescent="0.25">
      <c r="A21" s="21">
        <v>741710</v>
      </c>
      <c r="B21" s="83" t="s">
        <v>9</v>
      </c>
      <c r="C21" s="12">
        <v>46107</v>
      </c>
      <c r="D21" s="12">
        <f>C21+25</f>
        <v>46132</v>
      </c>
      <c r="E21" s="20">
        <f ca="1">TODAY()-C21</f>
        <v>17</v>
      </c>
      <c r="F21" s="11" t="s">
        <v>45</v>
      </c>
      <c r="G21" s="11" t="s">
        <v>40</v>
      </c>
      <c r="H21" s="11" t="s">
        <v>38</v>
      </c>
      <c r="I21" s="43" t="s">
        <v>38</v>
      </c>
      <c r="J21" s="87"/>
    </row>
    <row r="22" spans="1:15" x14ac:dyDescent="0.25">
      <c r="A22" s="21">
        <v>743263</v>
      </c>
      <c r="B22" s="11" t="s">
        <v>68</v>
      </c>
      <c r="C22" s="12">
        <v>46108</v>
      </c>
      <c r="D22" s="12">
        <f>C22+25</f>
        <v>46133</v>
      </c>
      <c r="E22" s="20">
        <f ca="1">TODAY()-C22</f>
        <v>16</v>
      </c>
      <c r="F22" s="11" t="s">
        <v>69</v>
      </c>
      <c r="G22" s="11" t="s">
        <v>54</v>
      </c>
      <c r="H22" s="11" t="s">
        <v>38</v>
      </c>
      <c r="I22" s="43" t="s">
        <v>38</v>
      </c>
      <c r="J22" s="15"/>
    </row>
    <row r="23" spans="1:15" x14ac:dyDescent="0.25">
      <c r="A23" s="21">
        <v>742989</v>
      </c>
      <c r="B23" s="83" t="s">
        <v>59</v>
      </c>
      <c r="C23" s="12">
        <v>46112</v>
      </c>
      <c r="D23" s="12">
        <f>C23+25</f>
        <v>46137</v>
      </c>
      <c r="E23" s="20">
        <f ca="1">TODAY()-C23</f>
        <v>12</v>
      </c>
      <c r="F23" s="11" t="s">
        <v>60</v>
      </c>
      <c r="G23" s="11" t="s">
        <v>54</v>
      </c>
      <c r="H23" s="11" t="s">
        <v>38</v>
      </c>
      <c r="I23" s="14" t="s">
        <v>38</v>
      </c>
      <c r="J23" s="59"/>
    </row>
    <row r="24" spans="1:15" x14ac:dyDescent="0.25">
      <c r="A24" s="21">
        <v>741723</v>
      </c>
      <c r="B24" s="83" t="s">
        <v>61</v>
      </c>
      <c r="C24" s="12">
        <v>46112</v>
      </c>
      <c r="D24" s="12">
        <f>C24+25</f>
        <v>46137</v>
      </c>
      <c r="E24" s="20">
        <f ca="1">TODAY()-C24</f>
        <v>12</v>
      </c>
      <c r="F24" s="11" t="s">
        <v>62</v>
      </c>
      <c r="G24" s="11" t="s">
        <v>40</v>
      </c>
      <c r="H24" s="11" t="s">
        <v>38</v>
      </c>
      <c r="I24" s="43" t="s">
        <v>38</v>
      </c>
      <c r="J24" s="59"/>
    </row>
    <row r="25" spans="1:15" x14ac:dyDescent="0.25">
      <c r="A25" s="21">
        <v>740232</v>
      </c>
      <c r="B25" s="83" t="s">
        <v>47</v>
      </c>
      <c r="C25" s="12">
        <v>46124</v>
      </c>
      <c r="D25" s="12">
        <f>C25+15</f>
        <v>46139</v>
      </c>
      <c r="E25" s="20">
        <f ca="1">TODAY()-C25</f>
        <v>0</v>
      </c>
      <c r="F25" s="11" t="s">
        <v>48</v>
      </c>
      <c r="G25" s="11" t="s">
        <v>40</v>
      </c>
      <c r="H25" s="11" t="s">
        <v>38</v>
      </c>
      <c r="I25" s="43" t="s">
        <v>38</v>
      </c>
      <c r="J25" s="59"/>
    </row>
    <row r="26" spans="1:15" x14ac:dyDescent="0.25">
      <c r="A26" s="9">
        <v>740450</v>
      </c>
      <c r="B26" s="77" t="s">
        <v>232</v>
      </c>
      <c r="C26" s="12">
        <v>46114</v>
      </c>
      <c r="D26" s="12">
        <f>C26+25</f>
        <v>46139</v>
      </c>
      <c r="E26" s="20">
        <f ca="1">TODAY()-C26</f>
        <v>10</v>
      </c>
      <c r="F26" s="11" t="s">
        <v>233</v>
      </c>
      <c r="G26" s="66" t="s">
        <v>40</v>
      </c>
      <c r="H26" s="11" t="s">
        <v>38</v>
      </c>
      <c r="I26" s="14" t="s">
        <v>38</v>
      </c>
      <c r="J26" s="59" t="s">
        <v>236</v>
      </c>
    </row>
    <row r="27" spans="1:15" x14ac:dyDescent="0.25">
      <c r="A27" s="9">
        <v>743141</v>
      </c>
      <c r="B27" s="83" t="s">
        <v>20</v>
      </c>
      <c r="C27" s="12">
        <v>46122</v>
      </c>
      <c r="D27" s="12">
        <f>C27+20</f>
        <v>46142</v>
      </c>
      <c r="E27" s="20">
        <f ca="1">TODAY()-C27</f>
        <v>2</v>
      </c>
      <c r="F27" s="43" t="s">
        <v>72</v>
      </c>
      <c r="G27" s="43" t="s">
        <v>54</v>
      </c>
      <c r="H27" s="11" t="s">
        <v>51</v>
      </c>
      <c r="I27" s="43" t="s">
        <v>42</v>
      </c>
      <c r="J27" s="59"/>
    </row>
    <row r="28" spans="1:15" x14ac:dyDescent="0.25">
      <c r="A28" s="16">
        <v>742972</v>
      </c>
      <c r="B28" s="83" t="s">
        <v>8</v>
      </c>
      <c r="C28" s="12">
        <v>46118</v>
      </c>
      <c r="D28" s="12">
        <f>C28+25</f>
        <v>46143</v>
      </c>
      <c r="E28" s="20">
        <f ca="1">TODAY()-C28</f>
        <v>6</v>
      </c>
      <c r="F28" s="11" t="s">
        <v>35</v>
      </c>
      <c r="G28" s="11" t="s">
        <v>36</v>
      </c>
      <c r="H28" s="11" t="s">
        <v>37</v>
      </c>
      <c r="I28" s="43" t="s">
        <v>38</v>
      </c>
      <c r="J28" s="59"/>
    </row>
    <row r="29" spans="1:15" x14ac:dyDescent="0.25">
      <c r="A29" s="21">
        <v>741364</v>
      </c>
      <c r="B29" s="11" t="s">
        <v>57</v>
      </c>
      <c r="C29" s="12">
        <v>46119</v>
      </c>
      <c r="D29" s="12">
        <f>C29+25</f>
        <v>46144</v>
      </c>
      <c r="E29" s="20">
        <f ca="1">TODAY()-C29</f>
        <v>5</v>
      </c>
      <c r="F29" s="11" t="s">
        <v>58</v>
      </c>
      <c r="G29" s="11" t="s">
        <v>40</v>
      </c>
      <c r="H29" s="11" t="s">
        <v>38</v>
      </c>
      <c r="I29" s="43" t="s">
        <v>38</v>
      </c>
      <c r="J29" s="59"/>
    </row>
    <row r="30" spans="1:15" s="15" customFormat="1" x14ac:dyDescent="0.25">
      <c r="A30" s="16">
        <v>740235</v>
      </c>
      <c r="B30" s="11" t="s">
        <v>75</v>
      </c>
      <c r="C30" s="12">
        <v>46121</v>
      </c>
      <c r="D30" s="12">
        <f>C30+25</f>
        <v>46146</v>
      </c>
      <c r="E30" s="20">
        <f ca="1">TODAY()-C30</f>
        <v>3</v>
      </c>
      <c r="F30" s="11" t="s">
        <v>76</v>
      </c>
      <c r="G30" s="11" t="s">
        <v>40</v>
      </c>
      <c r="H30" s="11" t="s">
        <v>38</v>
      </c>
      <c r="I30" s="43" t="s">
        <v>38</v>
      </c>
      <c r="J30" s="59"/>
      <c r="K30"/>
      <c r="L30"/>
      <c r="M30"/>
      <c r="N30"/>
      <c r="O30"/>
    </row>
    <row r="31" spans="1:15" x14ac:dyDescent="0.25">
      <c r="A31" s="21">
        <v>743295</v>
      </c>
      <c r="B31" s="11" t="s">
        <v>66</v>
      </c>
      <c r="C31" s="12">
        <v>46121</v>
      </c>
      <c r="D31" s="12">
        <f>C31+25</f>
        <v>46146</v>
      </c>
      <c r="E31" s="20">
        <f ca="1">TODAY()-C31</f>
        <v>3</v>
      </c>
      <c r="F31" s="11" t="s">
        <v>67</v>
      </c>
      <c r="G31" s="11" t="s">
        <v>54</v>
      </c>
      <c r="H31" s="11" t="s">
        <v>38</v>
      </c>
      <c r="I31" s="43" t="s">
        <v>38</v>
      </c>
      <c r="J31" s="59"/>
    </row>
    <row r="32" spans="1:15" x14ac:dyDescent="0.25">
      <c r="A32" s="16">
        <v>740304</v>
      </c>
      <c r="B32" s="83" t="s">
        <v>85</v>
      </c>
      <c r="C32" s="12">
        <v>46122</v>
      </c>
      <c r="D32" s="12">
        <f>C32+25</f>
        <v>46147</v>
      </c>
      <c r="E32" s="20">
        <f ca="1">TODAY()-C32</f>
        <v>2</v>
      </c>
      <c r="F32" s="11" t="s">
        <v>86</v>
      </c>
      <c r="G32" s="11" t="s">
        <v>40</v>
      </c>
      <c r="H32" s="11" t="s">
        <v>38</v>
      </c>
      <c r="I32" s="14" t="s">
        <v>38</v>
      </c>
      <c r="J32" s="101"/>
    </row>
    <row r="33" spans="1:10" x14ac:dyDescent="0.25">
      <c r="A33" s="9">
        <v>740370</v>
      </c>
      <c r="B33" s="34" t="s">
        <v>234</v>
      </c>
      <c r="C33" s="12">
        <v>46122</v>
      </c>
      <c r="D33" s="12">
        <f>C33+25</f>
        <v>46147</v>
      </c>
      <c r="E33" s="20">
        <f ca="1">TODAY()-C33</f>
        <v>2</v>
      </c>
      <c r="F33" s="11" t="s">
        <v>235</v>
      </c>
      <c r="G33" s="66" t="s">
        <v>40</v>
      </c>
      <c r="H33" s="11" t="s">
        <v>38</v>
      </c>
      <c r="I33" s="14" t="s">
        <v>38</v>
      </c>
      <c r="J33" s="59" t="s">
        <v>236</v>
      </c>
    </row>
    <row r="34" spans="1:10" x14ac:dyDescent="0.25">
      <c r="A34" s="9">
        <v>740452</v>
      </c>
      <c r="B34" s="77" t="s">
        <v>230</v>
      </c>
      <c r="C34" s="12">
        <v>46122</v>
      </c>
      <c r="D34" s="12">
        <f>C34+25</f>
        <v>46147</v>
      </c>
      <c r="E34" s="20">
        <f ca="1">TODAY()-C34</f>
        <v>2</v>
      </c>
      <c r="F34" s="11" t="s">
        <v>231</v>
      </c>
      <c r="G34" s="66" t="s">
        <v>40</v>
      </c>
      <c r="H34" s="11" t="s">
        <v>38</v>
      </c>
      <c r="I34" s="14" t="s">
        <v>38</v>
      </c>
      <c r="J34" s="59" t="s">
        <v>236</v>
      </c>
    </row>
    <row r="35" spans="1:10" x14ac:dyDescent="0.25">
      <c r="A35" s="9">
        <v>742822</v>
      </c>
      <c r="B35" s="34" t="s">
        <v>255</v>
      </c>
      <c r="C35" s="12">
        <v>46122</v>
      </c>
      <c r="D35" s="12">
        <f>C35+25</f>
        <v>46147</v>
      </c>
      <c r="E35" s="116">
        <f ca="1">TODAY()-C35</f>
        <v>2</v>
      </c>
      <c r="F35" s="34" t="s">
        <v>216</v>
      </c>
      <c r="G35" s="34" t="s">
        <v>40</v>
      </c>
      <c r="H35" s="11" t="s">
        <v>38</v>
      </c>
      <c r="I35" s="43" t="s">
        <v>38</v>
      </c>
      <c r="J35" s="75" t="s">
        <v>236</v>
      </c>
    </row>
    <row r="36" spans="1:10" x14ac:dyDescent="0.25">
      <c r="A36" s="9">
        <v>741368</v>
      </c>
      <c r="B36" s="34" t="s">
        <v>223</v>
      </c>
      <c r="C36" s="12" t="s">
        <v>16</v>
      </c>
      <c r="D36" s="12" t="s">
        <v>84</v>
      </c>
      <c r="E36" s="20" t="e">
        <f ca="1">TODAY()-C36</f>
        <v>#VALUE!</v>
      </c>
      <c r="F36" s="11" t="s">
        <v>237</v>
      </c>
      <c r="G36" s="11" t="s">
        <v>40</v>
      </c>
      <c r="H36" s="11" t="s">
        <v>38</v>
      </c>
      <c r="I36" s="43" t="s">
        <v>38</v>
      </c>
      <c r="J36" s="59"/>
    </row>
    <row r="37" spans="1:10" x14ac:dyDescent="0.25">
      <c r="A37" s="16">
        <v>741504</v>
      </c>
      <c r="B37" s="11" t="s">
        <v>87</v>
      </c>
      <c r="C37" s="12" t="s">
        <v>16</v>
      </c>
      <c r="D37" s="12" t="s">
        <v>84</v>
      </c>
      <c r="E37" s="20" t="e">
        <f ca="1">TODAY()-C37</f>
        <v>#VALUE!</v>
      </c>
      <c r="F37" s="11" t="s">
        <v>88</v>
      </c>
      <c r="G37" s="11" t="s">
        <v>89</v>
      </c>
      <c r="H37" s="11" t="s">
        <v>37</v>
      </c>
      <c r="I37" s="43" t="s">
        <v>38</v>
      </c>
      <c r="J37" s="59"/>
    </row>
    <row r="38" spans="1:10" x14ac:dyDescent="0.25">
      <c r="A38" s="21">
        <v>741362</v>
      </c>
      <c r="B38" s="11" t="s">
        <v>7</v>
      </c>
      <c r="C38" s="12" t="s">
        <v>16</v>
      </c>
      <c r="D38" s="12" t="s">
        <v>84</v>
      </c>
      <c r="E38" s="20" t="e">
        <f ca="1">TODAY()-C38</f>
        <v>#VALUE!</v>
      </c>
      <c r="F38" s="11" t="s">
        <v>39</v>
      </c>
      <c r="G38" s="11" t="s">
        <v>40</v>
      </c>
      <c r="H38" s="11" t="s">
        <v>38</v>
      </c>
      <c r="I38" s="43" t="s">
        <v>38</v>
      </c>
      <c r="J38" s="15"/>
    </row>
    <row r="39" spans="1:10" x14ac:dyDescent="0.25">
      <c r="A39" s="16">
        <v>756200</v>
      </c>
      <c r="B39" s="11" t="s">
        <v>82</v>
      </c>
      <c r="C39" s="12" t="s">
        <v>16</v>
      </c>
      <c r="D39" s="12" t="s">
        <v>84</v>
      </c>
      <c r="E39" s="43" t="e">
        <f ca="1">TODAY()-C39</f>
        <v>#VALUE!</v>
      </c>
      <c r="F39" s="11" t="s">
        <v>83</v>
      </c>
      <c r="G39" s="11" t="s">
        <v>79</v>
      </c>
      <c r="H39" s="11" t="s">
        <v>37</v>
      </c>
      <c r="I39" s="14">
        <v>0.01</v>
      </c>
      <c r="J39" s="59"/>
    </row>
    <row r="40" spans="1:10" x14ac:dyDescent="0.25">
      <c r="A40" s="16">
        <v>742974</v>
      </c>
      <c r="B40" s="11" t="s">
        <v>6</v>
      </c>
      <c r="C40" s="43" t="s">
        <v>238</v>
      </c>
      <c r="D40" s="43"/>
      <c r="E40" s="20"/>
      <c r="F40" s="11" t="s">
        <v>98</v>
      </c>
      <c r="G40" s="11" t="s">
        <v>36</v>
      </c>
      <c r="H40" s="11" t="s">
        <v>18</v>
      </c>
      <c r="I40" s="43" t="s">
        <v>99</v>
      </c>
      <c r="J40" s="15"/>
    </row>
    <row r="41" spans="1:10" s="17" customFormat="1" x14ac:dyDescent="0.25">
      <c r="A41" s="16">
        <v>742977</v>
      </c>
      <c r="B41" s="11" t="s">
        <v>100</v>
      </c>
      <c r="C41" s="43"/>
      <c r="D41" s="43"/>
      <c r="E41" s="20"/>
      <c r="F41" s="11" t="s">
        <v>98</v>
      </c>
      <c r="G41" s="11" t="s">
        <v>36</v>
      </c>
      <c r="H41" s="11" t="s">
        <v>18</v>
      </c>
      <c r="I41" s="43" t="s">
        <v>99</v>
      </c>
      <c r="J41"/>
    </row>
    <row r="42" spans="1:10" x14ac:dyDescent="0.25">
      <c r="A42" s="16">
        <v>742976</v>
      </c>
      <c r="B42" s="11" t="s">
        <v>101</v>
      </c>
      <c r="C42" s="43"/>
      <c r="D42" s="43"/>
      <c r="E42" s="20"/>
      <c r="F42" s="11" t="s">
        <v>98</v>
      </c>
      <c r="G42" s="11" t="s">
        <v>36</v>
      </c>
      <c r="H42" s="11" t="s">
        <v>18</v>
      </c>
      <c r="I42" s="43" t="s">
        <v>99</v>
      </c>
    </row>
    <row r="43" spans="1:10" x14ac:dyDescent="0.25">
      <c r="A43" s="33">
        <v>742975</v>
      </c>
      <c r="B43" s="35" t="s">
        <v>24</v>
      </c>
      <c r="C43" s="32"/>
      <c r="D43" s="32"/>
      <c r="E43" s="20"/>
      <c r="F43" s="35" t="s">
        <v>98</v>
      </c>
      <c r="G43" s="35" t="s">
        <v>36</v>
      </c>
      <c r="H43" s="11" t="s">
        <v>18</v>
      </c>
      <c r="I43" s="43" t="s">
        <v>99</v>
      </c>
    </row>
    <row r="44" spans="1:10" x14ac:dyDescent="0.25">
      <c r="A44" s="40">
        <v>742050</v>
      </c>
      <c r="B44" s="35" t="s">
        <v>23</v>
      </c>
      <c r="C44" s="32"/>
      <c r="D44" s="32"/>
      <c r="E44" s="20"/>
      <c r="F44" s="35" t="s">
        <v>105</v>
      </c>
      <c r="G44" s="35" t="s">
        <v>40</v>
      </c>
      <c r="H44" s="11" t="s">
        <v>18</v>
      </c>
      <c r="I44" s="14">
        <v>0.01</v>
      </c>
    </row>
    <row r="45" spans="1:10" x14ac:dyDescent="0.25">
      <c r="A45" s="40">
        <v>756084</v>
      </c>
      <c r="B45" s="35" t="s">
        <v>27</v>
      </c>
      <c r="C45" s="32"/>
      <c r="D45" s="32"/>
      <c r="E45" s="20"/>
      <c r="F45" s="35" t="s">
        <v>103</v>
      </c>
      <c r="G45" s="35" t="s">
        <v>104</v>
      </c>
      <c r="H45" s="11" t="s">
        <v>18</v>
      </c>
      <c r="I45" s="43" t="s">
        <v>99</v>
      </c>
    </row>
    <row r="46" spans="1:10" x14ac:dyDescent="0.25">
      <c r="A46" s="40">
        <v>756086</v>
      </c>
      <c r="B46" s="35" t="s">
        <v>28</v>
      </c>
      <c r="C46" s="32"/>
      <c r="D46" s="32"/>
      <c r="E46" s="42"/>
      <c r="F46" s="35" t="s">
        <v>103</v>
      </c>
      <c r="G46" s="35" t="s">
        <v>104</v>
      </c>
      <c r="H46" s="11" t="s">
        <v>18</v>
      </c>
      <c r="I46" s="43" t="s">
        <v>99</v>
      </c>
      <c r="J46" s="15"/>
    </row>
    <row r="47" spans="1:10" x14ac:dyDescent="0.25">
      <c r="A47" s="40">
        <v>756125</v>
      </c>
      <c r="B47" s="35" t="s">
        <v>29</v>
      </c>
      <c r="C47" s="32"/>
      <c r="D47" s="32"/>
      <c r="E47" s="42"/>
      <c r="F47" s="59" t="s">
        <v>106</v>
      </c>
      <c r="G47" s="59" t="s">
        <v>104</v>
      </c>
      <c r="H47" s="11" t="s">
        <v>18</v>
      </c>
      <c r="I47" s="43" t="s">
        <v>99</v>
      </c>
    </row>
    <row r="48" spans="1:10" x14ac:dyDescent="0.25">
      <c r="A48" s="33">
        <v>756128</v>
      </c>
      <c r="B48" s="41" t="s">
        <v>107</v>
      </c>
      <c r="C48" s="32"/>
      <c r="D48" s="32"/>
      <c r="E48" s="42"/>
      <c r="F48" s="32" t="s">
        <v>108</v>
      </c>
      <c r="G48" s="32" t="s">
        <v>104</v>
      </c>
      <c r="H48" s="11" t="s">
        <v>18</v>
      </c>
      <c r="I48" s="43" t="s">
        <v>99</v>
      </c>
    </row>
    <row r="49" spans="1:10" x14ac:dyDescent="0.25">
      <c r="A49" s="40">
        <v>756131</v>
      </c>
      <c r="B49" s="35" t="s">
        <v>109</v>
      </c>
      <c r="C49" s="32"/>
      <c r="D49" s="32"/>
      <c r="E49" s="42"/>
      <c r="F49" s="59" t="s">
        <v>110</v>
      </c>
      <c r="G49" s="59" t="s">
        <v>104</v>
      </c>
      <c r="H49" s="11" t="s">
        <v>18</v>
      </c>
      <c r="I49" s="43" t="s">
        <v>99</v>
      </c>
    </row>
    <row r="50" spans="1:10" x14ac:dyDescent="0.25">
      <c r="A50" s="40">
        <v>756126</v>
      </c>
      <c r="B50" s="35" t="s">
        <v>30</v>
      </c>
      <c r="C50" s="32"/>
      <c r="D50" s="32"/>
      <c r="E50" s="42"/>
      <c r="F50" s="59" t="s">
        <v>110</v>
      </c>
      <c r="G50" s="59" t="s">
        <v>104</v>
      </c>
      <c r="H50" s="11" t="s">
        <v>18</v>
      </c>
      <c r="I50" s="43" t="s">
        <v>99</v>
      </c>
    </row>
    <row r="51" spans="1:10" x14ac:dyDescent="0.25">
      <c r="A51" s="33">
        <v>740137</v>
      </c>
      <c r="B51" s="35" t="s">
        <v>21</v>
      </c>
      <c r="C51" s="32"/>
      <c r="D51" s="32"/>
      <c r="E51" s="42"/>
      <c r="F51" s="59" t="s">
        <v>113</v>
      </c>
      <c r="G51" s="59" t="s">
        <v>97</v>
      </c>
      <c r="H51" s="11" t="s">
        <v>19</v>
      </c>
      <c r="I51" s="43" t="s">
        <v>99</v>
      </c>
    </row>
    <row r="52" spans="1:10" x14ac:dyDescent="0.25">
      <c r="A52" s="33">
        <v>740138</v>
      </c>
      <c r="B52" s="35" t="s">
        <v>22</v>
      </c>
      <c r="C52" s="32"/>
      <c r="D52" s="32"/>
      <c r="E52" s="42"/>
      <c r="F52" s="59" t="s">
        <v>114</v>
      </c>
      <c r="G52" s="59" t="s">
        <v>97</v>
      </c>
      <c r="H52" s="11" t="s">
        <v>19</v>
      </c>
      <c r="I52" s="43" t="s">
        <v>99</v>
      </c>
    </row>
    <row r="53" spans="1:10" x14ac:dyDescent="0.25">
      <c r="A53" s="33">
        <v>742984</v>
      </c>
      <c r="B53" s="35" t="s">
        <v>25</v>
      </c>
      <c r="C53" s="32"/>
      <c r="D53" s="32"/>
      <c r="E53" s="42"/>
      <c r="F53" s="59" t="s">
        <v>102</v>
      </c>
      <c r="G53" s="59" t="s">
        <v>54</v>
      </c>
      <c r="H53" s="11" t="s">
        <v>18</v>
      </c>
      <c r="I53" s="43" t="s">
        <v>99</v>
      </c>
    </row>
    <row r="54" spans="1:10" x14ac:dyDescent="0.25">
      <c r="A54" s="40">
        <v>756025</v>
      </c>
      <c r="B54" s="35" t="s">
        <v>26</v>
      </c>
      <c r="C54" s="32"/>
      <c r="D54" s="32"/>
      <c r="E54" s="42"/>
      <c r="F54" s="59" t="s">
        <v>111</v>
      </c>
      <c r="G54" s="59" t="s">
        <v>79</v>
      </c>
      <c r="H54" s="59" t="s">
        <v>18</v>
      </c>
      <c r="I54" s="32" t="s">
        <v>99</v>
      </c>
    </row>
    <row r="55" spans="1:10" x14ac:dyDescent="0.25">
      <c r="A55" s="33">
        <v>756032</v>
      </c>
      <c r="B55" s="41" t="s">
        <v>112</v>
      </c>
      <c r="C55" s="32"/>
      <c r="D55" s="32"/>
      <c r="E55" s="42"/>
      <c r="F55" s="32" t="s">
        <v>111</v>
      </c>
      <c r="G55" s="32" t="s">
        <v>79</v>
      </c>
      <c r="H55" s="59" t="s">
        <v>18</v>
      </c>
      <c r="I55" s="32" t="s">
        <v>99</v>
      </c>
    </row>
    <row r="56" spans="1:10" x14ac:dyDescent="0.25">
      <c r="A56" s="1">
        <v>741011</v>
      </c>
      <c r="B56" s="74" t="s">
        <v>241</v>
      </c>
      <c r="F56" s="34" t="s">
        <v>242</v>
      </c>
      <c r="G56" s="34" t="s">
        <v>40</v>
      </c>
      <c r="H56" s="11" t="s">
        <v>18</v>
      </c>
      <c r="I56" s="43" t="s">
        <v>99</v>
      </c>
      <c r="J56" s="109" t="s">
        <v>243</v>
      </c>
    </row>
    <row r="59" spans="1:10" x14ac:dyDescent="0.25">
      <c r="B59" s="65"/>
      <c r="G59" s="64"/>
      <c r="H59" s="11"/>
      <c r="I59" s="14"/>
    </row>
  </sheetData>
  <autoFilter ref="A1:J1" xr:uid="{F8A72078-0951-4B32-98C9-40AC2FD2ECA0}">
    <sortState xmlns:xlrd2="http://schemas.microsoft.com/office/spreadsheetml/2017/richdata2" ref="A2:J56">
      <sortCondition ref="D1"/>
    </sortState>
  </autoFilter>
  <phoneticPr fontId="7" type="noConversion"/>
  <dataValidations disablePrompts="1" count="2">
    <dataValidation type="list" allowBlank="1" showInputMessage="1" showErrorMessage="1" sqref="H59 H2:H53 H56" xr:uid="{227F86D7-7117-456A-8E20-84ADDC189907}">
      <formula1>"Daily, Biweekly, Triweekly, Weekly, Monthly, Call/Monthly, Bimonthly"</formula1>
    </dataValidation>
    <dataValidation type="list" allowBlank="1" showInputMessage="1" showErrorMessage="1" sqref="I59 I2:I53 I56" xr:uid="{1A5F071B-74FF-4FD1-AAAC-A6DAC3ED27ED}">
      <formula1>"1%, DD, CIA, Send Email 3 Days before, Call 1 day before, Monthly, Biweekly"</formula1>
    </dataValidation>
  </dataValidations>
  <pageMargins left="0.25" right="0.25" top="0.5" bottom="0" header="0.3" footer="0.3"/>
  <pageSetup scale="59" fitToHeight="0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0FB1-6679-40BA-AEBF-FA333291C9D0}">
  <sheetPr>
    <pageSetUpPr fitToPage="1"/>
  </sheetPr>
  <dimension ref="A1:I29"/>
  <sheetViews>
    <sheetView workbookViewId="0">
      <selection activeCell="N22" sqref="N22"/>
    </sheetView>
  </sheetViews>
  <sheetFormatPr defaultRowHeight="15" x14ac:dyDescent="0.25"/>
  <cols>
    <col min="1" max="1" width="7" bestFit="1" customWidth="1"/>
    <col min="2" max="2" width="35.7109375" bestFit="1" customWidth="1"/>
    <col min="3" max="3" width="11.85546875" bestFit="1" customWidth="1"/>
    <col min="4" max="4" width="7.28515625" bestFit="1" customWidth="1"/>
    <col min="5" max="5" width="8.42578125" bestFit="1" customWidth="1"/>
    <col min="6" max="6" width="20.85546875" bestFit="1" customWidth="1"/>
    <col min="7" max="7" width="9.7109375" bestFit="1" customWidth="1"/>
    <col min="8" max="8" width="16" bestFit="1" customWidth="1"/>
  </cols>
  <sheetData>
    <row r="1" spans="1:9" x14ac:dyDescent="0.25">
      <c r="A1" s="9" t="s">
        <v>11</v>
      </c>
      <c r="B1" s="9" t="s">
        <v>12</v>
      </c>
      <c r="C1" s="10" t="s">
        <v>13</v>
      </c>
      <c r="D1" s="10" t="s">
        <v>14</v>
      </c>
      <c r="E1" s="10" t="s">
        <v>15</v>
      </c>
      <c r="F1" s="9" t="s">
        <v>31</v>
      </c>
      <c r="G1" s="9" t="s">
        <v>32</v>
      </c>
      <c r="H1" s="9" t="s">
        <v>33</v>
      </c>
      <c r="I1" s="9" t="s">
        <v>34</v>
      </c>
    </row>
    <row r="2" spans="1:9" x14ac:dyDescent="0.25">
      <c r="A2" s="21">
        <v>741721</v>
      </c>
      <c r="B2" s="83" t="s">
        <v>49</v>
      </c>
      <c r="C2" s="12" t="s">
        <v>16</v>
      </c>
      <c r="D2" s="12">
        <v>45970</v>
      </c>
      <c r="E2" s="20" t="e">
        <f t="shared" ref="E2:E12" ca="1" si="0">TODAY()-C2</f>
        <v>#VALUE!</v>
      </c>
      <c r="F2" s="11" t="s">
        <v>50</v>
      </c>
      <c r="G2" s="11" t="s">
        <v>40</v>
      </c>
      <c r="H2" s="11" t="s">
        <v>37</v>
      </c>
      <c r="I2" s="43" t="s">
        <v>38</v>
      </c>
    </row>
    <row r="3" spans="1:9" x14ac:dyDescent="0.25">
      <c r="A3" s="16">
        <v>742972</v>
      </c>
      <c r="B3" s="83" t="s">
        <v>8</v>
      </c>
      <c r="C3" s="12" t="s">
        <v>16</v>
      </c>
      <c r="D3" s="12">
        <v>45985</v>
      </c>
      <c r="E3" s="20" t="e">
        <f t="shared" ca="1" si="0"/>
        <v>#VALUE!</v>
      </c>
      <c r="F3" s="11" t="s">
        <v>35</v>
      </c>
      <c r="G3" s="11" t="s">
        <v>36</v>
      </c>
      <c r="H3" s="11" t="s">
        <v>37</v>
      </c>
      <c r="I3" s="43" t="s">
        <v>38</v>
      </c>
    </row>
    <row r="4" spans="1:9" x14ac:dyDescent="0.25">
      <c r="A4" s="16">
        <v>740235</v>
      </c>
      <c r="B4" s="11" t="s">
        <v>75</v>
      </c>
      <c r="C4" s="12">
        <v>46034</v>
      </c>
      <c r="D4" s="12">
        <f>C4+25</f>
        <v>46059</v>
      </c>
      <c r="E4" s="20">
        <f t="shared" ca="1" si="0"/>
        <v>90</v>
      </c>
      <c r="F4" s="11" t="s">
        <v>76</v>
      </c>
      <c r="G4" s="11" t="s">
        <v>40</v>
      </c>
      <c r="H4" s="11" t="s">
        <v>38</v>
      </c>
      <c r="I4" s="43" t="s">
        <v>38</v>
      </c>
    </row>
    <row r="5" spans="1:9" x14ac:dyDescent="0.25">
      <c r="A5" s="9">
        <v>741901</v>
      </c>
      <c r="B5" s="83" t="s">
        <v>55</v>
      </c>
      <c r="C5" s="12">
        <v>46035</v>
      </c>
      <c r="D5" s="12">
        <f>C5+25</f>
        <v>46060</v>
      </c>
      <c r="E5" s="20">
        <f t="shared" ca="1" si="0"/>
        <v>89</v>
      </c>
      <c r="F5" s="11" t="s">
        <v>56</v>
      </c>
      <c r="G5" s="11" t="s">
        <v>40</v>
      </c>
      <c r="H5" s="11" t="s">
        <v>38</v>
      </c>
      <c r="I5" s="43" t="s">
        <v>38</v>
      </c>
    </row>
    <row r="6" spans="1:9" x14ac:dyDescent="0.25">
      <c r="A6" s="9">
        <v>743284</v>
      </c>
      <c r="B6" s="83" t="s">
        <v>63</v>
      </c>
      <c r="C6" s="12">
        <v>46036</v>
      </c>
      <c r="D6" s="12">
        <f>C6+25</f>
        <v>46061</v>
      </c>
      <c r="E6" s="20">
        <f t="shared" ca="1" si="0"/>
        <v>88</v>
      </c>
      <c r="F6" s="11" t="s">
        <v>64</v>
      </c>
      <c r="G6" s="11" t="s">
        <v>65</v>
      </c>
      <c r="H6" s="11" t="s">
        <v>37</v>
      </c>
      <c r="I6" s="11" t="s">
        <v>38</v>
      </c>
    </row>
    <row r="7" spans="1:9" x14ac:dyDescent="0.25">
      <c r="A7" s="21">
        <v>741364</v>
      </c>
      <c r="B7" s="11" t="s">
        <v>57</v>
      </c>
      <c r="C7" s="12">
        <v>46037</v>
      </c>
      <c r="D7" s="12">
        <f>C7+25</f>
        <v>46062</v>
      </c>
      <c r="E7" s="20">
        <f t="shared" ca="1" si="0"/>
        <v>87</v>
      </c>
      <c r="F7" s="11" t="s">
        <v>58</v>
      </c>
      <c r="G7" s="11" t="s">
        <v>40</v>
      </c>
      <c r="H7" s="11" t="s">
        <v>38</v>
      </c>
      <c r="I7" s="43" t="s">
        <v>38</v>
      </c>
    </row>
    <row r="8" spans="1:9" x14ac:dyDescent="0.25">
      <c r="A8" s="21">
        <v>741710</v>
      </c>
      <c r="B8" s="83" t="s">
        <v>9</v>
      </c>
      <c r="C8" s="12" t="s">
        <v>16</v>
      </c>
      <c r="D8" s="12">
        <v>46064</v>
      </c>
      <c r="E8" s="20" t="e">
        <f t="shared" ca="1" si="0"/>
        <v>#VALUE!</v>
      </c>
      <c r="F8" s="11" t="s">
        <v>45</v>
      </c>
      <c r="G8" s="11" t="s">
        <v>40</v>
      </c>
      <c r="H8" s="11" t="s">
        <v>38</v>
      </c>
      <c r="I8" s="43" t="s">
        <v>38</v>
      </c>
    </row>
    <row r="9" spans="1:9" x14ac:dyDescent="0.25">
      <c r="A9" s="9">
        <v>740620</v>
      </c>
      <c r="B9" s="77" t="s">
        <v>227</v>
      </c>
      <c r="C9" s="12">
        <v>46037</v>
      </c>
      <c r="D9" s="12">
        <f>C9+27</f>
        <v>46064</v>
      </c>
      <c r="E9" s="20">
        <f t="shared" ca="1" si="0"/>
        <v>87</v>
      </c>
      <c r="F9" s="11" t="s">
        <v>228</v>
      </c>
      <c r="G9" s="66" t="s">
        <v>229</v>
      </c>
      <c r="H9" s="11" t="s">
        <v>18</v>
      </c>
      <c r="I9" s="14" t="s">
        <v>38</v>
      </c>
    </row>
    <row r="10" spans="1:9" x14ac:dyDescent="0.25">
      <c r="A10" s="9">
        <v>741346</v>
      </c>
      <c r="B10" s="34" t="s">
        <v>212</v>
      </c>
      <c r="C10" s="12" t="s">
        <v>16</v>
      </c>
      <c r="D10" s="12">
        <v>46069</v>
      </c>
      <c r="E10" s="20" t="e">
        <f t="shared" ca="1" si="0"/>
        <v>#VALUE!</v>
      </c>
      <c r="F10" s="34" t="s">
        <v>213</v>
      </c>
      <c r="G10" s="34" t="s">
        <v>40</v>
      </c>
      <c r="H10" s="11" t="s">
        <v>38</v>
      </c>
      <c r="I10" s="43" t="s">
        <v>38</v>
      </c>
    </row>
    <row r="11" spans="1:9" x14ac:dyDescent="0.25">
      <c r="A11" s="21">
        <v>740232</v>
      </c>
      <c r="B11" s="83" t="s">
        <v>47</v>
      </c>
      <c r="C11" s="12">
        <v>46056</v>
      </c>
      <c r="D11" s="12">
        <f>C11+15</f>
        <v>46071</v>
      </c>
      <c r="E11" s="20">
        <f t="shared" ca="1" si="0"/>
        <v>68</v>
      </c>
      <c r="F11" s="11" t="s">
        <v>48</v>
      </c>
      <c r="G11" s="11" t="s">
        <v>40</v>
      </c>
      <c r="H11" s="11" t="s">
        <v>38</v>
      </c>
      <c r="I11" s="43" t="s">
        <v>38</v>
      </c>
    </row>
    <row r="12" spans="1:9" x14ac:dyDescent="0.25">
      <c r="A12" s="9">
        <v>741994</v>
      </c>
      <c r="B12" s="77" t="s">
        <v>224</v>
      </c>
      <c r="C12" s="12">
        <v>46066</v>
      </c>
      <c r="D12" s="12">
        <f>C12+7</f>
        <v>46073</v>
      </c>
      <c r="E12" s="20">
        <f t="shared" ca="1" si="0"/>
        <v>58</v>
      </c>
      <c r="F12" s="11" t="s">
        <v>44</v>
      </c>
      <c r="G12" s="11" t="s">
        <v>40</v>
      </c>
      <c r="H12" s="11" t="s">
        <v>51</v>
      </c>
      <c r="I12" s="14">
        <v>0.01</v>
      </c>
    </row>
    <row r="13" spans="1:9" x14ac:dyDescent="0.25">
      <c r="A13" s="16">
        <v>742974</v>
      </c>
      <c r="B13" s="11" t="s">
        <v>6</v>
      </c>
      <c r="C13" s="43" t="s">
        <v>238</v>
      </c>
      <c r="D13" s="43"/>
      <c r="E13" s="20"/>
      <c r="F13" s="11" t="s">
        <v>98</v>
      </c>
      <c r="G13" s="11" t="s">
        <v>36</v>
      </c>
      <c r="H13" s="11" t="s">
        <v>18</v>
      </c>
      <c r="I13" s="43" t="s">
        <v>99</v>
      </c>
    </row>
    <row r="14" spans="1:9" x14ac:dyDescent="0.25">
      <c r="A14" s="16">
        <v>742977</v>
      </c>
      <c r="B14" s="11" t="s">
        <v>100</v>
      </c>
      <c r="C14" s="43"/>
      <c r="D14" s="43"/>
      <c r="E14" s="20"/>
      <c r="F14" s="11" t="s">
        <v>98</v>
      </c>
      <c r="G14" s="11" t="s">
        <v>36</v>
      </c>
      <c r="H14" s="11" t="s">
        <v>18</v>
      </c>
      <c r="I14" s="43" t="s">
        <v>99</v>
      </c>
    </row>
    <row r="15" spans="1:9" x14ac:dyDescent="0.25">
      <c r="A15" s="16">
        <v>742976</v>
      </c>
      <c r="B15" s="11" t="s">
        <v>101</v>
      </c>
      <c r="C15" s="43"/>
      <c r="D15" s="43"/>
      <c r="E15" s="20"/>
      <c r="F15" s="11" t="s">
        <v>98</v>
      </c>
      <c r="G15" s="11" t="s">
        <v>36</v>
      </c>
      <c r="H15" s="11" t="s">
        <v>18</v>
      </c>
      <c r="I15" s="43" t="s">
        <v>99</v>
      </c>
    </row>
    <row r="16" spans="1:9" x14ac:dyDescent="0.25">
      <c r="A16" s="16">
        <v>742975</v>
      </c>
      <c r="B16" s="11" t="s">
        <v>24</v>
      </c>
      <c r="C16" s="43"/>
      <c r="D16" s="43"/>
      <c r="E16" s="20"/>
      <c r="F16" s="11" t="s">
        <v>98</v>
      </c>
      <c r="G16" s="11" t="s">
        <v>36</v>
      </c>
      <c r="H16" s="11" t="s">
        <v>18</v>
      </c>
      <c r="I16" s="43" t="s">
        <v>99</v>
      </c>
    </row>
    <row r="17" spans="1:9" x14ac:dyDescent="0.25">
      <c r="A17" s="21">
        <v>742050</v>
      </c>
      <c r="B17" s="11" t="s">
        <v>23</v>
      </c>
      <c r="C17" s="43"/>
      <c r="D17" s="43"/>
      <c r="E17" s="20"/>
      <c r="F17" s="11" t="s">
        <v>105</v>
      </c>
      <c r="G17" s="11" t="s">
        <v>40</v>
      </c>
      <c r="H17" s="11" t="s">
        <v>18</v>
      </c>
      <c r="I17" s="14">
        <v>0.01</v>
      </c>
    </row>
    <row r="18" spans="1:9" x14ac:dyDescent="0.25">
      <c r="A18" s="21">
        <v>756084</v>
      </c>
      <c r="B18" s="11" t="s">
        <v>27</v>
      </c>
      <c r="C18" s="43"/>
      <c r="D18" s="43"/>
      <c r="E18" s="20"/>
      <c r="F18" s="11" t="s">
        <v>103</v>
      </c>
      <c r="G18" s="11" t="s">
        <v>104</v>
      </c>
      <c r="H18" s="11" t="s">
        <v>18</v>
      </c>
      <c r="I18" s="43" t="s">
        <v>99</v>
      </c>
    </row>
    <row r="19" spans="1:9" x14ac:dyDescent="0.25">
      <c r="A19" s="21">
        <v>756086</v>
      </c>
      <c r="B19" s="11" t="s">
        <v>28</v>
      </c>
      <c r="C19" s="43"/>
      <c r="D19" s="43"/>
      <c r="E19" s="20"/>
      <c r="F19" s="11" t="s">
        <v>103</v>
      </c>
      <c r="G19" s="11" t="s">
        <v>104</v>
      </c>
      <c r="H19" s="11" t="s">
        <v>18</v>
      </c>
      <c r="I19" s="43" t="s">
        <v>99</v>
      </c>
    </row>
    <row r="20" spans="1:9" x14ac:dyDescent="0.25">
      <c r="A20" s="21">
        <v>756125</v>
      </c>
      <c r="B20" s="11" t="s">
        <v>29</v>
      </c>
      <c r="C20" s="43"/>
      <c r="D20" s="43"/>
      <c r="E20" s="20"/>
      <c r="F20" s="11" t="s">
        <v>106</v>
      </c>
      <c r="G20" s="11" t="s">
        <v>104</v>
      </c>
      <c r="H20" s="11" t="s">
        <v>18</v>
      </c>
      <c r="I20" s="43" t="s">
        <v>99</v>
      </c>
    </row>
    <row r="21" spans="1:9" x14ac:dyDescent="0.25">
      <c r="A21" s="16">
        <v>756128</v>
      </c>
      <c r="B21" s="43" t="s">
        <v>107</v>
      </c>
      <c r="C21" s="43"/>
      <c r="D21" s="43"/>
      <c r="E21" s="20"/>
      <c r="F21" s="43" t="s">
        <v>108</v>
      </c>
      <c r="G21" s="43" t="s">
        <v>104</v>
      </c>
      <c r="H21" s="11" t="s">
        <v>18</v>
      </c>
      <c r="I21" s="43" t="s">
        <v>99</v>
      </c>
    </row>
    <row r="22" spans="1:9" x14ac:dyDescent="0.25">
      <c r="A22" s="21">
        <v>756131</v>
      </c>
      <c r="B22" s="11" t="s">
        <v>109</v>
      </c>
      <c r="C22" s="43"/>
      <c r="D22" s="43"/>
      <c r="E22" s="20"/>
      <c r="F22" s="11" t="s">
        <v>110</v>
      </c>
      <c r="G22" s="11" t="s">
        <v>104</v>
      </c>
      <c r="H22" s="11" t="s">
        <v>18</v>
      </c>
      <c r="I22" s="43" t="s">
        <v>99</v>
      </c>
    </row>
    <row r="23" spans="1:9" x14ac:dyDescent="0.25">
      <c r="A23" s="21">
        <v>756126</v>
      </c>
      <c r="B23" s="11" t="s">
        <v>30</v>
      </c>
      <c r="C23" s="43"/>
      <c r="D23" s="43"/>
      <c r="E23" s="20"/>
      <c r="F23" s="11" t="s">
        <v>110</v>
      </c>
      <c r="G23" s="11" t="s">
        <v>104</v>
      </c>
      <c r="H23" s="11" t="s">
        <v>18</v>
      </c>
      <c r="I23" s="43" t="s">
        <v>99</v>
      </c>
    </row>
    <row r="24" spans="1:9" x14ac:dyDescent="0.25">
      <c r="A24" s="16">
        <v>740137</v>
      </c>
      <c r="B24" s="11" t="s">
        <v>21</v>
      </c>
      <c r="C24" s="43"/>
      <c r="D24" s="43"/>
      <c r="E24" s="20"/>
      <c r="F24" s="11" t="s">
        <v>113</v>
      </c>
      <c r="G24" s="11" t="s">
        <v>97</v>
      </c>
      <c r="H24" s="11" t="s">
        <v>19</v>
      </c>
      <c r="I24" s="43" t="s">
        <v>99</v>
      </c>
    </row>
    <row r="25" spans="1:9" x14ac:dyDescent="0.25">
      <c r="A25" s="16">
        <v>740138</v>
      </c>
      <c r="B25" s="11" t="s">
        <v>22</v>
      </c>
      <c r="C25" s="43"/>
      <c r="D25" s="43"/>
      <c r="E25" s="20"/>
      <c r="F25" s="11" t="s">
        <v>114</v>
      </c>
      <c r="G25" s="11" t="s">
        <v>97</v>
      </c>
      <c r="H25" s="11" t="s">
        <v>19</v>
      </c>
      <c r="I25" s="43" t="s">
        <v>99</v>
      </c>
    </row>
    <row r="26" spans="1:9" x14ac:dyDescent="0.25">
      <c r="A26" s="16">
        <v>742984</v>
      </c>
      <c r="B26" s="11" t="s">
        <v>25</v>
      </c>
      <c r="C26" s="43"/>
      <c r="D26" s="43"/>
      <c r="E26" s="20"/>
      <c r="F26" s="11" t="s">
        <v>102</v>
      </c>
      <c r="G26" s="11" t="s">
        <v>54</v>
      </c>
      <c r="H26" s="11" t="s">
        <v>18</v>
      </c>
      <c r="I26" s="43" t="s">
        <v>99</v>
      </c>
    </row>
    <row r="27" spans="1:9" x14ac:dyDescent="0.25">
      <c r="A27" s="21">
        <v>756025</v>
      </c>
      <c r="B27" s="11" t="s">
        <v>26</v>
      </c>
      <c r="C27" s="43"/>
      <c r="D27" s="43"/>
      <c r="E27" s="20"/>
      <c r="F27" s="11" t="s">
        <v>111</v>
      </c>
      <c r="G27" s="11" t="s">
        <v>79</v>
      </c>
      <c r="H27" s="11" t="s">
        <v>18</v>
      </c>
      <c r="I27" s="43" t="s">
        <v>99</v>
      </c>
    </row>
    <row r="28" spans="1:9" x14ac:dyDescent="0.25">
      <c r="A28" s="16">
        <v>756032</v>
      </c>
      <c r="B28" s="43" t="s">
        <v>112</v>
      </c>
      <c r="C28" s="43"/>
      <c r="D28" s="43"/>
      <c r="E28" s="20"/>
      <c r="F28" s="43" t="s">
        <v>111</v>
      </c>
      <c r="G28" s="43" t="s">
        <v>79</v>
      </c>
      <c r="H28" s="11" t="s">
        <v>18</v>
      </c>
      <c r="I28" s="43" t="s">
        <v>99</v>
      </c>
    </row>
    <row r="29" spans="1:9" x14ac:dyDescent="0.25">
      <c r="A29" s="9">
        <v>741011</v>
      </c>
      <c r="B29" s="34" t="s">
        <v>241</v>
      </c>
      <c r="C29" s="43"/>
      <c r="D29" s="43"/>
      <c r="E29" s="43"/>
      <c r="F29" s="34" t="s">
        <v>242</v>
      </c>
      <c r="G29" s="34" t="s">
        <v>40</v>
      </c>
      <c r="H29" s="11" t="s">
        <v>18</v>
      </c>
      <c r="I29" s="43" t="s">
        <v>99</v>
      </c>
    </row>
  </sheetData>
  <dataValidations count="2">
    <dataValidation type="list" allowBlank="1" showInputMessage="1" showErrorMessage="1" sqref="I2:I27" xr:uid="{B72DB70C-8C94-4FB7-92E1-DF1EBE80C099}">
      <formula1>"1%, DD, CIA, Send Email 3 Days before, Call 1 day before, Monthly, Biweekly"</formula1>
    </dataValidation>
    <dataValidation type="list" allowBlank="1" showInputMessage="1" showErrorMessage="1" sqref="H2:H27" xr:uid="{773EB230-719D-4454-9556-C81256114E73}">
      <formula1>"Daily, Biweekly, Triweekly, Weekly, Monthly, Call/Monthly, Bimonthly"</formula1>
    </dataValidation>
  </dataValidations>
  <pageMargins left="0.45" right="0.45" top="0.75" bottom="0.75" header="0.75" footer="0.25"/>
  <pageSetup fitToWidth="2" fitToHeight="2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2FB8-2220-4F91-A4F0-EE7493B4A10C}">
  <dimension ref="A1:F14"/>
  <sheetViews>
    <sheetView workbookViewId="0"/>
  </sheetViews>
  <sheetFormatPr defaultRowHeight="15" x14ac:dyDescent="0.25"/>
  <cols>
    <col min="1" max="1" width="9.5703125" bestFit="1" customWidth="1"/>
    <col min="2" max="2" width="31.85546875" bestFit="1" customWidth="1"/>
    <col min="3" max="3" width="32.7109375" bestFit="1" customWidth="1"/>
    <col min="5" max="5" width="19" bestFit="1" customWidth="1"/>
  </cols>
  <sheetData>
    <row r="1" spans="1:6" x14ac:dyDescent="0.25">
      <c r="A1" t="s">
        <v>173</v>
      </c>
    </row>
    <row r="2" spans="1:6" x14ac:dyDescent="0.25">
      <c r="A2" s="4" t="s">
        <v>174</v>
      </c>
      <c r="B2" s="3" t="s">
        <v>175</v>
      </c>
      <c r="C2" s="3" t="s">
        <v>176</v>
      </c>
      <c r="D2" s="3" t="s">
        <v>54</v>
      </c>
      <c r="E2" s="6" t="s">
        <v>177</v>
      </c>
    </row>
    <row r="3" spans="1:6" x14ac:dyDescent="0.25">
      <c r="A3" s="4" t="s">
        <v>178</v>
      </c>
      <c r="B3" s="3" t="s">
        <v>179</v>
      </c>
      <c r="C3" s="3" t="s">
        <v>103</v>
      </c>
      <c r="D3" s="3" t="s">
        <v>104</v>
      </c>
      <c r="E3" s="6" t="s">
        <v>180</v>
      </c>
    </row>
    <row r="4" spans="1:6" x14ac:dyDescent="0.25">
      <c r="A4" s="4" t="s">
        <v>181</v>
      </c>
      <c r="B4" s="3" t="s">
        <v>182</v>
      </c>
      <c r="C4" s="3" t="s">
        <v>183</v>
      </c>
      <c r="D4" s="3" t="s">
        <v>41</v>
      </c>
      <c r="E4" s="6" t="s">
        <v>184</v>
      </c>
    </row>
    <row r="5" spans="1:6" x14ac:dyDescent="0.25">
      <c r="A5" s="4" t="s">
        <v>185</v>
      </c>
      <c r="B5" s="3" t="s">
        <v>186</v>
      </c>
      <c r="C5" s="3" t="s">
        <v>187</v>
      </c>
      <c r="D5" s="2" t="s">
        <v>41</v>
      </c>
      <c r="E5" s="7" t="s">
        <v>188</v>
      </c>
    </row>
    <row r="6" spans="1:6" x14ac:dyDescent="0.25">
      <c r="A6" s="4" t="s">
        <v>189</v>
      </c>
      <c r="B6" s="3" t="s">
        <v>190</v>
      </c>
      <c r="C6" s="3" t="s">
        <v>191</v>
      </c>
      <c r="D6" s="3" t="s">
        <v>41</v>
      </c>
      <c r="E6" s="7" t="s">
        <v>177</v>
      </c>
    </row>
    <row r="7" spans="1:6" x14ac:dyDescent="0.25">
      <c r="A7" s="4" t="s">
        <v>192</v>
      </c>
      <c r="B7" s="3" t="s">
        <v>193</v>
      </c>
      <c r="C7" s="3" t="s">
        <v>103</v>
      </c>
      <c r="D7" s="3" t="s">
        <v>104</v>
      </c>
      <c r="E7" s="7" t="s">
        <v>180</v>
      </c>
    </row>
    <row r="8" spans="1:6" x14ac:dyDescent="0.25">
      <c r="A8" s="4" t="s">
        <v>194</v>
      </c>
      <c r="B8" s="3" t="s">
        <v>195</v>
      </c>
      <c r="C8" s="3" t="s">
        <v>196</v>
      </c>
      <c r="D8" s="2" t="s">
        <v>41</v>
      </c>
      <c r="E8" s="7" t="s">
        <v>197</v>
      </c>
    </row>
    <row r="9" spans="1:6" x14ac:dyDescent="0.25">
      <c r="A9" s="5" t="s">
        <v>198</v>
      </c>
      <c r="B9" s="2" t="s">
        <v>21</v>
      </c>
      <c r="C9" s="2" t="s">
        <v>199</v>
      </c>
      <c r="D9" s="2" t="s">
        <v>97</v>
      </c>
      <c r="E9" s="7" t="s">
        <v>180</v>
      </c>
    </row>
    <row r="10" spans="1:6" x14ac:dyDescent="0.25">
      <c r="A10" s="4" t="s">
        <v>200</v>
      </c>
      <c r="B10" s="3" t="s">
        <v>201</v>
      </c>
      <c r="C10" s="3" t="s">
        <v>202</v>
      </c>
      <c r="D10" s="3" t="s">
        <v>97</v>
      </c>
      <c r="E10" s="7" t="s">
        <v>177</v>
      </c>
    </row>
    <row r="11" spans="1:6" x14ac:dyDescent="0.25">
      <c r="A11" s="4" t="s">
        <v>203</v>
      </c>
      <c r="B11" s="3" t="s">
        <v>204</v>
      </c>
      <c r="C11" s="3" t="s">
        <v>94</v>
      </c>
      <c r="D11" s="3" t="s">
        <v>41</v>
      </c>
      <c r="E11" s="7" t="s">
        <v>180</v>
      </c>
    </row>
    <row r="12" spans="1:6" x14ac:dyDescent="0.25">
      <c r="A12" s="4" t="s">
        <v>205</v>
      </c>
      <c r="B12" s="3" t="s">
        <v>206</v>
      </c>
      <c r="C12" s="3" t="s">
        <v>207</v>
      </c>
      <c r="D12" s="3" t="s">
        <v>40</v>
      </c>
      <c r="E12" s="7" t="s">
        <v>177</v>
      </c>
    </row>
    <row r="13" spans="1:6" x14ac:dyDescent="0.25">
      <c r="A13" s="5" t="s">
        <v>208</v>
      </c>
      <c r="B13" s="2" t="s">
        <v>209</v>
      </c>
      <c r="C13" s="2" t="s">
        <v>199</v>
      </c>
      <c r="D13" s="2" t="s">
        <v>97</v>
      </c>
      <c r="E13" s="7" t="s">
        <v>180</v>
      </c>
    </row>
    <row r="14" spans="1:6" x14ac:dyDescent="0.25">
      <c r="A14" s="4">
        <v>741363</v>
      </c>
      <c r="B14" s="3" t="s">
        <v>210</v>
      </c>
      <c r="C14" s="3" t="s">
        <v>211</v>
      </c>
      <c r="D14" s="3" t="s">
        <v>40</v>
      </c>
      <c r="E14" s="7" t="s">
        <v>180</v>
      </c>
      <c r="F14" s="8"/>
    </row>
  </sheetData>
  <dataValidations count="1">
    <dataValidation type="list" allowBlank="1" showInputMessage="1" showErrorMessage="1" sqref="E2:E14" xr:uid="{DF2F5AEF-1182-43DF-A24B-C5115F972750}">
      <formula1>"Closed, Closing, Don't want, Owner Sold, Changed Customer#"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0869-D4B0-4858-80D6-37DE0A3E1C01}">
  <dimension ref="A1:Q56"/>
  <sheetViews>
    <sheetView tabSelected="1" topLeftCell="A4" workbookViewId="0">
      <selection activeCell="E16" sqref="E16"/>
    </sheetView>
  </sheetViews>
  <sheetFormatPr defaultRowHeight="15" x14ac:dyDescent="0.25"/>
  <cols>
    <col min="3" max="3" width="15.28515625" bestFit="1" customWidth="1"/>
    <col min="4" max="4" width="10.85546875" bestFit="1" customWidth="1"/>
    <col min="5" max="5" width="10.85546875" customWidth="1"/>
    <col min="6" max="6" width="13.42578125" bestFit="1" customWidth="1"/>
    <col min="7" max="7" width="8.7109375" customWidth="1"/>
    <col min="9" max="9" width="9.85546875" bestFit="1" customWidth="1"/>
    <col min="11" max="11" width="7.7109375" bestFit="1" customWidth="1"/>
    <col min="12" max="13" width="9.85546875" bestFit="1" customWidth="1"/>
  </cols>
  <sheetData>
    <row r="1" spans="1:17" x14ac:dyDescent="0.25">
      <c r="J1" s="55" t="s">
        <v>222</v>
      </c>
      <c r="K1" s="54">
        <v>0.02</v>
      </c>
    </row>
    <row r="2" spans="1:17" x14ac:dyDescent="0.25">
      <c r="A2" s="50" t="s">
        <v>115</v>
      </c>
      <c r="B2" s="50" t="s">
        <v>15</v>
      </c>
      <c r="C2" s="51" t="s">
        <v>116</v>
      </c>
      <c r="D2" s="56">
        <v>2025</v>
      </c>
      <c r="E2" s="50">
        <v>2026</v>
      </c>
      <c r="F2" s="50" t="s">
        <v>117</v>
      </c>
      <c r="G2" s="50" t="s">
        <v>118</v>
      </c>
      <c r="H2" s="52">
        <v>2025</v>
      </c>
      <c r="I2" s="52">
        <v>2026</v>
      </c>
      <c r="J2" s="53" t="s">
        <v>119</v>
      </c>
      <c r="K2" s="52" t="s">
        <v>118</v>
      </c>
      <c r="O2" s="61"/>
    </row>
    <row r="3" spans="1:17" x14ac:dyDescent="0.25">
      <c r="A3" t="s">
        <v>120</v>
      </c>
      <c r="B3" s="8">
        <v>45656</v>
      </c>
      <c r="C3" s="22">
        <f t="shared" ref="C3:C34" si="0">D3+D3*$K$1</f>
        <v>60131.040000000001</v>
      </c>
      <c r="D3" s="39">
        <v>58952</v>
      </c>
      <c r="E3" s="39">
        <v>76988</v>
      </c>
      <c r="F3" s="30">
        <f t="shared" ref="F3:F16" si="1">E3-D3</f>
        <v>18036</v>
      </c>
      <c r="G3" s="24">
        <f>100*(E3-D3)/D3</f>
        <v>30.594381869995928</v>
      </c>
      <c r="H3" s="63">
        <v>1851</v>
      </c>
      <c r="I3" s="92">
        <v>2341</v>
      </c>
      <c r="J3" s="48">
        <f t="shared" ref="J3:J6" si="2">I3-H3</f>
        <v>490</v>
      </c>
      <c r="K3" s="49">
        <f t="shared" ref="K3:K55" si="3">100*(I3-H3)/H3</f>
        <v>26.472177201512697</v>
      </c>
      <c r="L3" s="85"/>
      <c r="M3" s="85"/>
      <c r="N3" s="39"/>
      <c r="O3" s="61"/>
      <c r="P3" s="39"/>
      <c r="Q3" s="61"/>
    </row>
    <row r="4" spans="1:17" x14ac:dyDescent="0.25">
      <c r="A4" t="s">
        <v>121</v>
      </c>
      <c r="B4" s="8">
        <f>B3+7</f>
        <v>45663</v>
      </c>
      <c r="C4" s="22">
        <f t="shared" si="0"/>
        <v>75286.2</v>
      </c>
      <c r="D4" s="39">
        <v>73810</v>
      </c>
      <c r="E4" s="39">
        <v>66160</v>
      </c>
      <c r="F4" s="30">
        <f t="shared" si="1"/>
        <v>-7650</v>
      </c>
      <c r="G4" s="24">
        <f t="shared" ref="G4:G55" si="4">100*(E4-D4)/D4</f>
        <v>-10.364449261617667</v>
      </c>
      <c r="H4" s="63">
        <v>2220</v>
      </c>
      <c r="I4" s="92">
        <v>2107</v>
      </c>
      <c r="J4" s="48">
        <f t="shared" si="2"/>
        <v>-113</v>
      </c>
      <c r="K4" s="49">
        <f t="shared" si="3"/>
        <v>-5.0900900900900901</v>
      </c>
      <c r="L4" s="85"/>
      <c r="M4" s="85"/>
      <c r="N4" s="39"/>
      <c r="O4" s="61"/>
      <c r="P4" s="39"/>
      <c r="Q4" s="61"/>
    </row>
    <row r="5" spans="1:17" x14ac:dyDescent="0.25">
      <c r="A5" t="s">
        <v>122</v>
      </c>
      <c r="B5" s="8">
        <f>B4+7</f>
        <v>45670</v>
      </c>
      <c r="C5" s="22">
        <f t="shared" si="0"/>
        <v>65187.18</v>
      </c>
      <c r="D5" s="39">
        <v>63909</v>
      </c>
      <c r="E5" s="39">
        <v>64831</v>
      </c>
      <c r="F5" s="30">
        <f t="shared" si="1"/>
        <v>922</v>
      </c>
      <c r="G5" s="24">
        <f t="shared" si="4"/>
        <v>1.4426763053717004</v>
      </c>
      <c r="H5" s="63">
        <v>1989</v>
      </c>
      <c r="I5" s="92">
        <v>1973</v>
      </c>
      <c r="J5" s="48">
        <f t="shared" si="2"/>
        <v>-16</v>
      </c>
      <c r="K5" s="49">
        <f t="shared" si="3"/>
        <v>-0.80442433383609857</v>
      </c>
      <c r="L5" s="85"/>
      <c r="M5" s="85"/>
      <c r="N5" s="39"/>
      <c r="O5" s="61"/>
      <c r="P5" s="39"/>
      <c r="Q5" s="61"/>
    </row>
    <row r="6" spans="1:17" x14ac:dyDescent="0.25">
      <c r="A6" t="s">
        <v>123</v>
      </c>
      <c r="B6" s="8">
        <f>B5+7</f>
        <v>45677</v>
      </c>
      <c r="C6" s="22">
        <f t="shared" si="0"/>
        <v>69629.279999999999</v>
      </c>
      <c r="D6" s="39">
        <v>68264</v>
      </c>
      <c r="E6" s="39">
        <v>60252</v>
      </c>
      <c r="F6" s="30">
        <f t="shared" si="1"/>
        <v>-8012</v>
      </c>
      <c r="G6" s="24">
        <f t="shared" si="4"/>
        <v>-11.736786593226299</v>
      </c>
      <c r="H6" s="63">
        <v>2211</v>
      </c>
      <c r="I6" s="92">
        <v>1910</v>
      </c>
      <c r="J6" s="48">
        <f t="shared" si="2"/>
        <v>-301</v>
      </c>
      <c r="K6" s="49">
        <f t="shared" si="3"/>
        <v>-13.613749434644957</v>
      </c>
      <c r="L6" s="85"/>
      <c r="M6" s="85"/>
      <c r="N6" s="39"/>
      <c r="O6" s="61"/>
      <c r="P6" s="39"/>
      <c r="Q6" s="61"/>
    </row>
    <row r="7" spans="1:17" x14ac:dyDescent="0.25">
      <c r="A7" t="s">
        <v>124</v>
      </c>
      <c r="B7" s="8">
        <f t="shared" ref="B7:B55" si="5">B6+7</f>
        <v>45684</v>
      </c>
      <c r="C7" s="22">
        <f t="shared" si="0"/>
        <v>63969.3</v>
      </c>
      <c r="D7" s="39">
        <v>62715</v>
      </c>
      <c r="E7" s="39">
        <v>69735</v>
      </c>
      <c r="F7" s="22">
        <f t="shared" si="1"/>
        <v>7020</v>
      </c>
      <c r="G7" s="24">
        <f t="shared" si="4"/>
        <v>11.193494379335087</v>
      </c>
      <c r="H7" s="63">
        <v>2012</v>
      </c>
      <c r="I7" s="92">
        <v>2109</v>
      </c>
      <c r="J7" s="48">
        <f t="shared" ref="J7:J12" si="6">I7-H7</f>
        <v>97</v>
      </c>
      <c r="K7" s="49">
        <f t="shared" si="3"/>
        <v>4.821073558648111</v>
      </c>
      <c r="L7" s="85"/>
      <c r="M7" s="85"/>
      <c r="N7" s="39"/>
      <c r="O7" s="61"/>
      <c r="P7" s="39"/>
      <c r="Q7" s="61"/>
    </row>
    <row r="8" spans="1:17" x14ac:dyDescent="0.25">
      <c r="A8" t="s">
        <v>125</v>
      </c>
      <c r="B8" s="8">
        <f t="shared" si="5"/>
        <v>45691</v>
      </c>
      <c r="C8" s="22">
        <f t="shared" si="0"/>
        <v>73566.48</v>
      </c>
      <c r="D8" s="39">
        <v>72124</v>
      </c>
      <c r="E8" s="39">
        <v>68176</v>
      </c>
      <c r="F8" s="22">
        <f t="shared" si="1"/>
        <v>-3948</v>
      </c>
      <c r="G8" s="24">
        <f t="shared" si="4"/>
        <v>-5.4739060506904771</v>
      </c>
      <c r="H8" s="63">
        <v>2280</v>
      </c>
      <c r="I8" s="92">
        <v>2038</v>
      </c>
      <c r="J8" s="48">
        <f t="shared" si="6"/>
        <v>-242</v>
      </c>
      <c r="K8" s="49">
        <f t="shared" si="3"/>
        <v>-10.614035087719298</v>
      </c>
      <c r="L8" s="85"/>
      <c r="M8" s="85"/>
      <c r="N8" s="39"/>
      <c r="O8" s="61"/>
      <c r="P8" s="39"/>
      <c r="Q8" s="61"/>
    </row>
    <row r="9" spans="1:17" x14ac:dyDescent="0.25">
      <c r="A9" t="s">
        <v>126</v>
      </c>
      <c r="B9" s="8">
        <f t="shared" si="5"/>
        <v>45698</v>
      </c>
      <c r="C9" s="22">
        <f t="shared" si="0"/>
        <v>60333</v>
      </c>
      <c r="D9" s="39">
        <v>59150</v>
      </c>
      <c r="E9" s="39">
        <v>54924</v>
      </c>
      <c r="F9" s="22">
        <f t="shared" si="1"/>
        <v>-4226</v>
      </c>
      <c r="G9" s="24">
        <f t="shared" si="4"/>
        <v>-7.144547759932375</v>
      </c>
      <c r="H9" s="63">
        <v>1814</v>
      </c>
      <c r="I9" s="92">
        <v>1724</v>
      </c>
      <c r="J9" s="48">
        <f t="shared" si="6"/>
        <v>-90</v>
      </c>
      <c r="K9" s="49">
        <f t="shared" si="3"/>
        <v>-4.9614112458654906</v>
      </c>
      <c r="L9" s="85"/>
      <c r="M9" s="85"/>
      <c r="N9" s="39"/>
      <c r="O9" s="61"/>
      <c r="P9" s="39"/>
      <c r="Q9" s="61"/>
    </row>
    <row r="10" spans="1:17" x14ac:dyDescent="0.25">
      <c r="A10" t="s">
        <v>127</v>
      </c>
      <c r="B10" s="8">
        <f t="shared" si="5"/>
        <v>45705</v>
      </c>
      <c r="C10" s="22">
        <f t="shared" si="0"/>
        <v>65111.7</v>
      </c>
      <c r="D10" s="39">
        <v>63835</v>
      </c>
      <c r="E10" s="39">
        <v>68796</v>
      </c>
      <c r="F10" s="22">
        <f t="shared" si="1"/>
        <v>4961</v>
      </c>
      <c r="G10" s="24">
        <f t="shared" si="4"/>
        <v>7.7715986527766896</v>
      </c>
      <c r="H10" s="63">
        <v>2030</v>
      </c>
      <c r="I10" s="92">
        <v>2676</v>
      </c>
      <c r="J10" s="48">
        <f t="shared" si="6"/>
        <v>646</v>
      </c>
      <c r="K10" s="49">
        <f t="shared" si="3"/>
        <v>31.822660098522167</v>
      </c>
      <c r="L10" s="85"/>
      <c r="M10" s="85"/>
      <c r="N10" s="39"/>
      <c r="O10" s="61"/>
      <c r="P10" s="39"/>
      <c r="Q10" s="61"/>
    </row>
    <row r="11" spans="1:17" x14ac:dyDescent="0.25">
      <c r="A11" t="s">
        <v>128</v>
      </c>
      <c r="B11" s="8">
        <f t="shared" si="5"/>
        <v>45712</v>
      </c>
      <c r="C11" s="22">
        <f t="shared" si="0"/>
        <v>66038.880000000005</v>
      </c>
      <c r="D11" s="39">
        <v>64744</v>
      </c>
      <c r="E11" s="39">
        <v>71822</v>
      </c>
      <c r="F11" s="104">
        <f t="shared" si="1"/>
        <v>7078</v>
      </c>
      <c r="G11" s="24">
        <f t="shared" si="4"/>
        <v>10.932287161744718</v>
      </c>
      <c r="H11" s="63">
        <v>2040</v>
      </c>
      <c r="I11" s="92">
        <v>2160</v>
      </c>
      <c r="J11" s="48">
        <f t="shared" si="6"/>
        <v>120</v>
      </c>
      <c r="K11" s="49">
        <f t="shared" si="3"/>
        <v>5.882352941176471</v>
      </c>
      <c r="L11" s="85"/>
      <c r="M11" s="85"/>
      <c r="N11" s="39"/>
      <c r="O11" s="61"/>
      <c r="P11" s="39"/>
      <c r="Q11" s="61"/>
    </row>
    <row r="12" spans="1:17" x14ac:dyDescent="0.25">
      <c r="A12" t="s">
        <v>129</v>
      </c>
      <c r="B12" s="8">
        <f t="shared" si="5"/>
        <v>45719</v>
      </c>
      <c r="C12" s="22">
        <f t="shared" si="0"/>
        <v>66608.039999999994</v>
      </c>
      <c r="D12" s="39">
        <v>65302</v>
      </c>
      <c r="E12" s="39">
        <v>70464</v>
      </c>
      <c r="F12" s="22">
        <f t="shared" si="1"/>
        <v>5162</v>
      </c>
      <c r="G12" s="24">
        <f t="shared" si="4"/>
        <v>7.9048114912253835</v>
      </c>
      <c r="H12" s="63">
        <v>2104</v>
      </c>
      <c r="I12" s="92">
        <v>2143</v>
      </c>
      <c r="J12" s="48">
        <f t="shared" si="6"/>
        <v>39</v>
      </c>
      <c r="K12" s="49">
        <f t="shared" si="3"/>
        <v>1.8536121673003803</v>
      </c>
      <c r="L12" s="85"/>
      <c r="M12" s="85"/>
      <c r="N12" s="39"/>
      <c r="O12" s="61"/>
      <c r="P12" s="39"/>
      <c r="Q12" s="61"/>
    </row>
    <row r="13" spans="1:17" x14ac:dyDescent="0.25">
      <c r="A13" t="s">
        <v>130</v>
      </c>
      <c r="B13" s="8">
        <f t="shared" si="5"/>
        <v>45726</v>
      </c>
      <c r="C13" s="22">
        <f t="shared" si="0"/>
        <v>71839.62</v>
      </c>
      <c r="D13" s="39">
        <v>70431</v>
      </c>
      <c r="E13" s="39">
        <v>52303</v>
      </c>
      <c r="F13" s="22">
        <f t="shared" si="1"/>
        <v>-18128</v>
      </c>
      <c r="G13" s="24">
        <f t="shared" si="4"/>
        <v>-25.738666212321277</v>
      </c>
      <c r="H13" s="63">
        <v>2381</v>
      </c>
      <c r="I13" s="92">
        <v>1615</v>
      </c>
      <c r="J13" s="48">
        <f t="shared" ref="J13:J15" si="7">I13-H13</f>
        <v>-766</v>
      </c>
      <c r="K13" s="49">
        <f t="shared" si="3"/>
        <v>-32.17135657286854</v>
      </c>
      <c r="L13" s="85"/>
      <c r="M13" s="85"/>
      <c r="N13" s="39"/>
      <c r="O13" s="61"/>
      <c r="P13" s="39"/>
      <c r="Q13" s="61"/>
    </row>
    <row r="14" spans="1:17" x14ac:dyDescent="0.25">
      <c r="A14" t="s">
        <v>131</v>
      </c>
      <c r="B14" s="8">
        <f t="shared" si="5"/>
        <v>45733</v>
      </c>
      <c r="C14" s="22">
        <f t="shared" si="0"/>
        <v>58018.62</v>
      </c>
      <c r="D14" s="39">
        <v>56881</v>
      </c>
      <c r="E14" s="39">
        <v>54834</v>
      </c>
      <c r="F14" s="22">
        <f t="shared" si="1"/>
        <v>-2047</v>
      </c>
      <c r="G14" s="24">
        <f t="shared" si="4"/>
        <v>-3.5987412316942389</v>
      </c>
      <c r="H14" s="63">
        <v>1834</v>
      </c>
      <c r="I14" s="92">
        <v>1867</v>
      </c>
      <c r="J14" s="48">
        <f t="shared" si="7"/>
        <v>33</v>
      </c>
      <c r="K14" s="49">
        <f>100*(I14-H14)/H14</f>
        <v>1.7993456924754634</v>
      </c>
      <c r="L14" s="85"/>
      <c r="M14" s="85"/>
      <c r="N14" s="39"/>
      <c r="O14" s="61"/>
      <c r="P14" s="39"/>
      <c r="Q14" s="61"/>
    </row>
    <row r="15" spans="1:17" x14ac:dyDescent="0.25">
      <c r="A15" t="s">
        <v>132</v>
      </c>
      <c r="B15" s="8">
        <f t="shared" si="5"/>
        <v>45740</v>
      </c>
      <c r="C15" s="22">
        <f t="shared" si="0"/>
        <v>67608.66</v>
      </c>
      <c r="D15" s="39">
        <v>66283</v>
      </c>
      <c r="E15" s="39">
        <v>61721</v>
      </c>
      <c r="F15" s="22">
        <f t="shared" si="1"/>
        <v>-4562</v>
      </c>
      <c r="G15" s="24">
        <f t="shared" si="4"/>
        <v>-6.8826094171959626</v>
      </c>
      <c r="H15" s="63">
        <v>2164</v>
      </c>
      <c r="I15" s="92">
        <v>1956</v>
      </c>
      <c r="J15" s="48">
        <f t="shared" si="7"/>
        <v>-208</v>
      </c>
      <c r="K15" s="49">
        <f t="shared" si="3"/>
        <v>-9.6118299445471358</v>
      </c>
      <c r="L15" s="85"/>
      <c r="M15" s="85"/>
      <c r="N15" s="39"/>
      <c r="O15" s="61"/>
      <c r="P15" s="39"/>
      <c r="Q15" s="61"/>
    </row>
    <row r="16" spans="1:17" x14ac:dyDescent="0.25">
      <c r="A16" t="s">
        <v>133</v>
      </c>
      <c r="B16" s="8">
        <f t="shared" si="5"/>
        <v>45747</v>
      </c>
      <c r="C16" s="22">
        <f t="shared" si="0"/>
        <v>62781</v>
      </c>
      <c r="D16" s="39">
        <v>61550</v>
      </c>
      <c r="E16" s="39"/>
      <c r="F16" s="22"/>
      <c r="G16" s="24">
        <f t="shared" si="4"/>
        <v>-100</v>
      </c>
      <c r="H16" s="63">
        <v>1971</v>
      </c>
      <c r="I16" s="92"/>
      <c r="J16" s="48"/>
      <c r="K16" s="49">
        <f t="shared" si="3"/>
        <v>-100</v>
      </c>
      <c r="L16" s="85"/>
      <c r="M16" s="85"/>
      <c r="N16" s="39"/>
      <c r="O16" s="61"/>
      <c r="P16" s="39"/>
      <c r="Q16" s="61"/>
    </row>
    <row r="17" spans="1:17" x14ac:dyDescent="0.25">
      <c r="A17" t="s">
        <v>134</v>
      </c>
      <c r="B17" s="8">
        <f t="shared" si="5"/>
        <v>45754</v>
      </c>
      <c r="C17" s="22">
        <f t="shared" si="0"/>
        <v>69949.56</v>
      </c>
      <c r="D17" s="39">
        <v>68578</v>
      </c>
      <c r="E17" s="39"/>
      <c r="F17" s="22"/>
      <c r="G17" s="24">
        <f t="shared" si="4"/>
        <v>-100</v>
      </c>
      <c r="H17" s="63">
        <v>2152</v>
      </c>
      <c r="I17" s="92"/>
      <c r="J17" s="48"/>
      <c r="K17" s="49">
        <f t="shared" si="3"/>
        <v>-100</v>
      </c>
      <c r="L17" s="85"/>
      <c r="M17" s="85"/>
      <c r="N17" s="39"/>
      <c r="O17" s="61"/>
      <c r="P17" s="39"/>
      <c r="Q17" s="61"/>
    </row>
    <row r="18" spans="1:17" x14ac:dyDescent="0.25">
      <c r="A18" t="s">
        <v>135</v>
      </c>
      <c r="B18" s="8">
        <f t="shared" si="5"/>
        <v>45761</v>
      </c>
      <c r="C18" s="22">
        <f t="shared" si="0"/>
        <v>54394.559999999998</v>
      </c>
      <c r="D18" s="39">
        <v>53328</v>
      </c>
      <c r="E18" s="39"/>
      <c r="F18" s="22"/>
      <c r="G18" s="24">
        <f t="shared" si="4"/>
        <v>-100</v>
      </c>
      <c r="H18" s="63">
        <v>1647</v>
      </c>
      <c r="I18" s="92"/>
      <c r="J18" s="48"/>
      <c r="K18" s="49">
        <f t="shared" si="3"/>
        <v>-100</v>
      </c>
      <c r="L18" s="85"/>
      <c r="M18" s="85"/>
      <c r="N18" s="39"/>
      <c r="O18" s="61"/>
      <c r="P18" s="39"/>
      <c r="Q18" s="61"/>
    </row>
    <row r="19" spans="1:17" x14ac:dyDescent="0.25">
      <c r="A19" t="s">
        <v>136</v>
      </c>
      <c r="B19" s="8">
        <f t="shared" si="5"/>
        <v>45768</v>
      </c>
      <c r="C19" s="22">
        <f t="shared" si="0"/>
        <v>59133.48</v>
      </c>
      <c r="D19" s="39">
        <v>57974</v>
      </c>
      <c r="E19" s="39"/>
      <c r="F19" s="22"/>
      <c r="G19" s="24">
        <f t="shared" si="4"/>
        <v>-100</v>
      </c>
      <c r="H19" s="63">
        <v>1907</v>
      </c>
      <c r="I19" s="92"/>
      <c r="J19" s="48"/>
      <c r="K19" s="49">
        <f t="shared" si="3"/>
        <v>-100</v>
      </c>
      <c r="L19" s="85"/>
      <c r="M19" s="85"/>
      <c r="N19" s="39"/>
      <c r="O19" s="61"/>
      <c r="P19" s="39"/>
      <c r="Q19" s="61"/>
    </row>
    <row r="20" spans="1:17" x14ac:dyDescent="0.25">
      <c r="A20" t="s">
        <v>137</v>
      </c>
      <c r="B20" s="8">
        <f t="shared" si="5"/>
        <v>45775</v>
      </c>
      <c r="C20" s="22">
        <f t="shared" si="0"/>
        <v>61831.38</v>
      </c>
      <c r="D20" s="39">
        <v>60619</v>
      </c>
      <c r="E20" s="39"/>
      <c r="F20" s="22"/>
      <c r="G20" s="24">
        <f t="shared" si="4"/>
        <v>-100</v>
      </c>
      <c r="H20" s="63">
        <v>1873</v>
      </c>
      <c r="I20" s="92"/>
      <c r="J20" s="48"/>
      <c r="K20" s="49">
        <f t="shared" si="3"/>
        <v>-100</v>
      </c>
      <c r="L20" s="85"/>
      <c r="M20" s="85"/>
      <c r="N20" s="39"/>
      <c r="O20" s="61"/>
      <c r="P20" s="39"/>
      <c r="Q20" s="61"/>
    </row>
    <row r="21" spans="1:17" x14ac:dyDescent="0.25">
      <c r="A21" t="s">
        <v>138</v>
      </c>
      <c r="B21" s="8">
        <f t="shared" si="5"/>
        <v>45782</v>
      </c>
      <c r="C21" s="22">
        <f t="shared" si="0"/>
        <v>64185.54</v>
      </c>
      <c r="D21" s="39">
        <v>62927</v>
      </c>
      <c r="E21" s="39"/>
      <c r="F21" s="22"/>
      <c r="G21" s="24">
        <f t="shared" si="4"/>
        <v>-100</v>
      </c>
      <c r="H21" s="63">
        <v>1982</v>
      </c>
      <c r="I21" s="92"/>
      <c r="J21" s="48"/>
      <c r="K21" s="49">
        <f t="shared" si="3"/>
        <v>-100</v>
      </c>
      <c r="L21" s="85"/>
      <c r="M21" s="85"/>
      <c r="N21" s="39"/>
      <c r="O21" s="61"/>
      <c r="P21" s="39"/>
      <c r="Q21" s="61"/>
    </row>
    <row r="22" spans="1:17" x14ac:dyDescent="0.25">
      <c r="A22" t="s">
        <v>139</v>
      </c>
      <c r="B22" s="8">
        <f t="shared" si="5"/>
        <v>45789</v>
      </c>
      <c r="C22" s="22">
        <f t="shared" si="0"/>
        <v>61706.94</v>
      </c>
      <c r="D22" s="39">
        <v>60497</v>
      </c>
      <c r="E22" s="39"/>
      <c r="F22" s="22"/>
      <c r="G22" s="24">
        <f t="shared" si="4"/>
        <v>-100</v>
      </c>
      <c r="H22" s="63">
        <v>2022</v>
      </c>
      <c r="I22" s="92"/>
      <c r="J22" s="48"/>
      <c r="K22" s="49">
        <f t="shared" si="3"/>
        <v>-100</v>
      </c>
      <c r="L22" s="85"/>
      <c r="M22" s="85"/>
      <c r="N22" s="39"/>
      <c r="O22" s="61"/>
      <c r="P22" s="39"/>
      <c r="Q22" s="61"/>
    </row>
    <row r="23" spans="1:17" x14ac:dyDescent="0.25">
      <c r="A23" t="s">
        <v>140</v>
      </c>
      <c r="B23" s="8">
        <f t="shared" si="5"/>
        <v>45796</v>
      </c>
      <c r="C23" s="22">
        <f t="shared" si="0"/>
        <v>61635.54</v>
      </c>
      <c r="D23" s="39">
        <v>60427</v>
      </c>
      <c r="E23" s="39"/>
      <c r="F23" s="22"/>
      <c r="G23" s="24">
        <f t="shared" si="4"/>
        <v>-100</v>
      </c>
      <c r="H23" s="63">
        <v>1944</v>
      </c>
      <c r="I23" s="92"/>
      <c r="J23" s="48"/>
      <c r="K23" s="49">
        <f t="shared" si="3"/>
        <v>-100</v>
      </c>
      <c r="L23" s="85"/>
      <c r="M23" s="85"/>
      <c r="N23" s="39"/>
      <c r="O23" s="61"/>
      <c r="P23" s="39"/>
      <c r="Q23" s="61"/>
    </row>
    <row r="24" spans="1:17" x14ac:dyDescent="0.25">
      <c r="A24" t="s">
        <v>141</v>
      </c>
      <c r="B24" s="8">
        <f t="shared" si="5"/>
        <v>45803</v>
      </c>
      <c r="C24" s="22">
        <f t="shared" si="0"/>
        <v>53935.56</v>
      </c>
      <c r="D24" s="39">
        <v>52878</v>
      </c>
      <c r="E24" s="39"/>
      <c r="F24" s="22"/>
      <c r="G24" s="24">
        <f t="shared" si="4"/>
        <v>-100</v>
      </c>
      <c r="H24" s="63">
        <v>1711</v>
      </c>
      <c r="I24" s="92"/>
      <c r="J24" s="48"/>
      <c r="K24" s="49">
        <f t="shared" si="3"/>
        <v>-100</v>
      </c>
      <c r="L24" s="85"/>
      <c r="M24" s="85"/>
      <c r="N24" s="39"/>
      <c r="O24" s="61"/>
      <c r="P24" s="39"/>
      <c r="Q24" s="61"/>
    </row>
    <row r="25" spans="1:17" x14ac:dyDescent="0.25">
      <c r="A25" t="s">
        <v>142</v>
      </c>
      <c r="B25" s="8">
        <f t="shared" si="5"/>
        <v>45810</v>
      </c>
      <c r="C25" s="22">
        <f t="shared" si="0"/>
        <v>67004.820000000007</v>
      </c>
      <c r="D25" s="39">
        <v>65691</v>
      </c>
      <c r="E25" s="39"/>
      <c r="F25" s="22"/>
      <c r="G25" s="24">
        <f t="shared" si="4"/>
        <v>-100</v>
      </c>
      <c r="H25" s="63">
        <v>2076</v>
      </c>
      <c r="I25" s="92"/>
      <c r="J25" s="48"/>
      <c r="K25" s="49">
        <f t="shared" si="3"/>
        <v>-100</v>
      </c>
      <c r="L25" s="85"/>
      <c r="M25" s="85"/>
      <c r="N25" s="39"/>
      <c r="O25" s="61"/>
      <c r="P25" s="39"/>
      <c r="Q25" s="61"/>
    </row>
    <row r="26" spans="1:17" x14ac:dyDescent="0.25">
      <c r="A26" t="s">
        <v>143</v>
      </c>
      <c r="B26" s="8">
        <f t="shared" si="5"/>
        <v>45817</v>
      </c>
      <c r="C26" s="22">
        <f t="shared" si="0"/>
        <v>63361.38</v>
      </c>
      <c r="D26" s="39">
        <v>62119</v>
      </c>
      <c r="E26" s="39"/>
      <c r="F26" s="22"/>
      <c r="G26" s="24">
        <f t="shared" si="4"/>
        <v>-100</v>
      </c>
      <c r="H26" s="63">
        <v>1891</v>
      </c>
      <c r="I26" s="92"/>
      <c r="J26" s="48"/>
      <c r="K26" s="49">
        <f t="shared" si="3"/>
        <v>-100</v>
      </c>
      <c r="L26" s="85"/>
      <c r="M26" s="85"/>
      <c r="N26" s="39"/>
      <c r="O26" s="61"/>
      <c r="P26" s="39"/>
      <c r="Q26" s="61"/>
    </row>
    <row r="27" spans="1:17" x14ac:dyDescent="0.25">
      <c r="A27" t="s">
        <v>144</v>
      </c>
      <c r="B27" s="8">
        <f t="shared" si="5"/>
        <v>45824</v>
      </c>
      <c r="C27" s="22">
        <f t="shared" si="0"/>
        <v>66617.22</v>
      </c>
      <c r="D27" s="39">
        <v>65311</v>
      </c>
      <c r="E27" s="39"/>
      <c r="F27" s="22"/>
      <c r="G27" s="24">
        <f t="shared" si="4"/>
        <v>-100</v>
      </c>
      <c r="H27" s="63">
        <v>1987</v>
      </c>
      <c r="I27" s="92"/>
      <c r="J27" s="48"/>
      <c r="K27" s="49">
        <f t="shared" si="3"/>
        <v>-100</v>
      </c>
      <c r="L27" s="85"/>
      <c r="M27" s="85"/>
      <c r="N27" s="39"/>
      <c r="O27" s="61"/>
      <c r="P27" s="39"/>
      <c r="Q27" s="61"/>
    </row>
    <row r="28" spans="1:17" x14ac:dyDescent="0.25">
      <c r="A28" t="s">
        <v>145</v>
      </c>
      <c r="B28" s="8">
        <f t="shared" si="5"/>
        <v>45831</v>
      </c>
      <c r="C28" s="22">
        <f t="shared" si="0"/>
        <v>69845.52</v>
      </c>
      <c r="D28" s="39">
        <v>68476</v>
      </c>
      <c r="E28" s="39"/>
      <c r="F28" s="22"/>
      <c r="G28" s="24">
        <f t="shared" si="4"/>
        <v>-100</v>
      </c>
      <c r="H28" s="63">
        <v>2217</v>
      </c>
      <c r="I28" s="92"/>
      <c r="J28" s="48"/>
      <c r="K28" s="49">
        <f t="shared" si="3"/>
        <v>-100</v>
      </c>
      <c r="L28" s="85"/>
      <c r="M28" s="85"/>
      <c r="N28" s="39"/>
      <c r="O28" s="61"/>
      <c r="P28" s="39"/>
      <c r="Q28" s="61"/>
    </row>
    <row r="29" spans="1:17" x14ac:dyDescent="0.25">
      <c r="A29" t="s">
        <v>146</v>
      </c>
      <c r="B29" s="8">
        <f t="shared" si="5"/>
        <v>45838</v>
      </c>
      <c r="C29" s="22">
        <f t="shared" si="0"/>
        <v>63784.68</v>
      </c>
      <c r="D29" s="39">
        <v>62534</v>
      </c>
      <c r="E29" s="39"/>
      <c r="F29" s="22"/>
      <c r="G29" s="24">
        <f t="shared" si="4"/>
        <v>-100</v>
      </c>
      <c r="H29" s="63">
        <v>1904</v>
      </c>
      <c r="I29" s="92"/>
      <c r="J29" s="48"/>
      <c r="K29" s="49">
        <f t="shared" si="3"/>
        <v>-100</v>
      </c>
      <c r="L29" s="85"/>
      <c r="M29" s="85"/>
      <c r="N29" s="39"/>
      <c r="O29" s="61"/>
      <c r="P29" s="39"/>
      <c r="Q29" s="61"/>
    </row>
    <row r="30" spans="1:17" x14ac:dyDescent="0.25">
      <c r="A30" t="s">
        <v>147</v>
      </c>
      <c r="B30" s="8">
        <f t="shared" si="5"/>
        <v>45845</v>
      </c>
      <c r="C30" s="22">
        <f t="shared" si="0"/>
        <v>63304.26</v>
      </c>
      <c r="D30" s="39">
        <v>62063</v>
      </c>
      <c r="E30" s="39"/>
      <c r="F30" s="61"/>
      <c r="G30" s="24">
        <f t="shared" si="4"/>
        <v>-100</v>
      </c>
      <c r="H30" s="63">
        <v>1933</v>
      </c>
      <c r="I30" s="92"/>
      <c r="J30" s="48"/>
      <c r="K30" s="49">
        <f t="shared" si="3"/>
        <v>-100</v>
      </c>
      <c r="N30" s="39"/>
      <c r="O30" s="61"/>
      <c r="P30" s="39"/>
      <c r="Q30" s="61"/>
    </row>
    <row r="31" spans="1:17" x14ac:dyDescent="0.25">
      <c r="A31" t="s">
        <v>148</v>
      </c>
      <c r="B31" s="8">
        <f t="shared" si="5"/>
        <v>45852</v>
      </c>
      <c r="C31" s="22">
        <f t="shared" si="0"/>
        <v>60375.839999999997</v>
      </c>
      <c r="D31" s="39">
        <v>59192</v>
      </c>
      <c r="E31" s="39"/>
      <c r="F31" s="61"/>
      <c r="G31" s="24">
        <f t="shared" si="4"/>
        <v>-100</v>
      </c>
      <c r="H31" s="63">
        <v>1956</v>
      </c>
      <c r="I31" s="92"/>
      <c r="J31" s="48"/>
      <c r="K31" s="49">
        <f t="shared" si="3"/>
        <v>-100</v>
      </c>
      <c r="N31" s="39"/>
      <c r="O31" s="61"/>
      <c r="P31" s="39"/>
      <c r="Q31" s="61"/>
    </row>
    <row r="32" spans="1:17" x14ac:dyDescent="0.25">
      <c r="A32" t="s">
        <v>149</v>
      </c>
      <c r="B32" s="8">
        <f t="shared" si="5"/>
        <v>45859</v>
      </c>
      <c r="C32" s="22">
        <f t="shared" si="0"/>
        <v>82034.52</v>
      </c>
      <c r="D32" s="39">
        <v>80426</v>
      </c>
      <c r="E32" s="39"/>
      <c r="F32" s="61"/>
      <c r="G32" s="24">
        <f t="shared" si="4"/>
        <v>-100</v>
      </c>
      <c r="H32" s="63">
        <v>3027</v>
      </c>
      <c r="I32" s="92"/>
      <c r="J32" s="48"/>
      <c r="K32" s="49">
        <f t="shared" si="3"/>
        <v>-100</v>
      </c>
      <c r="N32" s="39"/>
      <c r="O32" s="61"/>
      <c r="P32" s="39"/>
      <c r="Q32" s="61"/>
    </row>
    <row r="33" spans="1:17" x14ac:dyDescent="0.25">
      <c r="A33" t="s">
        <v>150</v>
      </c>
      <c r="B33" s="8">
        <f t="shared" si="5"/>
        <v>45866</v>
      </c>
      <c r="C33" s="22">
        <f t="shared" si="0"/>
        <v>54445.56</v>
      </c>
      <c r="D33" s="39">
        <v>53378</v>
      </c>
      <c r="E33" s="39"/>
      <c r="F33" s="61"/>
      <c r="G33" s="24">
        <f t="shared" si="4"/>
        <v>-100</v>
      </c>
      <c r="H33" s="63">
        <v>1652</v>
      </c>
      <c r="I33" s="92"/>
      <c r="J33" s="48"/>
      <c r="K33" s="49">
        <f t="shared" si="3"/>
        <v>-100</v>
      </c>
      <c r="N33" s="39"/>
      <c r="O33" s="61"/>
      <c r="P33" s="39"/>
      <c r="Q33" s="61"/>
    </row>
    <row r="34" spans="1:17" x14ac:dyDescent="0.25">
      <c r="A34" t="s">
        <v>151</v>
      </c>
      <c r="B34" s="8">
        <f t="shared" si="5"/>
        <v>45873</v>
      </c>
      <c r="C34" s="22">
        <f t="shared" si="0"/>
        <v>76124.639999999999</v>
      </c>
      <c r="D34" s="39">
        <v>74632</v>
      </c>
      <c r="E34" s="39"/>
      <c r="F34" s="61"/>
      <c r="G34" s="24">
        <f t="shared" si="4"/>
        <v>-100</v>
      </c>
      <c r="H34" s="63">
        <v>2314</v>
      </c>
      <c r="I34" s="92"/>
      <c r="J34" s="48"/>
      <c r="K34" s="49">
        <f t="shared" si="3"/>
        <v>-100</v>
      </c>
      <c r="N34" s="39"/>
      <c r="O34" s="61"/>
      <c r="P34" s="39"/>
      <c r="Q34" s="61"/>
    </row>
    <row r="35" spans="1:17" x14ac:dyDescent="0.25">
      <c r="A35" t="s">
        <v>152</v>
      </c>
      <c r="B35" s="8">
        <f t="shared" si="5"/>
        <v>45880</v>
      </c>
      <c r="C35" s="22">
        <f t="shared" ref="C35:C55" si="8">D35+D35*$K$1</f>
        <v>55069.8</v>
      </c>
      <c r="D35" s="39">
        <v>53990</v>
      </c>
      <c r="E35" s="39"/>
      <c r="F35" s="61"/>
      <c r="G35" s="24">
        <f t="shared" si="4"/>
        <v>-100</v>
      </c>
      <c r="H35" s="63">
        <v>1596</v>
      </c>
      <c r="I35" s="92"/>
      <c r="J35" s="48"/>
      <c r="K35" s="49">
        <f t="shared" si="3"/>
        <v>-100</v>
      </c>
      <c r="N35" s="39"/>
      <c r="O35" s="61"/>
      <c r="P35" s="39"/>
      <c r="Q35" s="61"/>
    </row>
    <row r="36" spans="1:17" x14ac:dyDescent="0.25">
      <c r="A36" t="s">
        <v>153</v>
      </c>
      <c r="B36" s="8">
        <f t="shared" si="5"/>
        <v>45887</v>
      </c>
      <c r="C36" s="22">
        <f t="shared" si="8"/>
        <v>62733.06</v>
      </c>
      <c r="D36" s="39">
        <v>61503</v>
      </c>
      <c r="E36" s="39"/>
      <c r="F36" s="61"/>
      <c r="G36" s="24">
        <f t="shared" si="4"/>
        <v>-100</v>
      </c>
      <c r="H36" s="63">
        <v>1841</v>
      </c>
      <c r="I36" s="92"/>
      <c r="J36" s="48"/>
      <c r="K36" s="49">
        <f t="shared" si="3"/>
        <v>-100</v>
      </c>
      <c r="N36" s="39"/>
      <c r="O36" s="61"/>
      <c r="P36" s="39"/>
      <c r="Q36" s="61"/>
    </row>
    <row r="37" spans="1:17" x14ac:dyDescent="0.25">
      <c r="A37" t="s">
        <v>154</v>
      </c>
      <c r="B37" s="8">
        <f t="shared" si="5"/>
        <v>45894</v>
      </c>
      <c r="C37" s="22">
        <f t="shared" si="8"/>
        <v>55520.639999999999</v>
      </c>
      <c r="D37" s="39">
        <v>54432</v>
      </c>
      <c r="E37" s="39"/>
      <c r="F37" s="61"/>
      <c r="G37" s="24">
        <f t="shared" si="4"/>
        <v>-100</v>
      </c>
      <c r="H37" s="63">
        <v>1662</v>
      </c>
      <c r="I37" s="44"/>
      <c r="J37" s="48"/>
      <c r="K37" s="49">
        <f t="shared" si="3"/>
        <v>-100</v>
      </c>
      <c r="N37" s="39"/>
      <c r="O37" s="61"/>
      <c r="P37" s="39"/>
      <c r="Q37" s="61"/>
    </row>
    <row r="38" spans="1:17" x14ac:dyDescent="0.25">
      <c r="A38" t="s">
        <v>155</v>
      </c>
      <c r="B38" s="8">
        <f t="shared" si="5"/>
        <v>45901</v>
      </c>
      <c r="C38" s="22">
        <f t="shared" si="8"/>
        <v>62308.74</v>
      </c>
      <c r="D38" s="39">
        <v>61087</v>
      </c>
      <c r="E38" s="39"/>
      <c r="F38" s="61"/>
      <c r="G38" s="24">
        <f t="shared" si="4"/>
        <v>-100</v>
      </c>
      <c r="H38" s="63">
        <v>1846</v>
      </c>
      <c r="I38" s="44"/>
      <c r="J38" s="48"/>
      <c r="K38" s="49">
        <f t="shared" si="3"/>
        <v>-100</v>
      </c>
      <c r="N38" s="39"/>
      <c r="O38" s="61"/>
      <c r="P38" s="39"/>
      <c r="Q38" s="61"/>
    </row>
    <row r="39" spans="1:17" x14ac:dyDescent="0.25">
      <c r="A39" t="s">
        <v>156</v>
      </c>
      <c r="B39" s="8">
        <f t="shared" si="5"/>
        <v>45908</v>
      </c>
      <c r="C39" s="22">
        <f t="shared" si="8"/>
        <v>75393.3</v>
      </c>
      <c r="D39" s="39">
        <v>73915</v>
      </c>
      <c r="E39" s="39"/>
      <c r="F39" s="61"/>
      <c r="G39" s="24">
        <f t="shared" si="4"/>
        <v>-100</v>
      </c>
      <c r="H39" s="63">
        <v>2307</v>
      </c>
      <c r="I39" s="44"/>
      <c r="J39" s="48"/>
      <c r="K39" s="49">
        <f t="shared" si="3"/>
        <v>-100</v>
      </c>
      <c r="N39" s="39"/>
      <c r="O39" s="61"/>
      <c r="P39" s="39"/>
      <c r="Q39" s="61"/>
    </row>
    <row r="40" spans="1:17" x14ac:dyDescent="0.25">
      <c r="A40" t="s">
        <v>157</v>
      </c>
      <c r="B40" s="8">
        <f t="shared" si="5"/>
        <v>45915</v>
      </c>
      <c r="C40" s="22">
        <f t="shared" si="8"/>
        <v>52207.68</v>
      </c>
      <c r="D40" s="39">
        <v>51184</v>
      </c>
      <c r="E40" s="39"/>
      <c r="F40" s="61"/>
      <c r="G40" s="24">
        <f t="shared" si="4"/>
        <v>-100</v>
      </c>
      <c r="H40" s="63">
        <v>1534</v>
      </c>
      <c r="I40" s="44"/>
      <c r="J40" s="48"/>
      <c r="K40" s="49">
        <f t="shared" si="3"/>
        <v>-100</v>
      </c>
      <c r="N40" s="39"/>
      <c r="O40" s="61"/>
      <c r="P40" s="39"/>
      <c r="Q40" s="61"/>
    </row>
    <row r="41" spans="1:17" x14ac:dyDescent="0.25">
      <c r="A41" t="s">
        <v>158</v>
      </c>
      <c r="B41" s="8">
        <f t="shared" si="5"/>
        <v>45922</v>
      </c>
      <c r="C41" s="22">
        <f t="shared" si="8"/>
        <v>68149.259999999995</v>
      </c>
      <c r="D41" s="39">
        <v>66813</v>
      </c>
      <c r="E41" s="39"/>
      <c r="F41" s="61"/>
      <c r="G41" s="24">
        <f t="shared" si="4"/>
        <v>-100</v>
      </c>
      <c r="H41" s="63">
        <v>2222</v>
      </c>
      <c r="I41" s="44"/>
      <c r="J41" s="48"/>
      <c r="K41" s="49">
        <f t="shared" si="3"/>
        <v>-100</v>
      </c>
      <c r="N41" s="39"/>
      <c r="O41" s="61"/>
      <c r="P41" s="39"/>
      <c r="Q41" s="61"/>
    </row>
    <row r="42" spans="1:17" x14ac:dyDescent="0.25">
      <c r="A42" t="s">
        <v>159</v>
      </c>
      <c r="B42" s="8">
        <f t="shared" si="5"/>
        <v>45929</v>
      </c>
      <c r="C42" s="22">
        <f t="shared" si="8"/>
        <v>63024.78</v>
      </c>
      <c r="D42" s="39">
        <v>61789</v>
      </c>
      <c r="E42" s="39"/>
      <c r="F42" s="61"/>
      <c r="G42" s="24">
        <f t="shared" si="4"/>
        <v>-100</v>
      </c>
      <c r="H42" s="63">
        <v>1837</v>
      </c>
      <c r="I42" s="44"/>
      <c r="J42" s="48"/>
      <c r="K42" s="49">
        <f t="shared" si="3"/>
        <v>-100</v>
      </c>
      <c r="N42" s="39"/>
      <c r="O42" s="61"/>
      <c r="P42" s="39"/>
      <c r="Q42" s="61"/>
    </row>
    <row r="43" spans="1:17" x14ac:dyDescent="0.25">
      <c r="A43" t="s">
        <v>160</v>
      </c>
      <c r="B43" s="8">
        <f t="shared" si="5"/>
        <v>45936</v>
      </c>
      <c r="C43" s="22">
        <f t="shared" si="8"/>
        <v>74296.800000000003</v>
      </c>
      <c r="D43" s="39">
        <v>72840</v>
      </c>
      <c r="E43" s="39"/>
      <c r="F43" s="96"/>
      <c r="G43" s="24">
        <f t="shared" si="4"/>
        <v>-100</v>
      </c>
      <c r="H43" s="63">
        <v>2099</v>
      </c>
      <c r="I43" s="44"/>
      <c r="J43" s="48"/>
      <c r="K43" s="49">
        <f t="shared" si="3"/>
        <v>-100</v>
      </c>
      <c r="N43" s="39"/>
      <c r="O43" s="61"/>
      <c r="P43" s="39"/>
      <c r="Q43" s="61"/>
    </row>
    <row r="44" spans="1:17" x14ac:dyDescent="0.25">
      <c r="A44" t="s">
        <v>161</v>
      </c>
      <c r="B44" s="8">
        <f t="shared" si="5"/>
        <v>45943</v>
      </c>
      <c r="C44" s="22">
        <f t="shared" si="8"/>
        <v>63331.8</v>
      </c>
      <c r="D44" s="39">
        <v>62090</v>
      </c>
      <c r="E44" s="39"/>
      <c r="F44" s="96"/>
      <c r="G44" s="24">
        <f t="shared" si="4"/>
        <v>-100</v>
      </c>
      <c r="H44" s="63">
        <v>1867</v>
      </c>
      <c r="I44" s="44"/>
      <c r="J44" s="97"/>
      <c r="K44" s="49">
        <f t="shared" si="3"/>
        <v>-100</v>
      </c>
      <c r="N44" s="39"/>
      <c r="O44" s="61"/>
      <c r="P44" s="39"/>
      <c r="Q44" s="61"/>
    </row>
    <row r="45" spans="1:17" x14ac:dyDescent="0.25">
      <c r="A45" t="s">
        <v>162</v>
      </c>
      <c r="B45" s="8">
        <f t="shared" si="5"/>
        <v>45950</v>
      </c>
      <c r="C45" s="22">
        <f t="shared" si="8"/>
        <v>50670.54</v>
      </c>
      <c r="D45" s="39">
        <v>49677</v>
      </c>
      <c r="E45" s="39"/>
      <c r="F45" s="96"/>
      <c r="G45" s="24">
        <f t="shared" si="4"/>
        <v>-100</v>
      </c>
      <c r="H45" s="63">
        <v>1515</v>
      </c>
      <c r="I45" s="44"/>
      <c r="J45" s="97"/>
      <c r="K45" s="49">
        <f t="shared" si="3"/>
        <v>-100</v>
      </c>
      <c r="N45" s="39"/>
      <c r="O45" s="61"/>
      <c r="P45" s="39"/>
      <c r="Q45" s="61"/>
    </row>
    <row r="46" spans="1:17" x14ac:dyDescent="0.25">
      <c r="A46" t="s">
        <v>163</v>
      </c>
      <c r="B46" s="8">
        <f t="shared" si="5"/>
        <v>45957</v>
      </c>
      <c r="C46" s="22">
        <f t="shared" si="8"/>
        <v>56936.4</v>
      </c>
      <c r="D46" s="39">
        <v>55820</v>
      </c>
      <c r="E46" s="39"/>
      <c r="F46" s="61"/>
      <c r="G46" s="24">
        <f t="shared" si="4"/>
        <v>-100</v>
      </c>
      <c r="H46" s="63">
        <v>1728</v>
      </c>
      <c r="I46" s="44"/>
      <c r="J46" s="48"/>
      <c r="K46" s="49">
        <f t="shared" si="3"/>
        <v>-100</v>
      </c>
      <c r="N46" s="39"/>
      <c r="O46" s="61"/>
      <c r="P46" s="39"/>
      <c r="Q46" s="61"/>
    </row>
    <row r="47" spans="1:17" x14ac:dyDescent="0.25">
      <c r="A47" t="s">
        <v>164</v>
      </c>
      <c r="B47" s="8">
        <f t="shared" si="5"/>
        <v>45964</v>
      </c>
      <c r="C47" s="22">
        <f t="shared" si="8"/>
        <v>62157.78</v>
      </c>
      <c r="D47" s="39">
        <v>60939</v>
      </c>
      <c r="E47" s="39"/>
      <c r="F47" s="61"/>
      <c r="G47" s="24">
        <f t="shared" si="4"/>
        <v>-100</v>
      </c>
      <c r="H47" s="63">
        <v>1872</v>
      </c>
      <c r="I47" s="44"/>
      <c r="J47" s="48"/>
      <c r="K47" s="49">
        <f t="shared" si="3"/>
        <v>-100</v>
      </c>
      <c r="N47" s="39"/>
      <c r="O47" s="61"/>
      <c r="P47" s="39"/>
      <c r="Q47" s="61"/>
    </row>
    <row r="48" spans="1:17" x14ac:dyDescent="0.25">
      <c r="A48" t="s">
        <v>165</v>
      </c>
      <c r="B48" s="8">
        <f t="shared" si="5"/>
        <v>45971</v>
      </c>
      <c r="C48" s="22">
        <f t="shared" si="8"/>
        <v>71352.06</v>
      </c>
      <c r="D48" s="39">
        <v>69953</v>
      </c>
      <c r="E48" s="39"/>
      <c r="F48" s="61"/>
      <c r="G48" s="24">
        <f t="shared" si="4"/>
        <v>-100</v>
      </c>
      <c r="H48" s="63">
        <v>2166</v>
      </c>
      <c r="I48" s="44"/>
      <c r="J48" s="48"/>
      <c r="K48" s="49">
        <f t="shared" si="3"/>
        <v>-100</v>
      </c>
      <c r="N48" s="39"/>
      <c r="O48" s="61"/>
      <c r="P48" s="39"/>
      <c r="Q48" s="61"/>
    </row>
    <row r="49" spans="1:17" x14ac:dyDescent="0.25">
      <c r="A49" t="s">
        <v>166</v>
      </c>
      <c r="B49" s="8">
        <f t="shared" si="5"/>
        <v>45978</v>
      </c>
      <c r="C49" s="22">
        <f t="shared" si="8"/>
        <v>69745.56</v>
      </c>
      <c r="D49" s="39">
        <v>68378</v>
      </c>
      <c r="E49" s="39"/>
      <c r="F49" s="61"/>
      <c r="G49" s="24">
        <f t="shared" si="4"/>
        <v>-100</v>
      </c>
      <c r="H49" s="63">
        <v>2083</v>
      </c>
      <c r="I49" s="44"/>
      <c r="J49" s="48"/>
      <c r="K49" s="49">
        <f t="shared" si="3"/>
        <v>-100</v>
      </c>
      <c r="N49" s="39"/>
      <c r="O49" s="61"/>
      <c r="P49" s="39"/>
      <c r="Q49" s="61"/>
    </row>
    <row r="50" spans="1:17" x14ac:dyDescent="0.25">
      <c r="A50" t="s">
        <v>167</v>
      </c>
      <c r="B50" s="8">
        <f t="shared" si="5"/>
        <v>45985</v>
      </c>
      <c r="C50" s="22">
        <f t="shared" si="8"/>
        <v>63815.28</v>
      </c>
      <c r="D50" s="39">
        <v>62564</v>
      </c>
      <c r="E50" s="39"/>
      <c r="F50" s="61"/>
      <c r="G50" s="24">
        <f t="shared" si="4"/>
        <v>-100</v>
      </c>
      <c r="H50" s="63">
        <v>1795</v>
      </c>
      <c r="I50" s="44"/>
      <c r="J50" s="48"/>
      <c r="K50" s="49">
        <f t="shared" si="3"/>
        <v>-100</v>
      </c>
      <c r="N50" s="39"/>
      <c r="O50" s="61"/>
      <c r="P50" s="39"/>
      <c r="Q50" s="61"/>
    </row>
    <row r="51" spans="1:17" x14ac:dyDescent="0.25">
      <c r="A51" t="s">
        <v>168</v>
      </c>
      <c r="B51" s="8">
        <f t="shared" si="5"/>
        <v>45992</v>
      </c>
      <c r="C51" s="22">
        <f t="shared" si="8"/>
        <v>59316.06</v>
      </c>
      <c r="D51" s="39">
        <v>58153</v>
      </c>
      <c r="E51" s="39"/>
      <c r="F51" s="61"/>
      <c r="G51" s="24">
        <f t="shared" si="4"/>
        <v>-100</v>
      </c>
      <c r="H51" s="63">
        <v>1751</v>
      </c>
      <c r="I51" s="44"/>
      <c r="J51" s="48"/>
      <c r="K51" s="49">
        <f t="shared" si="3"/>
        <v>-100</v>
      </c>
      <c r="N51" s="39"/>
      <c r="O51" s="61"/>
      <c r="P51" s="39"/>
      <c r="Q51" s="61"/>
    </row>
    <row r="52" spans="1:17" x14ac:dyDescent="0.25">
      <c r="A52" t="s">
        <v>169</v>
      </c>
      <c r="B52" s="8">
        <f t="shared" si="5"/>
        <v>45999</v>
      </c>
      <c r="C52" s="22">
        <f t="shared" si="8"/>
        <v>77922.899999999994</v>
      </c>
      <c r="D52" s="39">
        <v>76395</v>
      </c>
      <c r="E52" s="39"/>
      <c r="F52" s="61"/>
      <c r="G52" s="24">
        <f t="shared" si="4"/>
        <v>-100</v>
      </c>
      <c r="H52" s="63">
        <v>2429</v>
      </c>
      <c r="I52" s="44"/>
      <c r="J52" s="48"/>
      <c r="K52" s="49">
        <f t="shared" si="3"/>
        <v>-100</v>
      </c>
      <c r="N52" s="39"/>
      <c r="O52" s="61"/>
      <c r="P52" s="39"/>
      <c r="Q52" s="61"/>
    </row>
    <row r="53" spans="1:17" x14ac:dyDescent="0.25">
      <c r="A53" t="s">
        <v>170</v>
      </c>
      <c r="B53" s="8">
        <f t="shared" si="5"/>
        <v>46006</v>
      </c>
      <c r="C53" s="22">
        <f t="shared" si="8"/>
        <v>59394.6</v>
      </c>
      <c r="D53" s="39">
        <v>58230</v>
      </c>
      <c r="E53" s="39"/>
      <c r="F53" s="61"/>
      <c r="G53" s="24">
        <f t="shared" si="4"/>
        <v>-100</v>
      </c>
      <c r="H53" s="63">
        <v>1756</v>
      </c>
      <c r="I53" s="44"/>
      <c r="J53" s="48"/>
      <c r="K53" s="49">
        <f t="shared" si="3"/>
        <v>-100</v>
      </c>
      <c r="N53" s="39"/>
      <c r="O53" s="61"/>
      <c r="P53" s="39"/>
      <c r="Q53" s="61"/>
    </row>
    <row r="54" spans="1:17" x14ac:dyDescent="0.25">
      <c r="A54" t="s">
        <v>171</v>
      </c>
      <c r="B54" s="8">
        <f t="shared" si="5"/>
        <v>46013</v>
      </c>
      <c r="C54" s="22">
        <f t="shared" si="8"/>
        <v>48493.86</v>
      </c>
      <c r="D54" s="39">
        <v>47543</v>
      </c>
      <c r="E54" s="39"/>
      <c r="F54" s="61"/>
      <c r="G54" s="24">
        <f t="shared" si="4"/>
        <v>-100</v>
      </c>
      <c r="H54" s="63">
        <v>1388</v>
      </c>
      <c r="I54" s="44"/>
      <c r="J54" s="48"/>
      <c r="K54" s="49">
        <f t="shared" si="3"/>
        <v>-100</v>
      </c>
      <c r="N54" s="39"/>
      <c r="O54" s="93"/>
      <c r="P54" s="39"/>
      <c r="Q54" s="61"/>
    </row>
    <row r="55" spans="1:17" x14ac:dyDescent="0.25">
      <c r="A55" t="s">
        <v>252</v>
      </c>
      <c r="B55" s="8">
        <f t="shared" si="5"/>
        <v>46020</v>
      </c>
      <c r="C55" s="22">
        <f t="shared" si="8"/>
        <v>64751.64</v>
      </c>
      <c r="D55" s="39">
        <v>63482</v>
      </c>
      <c r="E55" s="39"/>
      <c r="F55" s="99"/>
      <c r="G55" s="24">
        <f t="shared" si="4"/>
        <v>-100</v>
      </c>
      <c r="H55" s="63">
        <v>1980</v>
      </c>
      <c r="I55" s="103"/>
      <c r="J55" s="48"/>
      <c r="K55" s="49">
        <f t="shared" si="3"/>
        <v>-100</v>
      </c>
      <c r="N55" s="39"/>
      <c r="O55" s="93"/>
      <c r="P55" s="39"/>
      <c r="Q55" s="61"/>
    </row>
    <row r="56" spans="1:17" x14ac:dyDescent="0.25">
      <c r="A56" s="1"/>
      <c r="B56" s="1"/>
      <c r="C56" s="26">
        <f>SUM(C3:C55)</f>
        <v>3396372.5399999991</v>
      </c>
      <c r="D56" s="72">
        <f>SUM(D3:D55)</f>
        <v>3329777</v>
      </c>
      <c r="E56" s="72">
        <f>SUM(E3:E55)</f>
        <v>841006</v>
      </c>
      <c r="F56" s="27">
        <f>SUM(F3:F55)</f>
        <v>-5394</v>
      </c>
      <c r="G56" s="28">
        <f>100*(F56)/(E56-F56)</f>
        <v>-0.63728733459357279</v>
      </c>
      <c r="H56" s="86">
        <f>SUM(H3:H55)</f>
        <v>104370</v>
      </c>
      <c r="I56" s="86">
        <f>SUM(I3:I55)</f>
        <v>26619</v>
      </c>
      <c r="J56" s="1">
        <f>SUM(J3:J55)</f>
        <v>-311</v>
      </c>
      <c r="K56" s="29">
        <f>100*(J56)/(I56-J56)</f>
        <v>-1.1548458967694022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04E2-8F5C-404D-B189-B1C3FFA1D669}">
  <dimension ref="A1:P56"/>
  <sheetViews>
    <sheetView topLeftCell="C7" workbookViewId="0">
      <selection activeCell="F3" sqref="F3"/>
    </sheetView>
  </sheetViews>
  <sheetFormatPr defaultRowHeight="15" x14ac:dyDescent="0.25"/>
  <cols>
    <col min="3" max="3" width="15.28515625" bestFit="1" customWidth="1"/>
    <col min="4" max="4" width="10.85546875" bestFit="1" customWidth="1"/>
    <col min="5" max="5" width="14.28515625" bestFit="1" customWidth="1"/>
    <col min="6" max="6" width="13.42578125" bestFit="1" customWidth="1"/>
    <col min="7" max="7" width="8.7109375" customWidth="1"/>
    <col min="9" max="9" width="9.85546875" bestFit="1" customWidth="1"/>
    <col min="11" max="11" width="7.7109375" bestFit="1" customWidth="1"/>
    <col min="12" max="13" width="9.85546875" bestFit="1" customWidth="1"/>
  </cols>
  <sheetData>
    <row r="1" spans="1:16" x14ac:dyDescent="0.25">
      <c r="J1" s="55" t="s">
        <v>222</v>
      </c>
      <c r="K1" s="54">
        <v>0.02</v>
      </c>
    </row>
    <row r="2" spans="1:16" x14ac:dyDescent="0.25">
      <c r="A2" s="50" t="s">
        <v>115</v>
      </c>
      <c r="B2" s="50" t="s">
        <v>15</v>
      </c>
      <c r="C2" s="51" t="s">
        <v>116</v>
      </c>
      <c r="D2" s="56">
        <v>2024</v>
      </c>
      <c r="E2" s="50">
        <v>2025</v>
      </c>
      <c r="F2" s="50" t="s">
        <v>117</v>
      </c>
      <c r="G2" s="50" t="s">
        <v>118</v>
      </c>
      <c r="H2" s="52">
        <v>2024</v>
      </c>
      <c r="I2" s="52">
        <v>2025</v>
      </c>
      <c r="J2" s="53" t="s">
        <v>119</v>
      </c>
      <c r="K2" s="52" t="s">
        <v>118</v>
      </c>
      <c r="O2" s="61"/>
    </row>
    <row r="3" spans="1:16" x14ac:dyDescent="0.25">
      <c r="A3" t="s">
        <v>120</v>
      </c>
      <c r="B3" s="8">
        <v>45656</v>
      </c>
      <c r="C3" s="22">
        <f>D3+D3*$K$1</f>
        <v>65905.259999999995</v>
      </c>
      <c r="D3" s="62">
        <v>64613</v>
      </c>
      <c r="E3" s="39">
        <v>58952</v>
      </c>
      <c r="F3" s="30">
        <f t="shared" ref="F3:F42" si="0">E3-D3</f>
        <v>-5661</v>
      </c>
      <c r="G3" s="24">
        <f t="shared" ref="G3:G34" si="1">100*(E3-D3)/D3</f>
        <v>-8.7613947657592117</v>
      </c>
      <c r="H3" s="92">
        <v>1965</v>
      </c>
      <c r="I3" s="92">
        <v>1851</v>
      </c>
      <c r="J3" s="48">
        <f t="shared" ref="J3:J43" si="2">I3-H3</f>
        <v>-114</v>
      </c>
      <c r="K3" s="49">
        <f t="shared" ref="K3:K55" si="3">100*(I3-H3)/H3</f>
        <v>-5.8015267175572518</v>
      </c>
      <c r="L3" s="85"/>
      <c r="M3" s="85"/>
      <c r="N3" s="39">
        <v>63059</v>
      </c>
      <c r="O3" s="61"/>
      <c r="P3" s="93"/>
    </row>
    <row r="4" spans="1:16" x14ac:dyDescent="0.25">
      <c r="A4" t="s">
        <v>121</v>
      </c>
      <c r="B4" s="8">
        <f>B3+7</f>
        <v>45663</v>
      </c>
      <c r="C4" s="22">
        <f t="shared" ref="C4:C55" si="4">D4+D4*$K$1</f>
        <v>77883.12</v>
      </c>
      <c r="D4" s="62">
        <v>76356</v>
      </c>
      <c r="E4" s="39">
        <v>73810</v>
      </c>
      <c r="F4" s="30">
        <f t="shared" si="0"/>
        <v>-2546</v>
      </c>
      <c r="G4" s="24">
        <f t="shared" si="1"/>
        <v>-3.3343810571533345</v>
      </c>
      <c r="H4" s="92">
        <v>2342</v>
      </c>
      <c r="I4" s="92">
        <v>2220</v>
      </c>
      <c r="J4" s="48">
        <f t="shared" si="2"/>
        <v>-122</v>
      </c>
      <c r="K4" s="49">
        <f t="shared" si="3"/>
        <v>-5.2092228864218617</v>
      </c>
      <c r="L4" s="85"/>
      <c r="M4" s="85"/>
      <c r="N4" s="39">
        <v>74644</v>
      </c>
      <c r="O4" s="61"/>
      <c r="P4" s="93"/>
    </row>
    <row r="5" spans="1:16" x14ac:dyDescent="0.25">
      <c r="A5" t="s">
        <v>122</v>
      </c>
      <c r="B5" s="8">
        <f>B4+7</f>
        <v>45670</v>
      </c>
      <c r="C5" s="22">
        <f t="shared" si="4"/>
        <v>66747.78</v>
      </c>
      <c r="D5" s="62">
        <v>65439</v>
      </c>
      <c r="E5" s="39">
        <v>63909</v>
      </c>
      <c r="F5" s="30">
        <f t="shared" si="0"/>
        <v>-1530</v>
      </c>
      <c r="G5" s="24">
        <f t="shared" si="1"/>
        <v>-2.3380552881309309</v>
      </c>
      <c r="H5" s="92">
        <v>2024</v>
      </c>
      <c r="I5" s="92">
        <v>1989</v>
      </c>
      <c r="J5" s="48">
        <f t="shared" si="2"/>
        <v>-35</v>
      </c>
      <c r="K5" s="49">
        <f t="shared" si="3"/>
        <v>-1.7292490118577075</v>
      </c>
      <c r="L5" s="85"/>
      <c r="M5" s="85"/>
      <c r="N5" s="39">
        <v>64095</v>
      </c>
      <c r="O5" s="61"/>
      <c r="P5" s="93"/>
    </row>
    <row r="6" spans="1:16" x14ac:dyDescent="0.25">
      <c r="A6" t="s">
        <v>123</v>
      </c>
      <c r="B6" s="8">
        <f>B5+7</f>
        <v>45677</v>
      </c>
      <c r="C6" s="22">
        <f t="shared" si="4"/>
        <v>89609.04</v>
      </c>
      <c r="D6" s="62">
        <v>87852</v>
      </c>
      <c r="E6" s="39">
        <v>68264</v>
      </c>
      <c r="F6" s="30">
        <f t="shared" si="0"/>
        <v>-19588</v>
      </c>
      <c r="G6" s="24">
        <f t="shared" si="1"/>
        <v>-22.296589719072987</v>
      </c>
      <c r="H6" s="92">
        <v>3424</v>
      </c>
      <c r="I6" s="92">
        <v>2211</v>
      </c>
      <c r="J6" s="48">
        <f t="shared" si="2"/>
        <v>-1213</v>
      </c>
      <c r="K6" s="49">
        <f t="shared" si="3"/>
        <v>-35.42640186915888</v>
      </c>
      <c r="L6" s="85"/>
      <c r="M6" s="85"/>
      <c r="N6" s="39">
        <v>86059</v>
      </c>
      <c r="O6" s="61"/>
      <c r="P6" s="93"/>
    </row>
    <row r="7" spans="1:16" x14ac:dyDescent="0.25">
      <c r="A7" t="s">
        <v>124</v>
      </c>
      <c r="B7" s="8">
        <f t="shared" ref="B7:B55" si="5">B6+7</f>
        <v>45684</v>
      </c>
      <c r="C7" s="22">
        <f t="shared" si="4"/>
        <v>62012.94</v>
      </c>
      <c r="D7" s="62">
        <v>60797</v>
      </c>
      <c r="E7" s="39">
        <v>62715</v>
      </c>
      <c r="F7" s="22">
        <f t="shared" si="0"/>
        <v>1918</v>
      </c>
      <c r="G7" s="24">
        <f t="shared" si="1"/>
        <v>3.1547609257035707</v>
      </c>
      <c r="H7" s="92">
        <v>1899</v>
      </c>
      <c r="I7" s="92">
        <v>2012</v>
      </c>
      <c r="J7" s="48">
        <f t="shared" si="2"/>
        <v>113</v>
      </c>
      <c r="K7" s="49">
        <f t="shared" si="3"/>
        <v>5.9505002632964716</v>
      </c>
      <c r="L7" s="85"/>
      <c r="M7" s="85"/>
      <c r="N7" s="39">
        <v>59229</v>
      </c>
      <c r="O7" s="61"/>
      <c r="P7" s="93"/>
    </row>
    <row r="8" spans="1:16" x14ac:dyDescent="0.25">
      <c r="A8" t="s">
        <v>125</v>
      </c>
      <c r="B8" s="8">
        <f t="shared" si="5"/>
        <v>45691</v>
      </c>
      <c r="C8" s="22">
        <f t="shared" si="4"/>
        <v>73824.539999999994</v>
      </c>
      <c r="D8" s="62">
        <v>72377</v>
      </c>
      <c r="E8" s="39">
        <v>72124</v>
      </c>
      <c r="F8" s="22">
        <f t="shared" si="0"/>
        <v>-253</v>
      </c>
      <c r="G8" s="24">
        <f t="shared" si="1"/>
        <v>-0.34955856142144603</v>
      </c>
      <c r="H8" s="92">
        <v>2533</v>
      </c>
      <c r="I8" s="92">
        <v>2280</v>
      </c>
      <c r="J8" s="48">
        <f t="shared" si="2"/>
        <v>-253</v>
      </c>
      <c r="K8" s="49">
        <f t="shared" si="3"/>
        <v>-9.9881563363600474</v>
      </c>
      <c r="L8" s="85"/>
      <c r="M8" s="85"/>
      <c r="N8" s="39">
        <v>71421</v>
      </c>
      <c r="O8" s="61"/>
      <c r="P8" s="93"/>
    </row>
    <row r="9" spans="1:16" x14ac:dyDescent="0.25">
      <c r="A9" t="s">
        <v>126</v>
      </c>
      <c r="B9" s="8">
        <f t="shared" si="5"/>
        <v>45698</v>
      </c>
      <c r="C9" s="22">
        <f t="shared" si="4"/>
        <v>71019.539999999994</v>
      </c>
      <c r="D9" s="62">
        <v>69627</v>
      </c>
      <c r="E9" s="39">
        <v>59150</v>
      </c>
      <c r="F9" s="22">
        <f t="shared" si="0"/>
        <v>-10477</v>
      </c>
      <c r="G9" s="24">
        <f t="shared" si="1"/>
        <v>-15.047323595731541</v>
      </c>
      <c r="H9" s="92">
        <v>2261</v>
      </c>
      <c r="I9" s="92">
        <v>1814</v>
      </c>
      <c r="J9" s="48">
        <f t="shared" si="2"/>
        <v>-447</v>
      </c>
      <c r="K9" s="49">
        <f t="shared" si="3"/>
        <v>-19.770013268465281</v>
      </c>
      <c r="L9" s="85"/>
      <c r="M9" s="85"/>
      <c r="N9" s="39">
        <v>67754</v>
      </c>
      <c r="O9" s="61"/>
      <c r="P9" s="93"/>
    </row>
    <row r="10" spans="1:16" x14ac:dyDescent="0.25">
      <c r="A10" t="s">
        <v>127</v>
      </c>
      <c r="B10" s="8">
        <f t="shared" si="5"/>
        <v>45705</v>
      </c>
      <c r="C10" s="22">
        <f t="shared" si="4"/>
        <v>67041.539999999994</v>
      </c>
      <c r="D10" s="62">
        <v>65727</v>
      </c>
      <c r="E10" s="39">
        <v>63835</v>
      </c>
      <c r="F10" s="22">
        <f t="shared" si="0"/>
        <v>-1892</v>
      </c>
      <c r="G10" s="24">
        <f t="shared" si="1"/>
        <v>-2.8785734933893226</v>
      </c>
      <c r="H10" s="92">
        <v>2027</v>
      </c>
      <c r="I10" s="92">
        <v>2030</v>
      </c>
      <c r="J10" s="48">
        <f t="shared" si="2"/>
        <v>3</v>
      </c>
      <c r="K10" s="49">
        <f t="shared" si="3"/>
        <v>0.1480019733596448</v>
      </c>
      <c r="L10" s="85"/>
      <c r="M10" s="85"/>
      <c r="N10" s="39">
        <v>64901</v>
      </c>
      <c r="O10" s="61"/>
      <c r="P10" s="93"/>
    </row>
    <row r="11" spans="1:16" x14ac:dyDescent="0.25">
      <c r="A11" t="s">
        <v>128</v>
      </c>
      <c r="B11" s="8">
        <f t="shared" si="5"/>
        <v>45712</v>
      </c>
      <c r="C11" s="22">
        <f t="shared" si="4"/>
        <v>69133.56</v>
      </c>
      <c r="D11" s="62">
        <v>67778</v>
      </c>
      <c r="E11" s="39">
        <v>64744</v>
      </c>
      <c r="F11" s="22">
        <f t="shared" si="0"/>
        <v>-3034</v>
      </c>
      <c r="G11" s="24">
        <f t="shared" si="1"/>
        <v>-4.4763787659712593</v>
      </c>
      <c r="H11" s="92">
        <v>2152</v>
      </c>
      <c r="I11" s="92">
        <v>2040</v>
      </c>
      <c r="J11" s="48">
        <f t="shared" si="2"/>
        <v>-112</v>
      </c>
      <c r="K11" s="49">
        <f t="shared" si="3"/>
        <v>-5.2044609665427508</v>
      </c>
      <c r="L11" s="85"/>
      <c r="M11" s="85"/>
      <c r="N11" s="39">
        <v>66457</v>
      </c>
      <c r="O11" s="61"/>
      <c r="P11" s="93"/>
    </row>
    <row r="12" spans="1:16" x14ac:dyDescent="0.25">
      <c r="A12" t="s">
        <v>129</v>
      </c>
      <c r="B12" s="8">
        <f t="shared" si="5"/>
        <v>45719</v>
      </c>
      <c r="C12" s="22">
        <f t="shared" si="4"/>
        <v>78672.600000000006</v>
      </c>
      <c r="D12" s="62">
        <v>77130</v>
      </c>
      <c r="E12" s="39">
        <v>65302</v>
      </c>
      <c r="F12" s="22">
        <f t="shared" si="0"/>
        <v>-11828</v>
      </c>
      <c r="G12" s="24">
        <f t="shared" si="1"/>
        <v>-15.335148450667704</v>
      </c>
      <c r="H12" s="92">
        <v>2311</v>
      </c>
      <c r="I12" s="92">
        <v>2104</v>
      </c>
      <c r="J12" s="48">
        <f t="shared" si="2"/>
        <v>-207</v>
      </c>
      <c r="K12" s="49">
        <f t="shared" si="3"/>
        <v>-8.9571614019904811</v>
      </c>
      <c r="L12" s="85"/>
      <c r="M12" s="85"/>
      <c r="N12" s="39">
        <v>75732</v>
      </c>
      <c r="O12" s="61"/>
      <c r="P12" s="93"/>
    </row>
    <row r="13" spans="1:16" x14ac:dyDescent="0.25">
      <c r="A13" t="s">
        <v>130</v>
      </c>
      <c r="B13" s="8">
        <f t="shared" si="5"/>
        <v>45726</v>
      </c>
      <c r="C13" s="22">
        <f t="shared" si="4"/>
        <v>71157.240000000005</v>
      </c>
      <c r="D13" s="62">
        <v>69762</v>
      </c>
      <c r="E13" s="39">
        <v>70431</v>
      </c>
      <c r="F13" s="22">
        <f t="shared" si="0"/>
        <v>669</v>
      </c>
      <c r="G13" s="24">
        <f t="shared" si="1"/>
        <v>0.95897480003440272</v>
      </c>
      <c r="H13" s="92">
        <v>2230</v>
      </c>
      <c r="I13" s="92">
        <v>2381</v>
      </c>
      <c r="J13" s="48">
        <f t="shared" si="2"/>
        <v>151</v>
      </c>
      <c r="K13" s="49">
        <f t="shared" si="3"/>
        <v>6.7713004484304928</v>
      </c>
      <c r="L13" s="85"/>
      <c r="M13" s="85"/>
      <c r="N13" s="39">
        <v>68139</v>
      </c>
      <c r="O13" s="61"/>
      <c r="P13" s="93"/>
    </row>
    <row r="14" spans="1:16" x14ac:dyDescent="0.25">
      <c r="A14" t="s">
        <v>131</v>
      </c>
      <c r="B14" s="8">
        <f t="shared" si="5"/>
        <v>45733</v>
      </c>
      <c r="C14" s="22">
        <f t="shared" si="4"/>
        <v>65963.399999999994</v>
      </c>
      <c r="D14" s="62">
        <v>64670</v>
      </c>
      <c r="E14" s="39">
        <v>56881</v>
      </c>
      <c r="F14" s="22">
        <f t="shared" si="0"/>
        <v>-7789</v>
      </c>
      <c r="G14" s="24">
        <f t="shared" si="1"/>
        <v>-12.044224524509046</v>
      </c>
      <c r="H14" s="92">
        <v>2020</v>
      </c>
      <c r="I14" s="92">
        <v>1834</v>
      </c>
      <c r="J14" s="48">
        <f t="shared" si="2"/>
        <v>-186</v>
      </c>
      <c r="K14" s="49">
        <f>100*(I14-H14)/H14</f>
        <v>-9.2079207920792072</v>
      </c>
      <c r="L14" s="85"/>
      <c r="M14" s="85"/>
      <c r="N14" s="39">
        <v>63446</v>
      </c>
      <c r="O14" s="61"/>
      <c r="P14" s="93"/>
    </row>
    <row r="15" spans="1:16" x14ac:dyDescent="0.25">
      <c r="A15" t="s">
        <v>132</v>
      </c>
      <c r="B15" s="8">
        <f t="shared" si="5"/>
        <v>45740</v>
      </c>
      <c r="C15" s="22">
        <f t="shared" si="4"/>
        <v>69666</v>
      </c>
      <c r="D15" s="62">
        <v>68300</v>
      </c>
      <c r="E15" s="39">
        <v>66283</v>
      </c>
      <c r="F15" s="22">
        <f t="shared" si="0"/>
        <v>-2017</v>
      </c>
      <c r="G15" s="24">
        <f t="shared" si="1"/>
        <v>-2.9531478770131772</v>
      </c>
      <c r="H15" s="92">
        <v>2144</v>
      </c>
      <c r="I15" s="92">
        <v>2164</v>
      </c>
      <c r="J15" s="48">
        <f t="shared" si="2"/>
        <v>20</v>
      </c>
      <c r="K15" s="49">
        <f t="shared" si="3"/>
        <v>0.93283582089552242</v>
      </c>
      <c r="L15" s="85"/>
      <c r="M15" s="85"/>
      <c r="N15" s="39">
        <v>67105</v>
      </c>
      <c r="O15" s="61"/>
      <c r="P15" s="93"/>
    </row>
    <row r="16" spans="1:16" x14ac:dyDescent="0.25">
      <c r="A16" t="s">
        <v>133</v>
      </c>
      <c r="B16" s="8">
        <f t="shared" si="5"/>
        <v>45747</v>
      </c>
      <c r="C16" s="22">
        <f t="shared" si="4"/>
        <v>71383.679999999993</v>
      </c>
      <c r="D16" s="62">
        <v>69984</v>
      </c>
      <c r="E16" s="39">
        <v>61550</v>
      </c>
      <c r="F16" s="22">
        <f t="shared" si="0"/>
        <v>-8434</v>
      </c>
      <c r="G16" s="24">
        <f t="shared" si="1"/>
        <v>-12.0513260173754</v>
      </c>
      <c r="H16" s="92">
        <v>2143</v>
      </c>
      <c r="I16" s="92">
        <v>1971</v>
      </c>
      <c r="J16" s="48">
        <f t="shared" si="2"/>
        <v>-172</v>
      </c>
      <c r="K16" s="49">
        <f t="shared" si="3"/>
        <v>-8.0261315912272515</v>
      </c>
      <c r="L16" s="85"/>
      <c r="M16" s="85"/>
      <c r="N16" s="39">
        <v>68933</v>
      </c>
      <c r="O16" s="61"/>
      <c r="P16" s="93"/>
    </row>
    <row r="17" spans="1:16" x14ac:dyDescent="0.25">
      <c r="A17" t="s">
        <v>134</v>
      </c>
      <c r="B17" s="8">
        <f t="shared" si="5"/>
        <v>45754</v>
      </c>
      <c r="C17" s="22">
        <f t="shared" si="4"/>
        <v>74485.5</v>
      </c>
      <c r="D17" s="62">
        <v>73025</v>
      </c>
      <c r="E17" s="39">
        <v>68578</v>
      </c>
      <c r="F17" s="22">
        <f t="shared" si="0"/>
        <v>-4447</v>
      </c>
      <c r="G17" s="24">
        <f t="shared" si="1"/>
        <v>-6.0896953098254025</v>
      </c>
      <c r="H17" s="92">
        <v>2258</v>
      </c>
      <c r="I17" s="92">
        <v>2152</v>
      </c>
      <c r="J17" s="48">
        <f t="shared" si="2"/>
        <v>-106</v>
      </c>
      <c r="K17" s="49">
        <f t="shared" si="3"/>
        <v>-4.6944198405668738</v>
      </c>
      <c r="L17" s="85"/>
      <c r="M17" s="85"/>
      <c r="N17" s="39">
        <v>71786</v>
      </c>
      <c r="O17" s="61"/>
      <c r="P17" s="93"/>
    </row>
    <row r="18" spans="1:16" x14ac:dyDescent="0.25">
      <c r="A18" t="s">
        <v>135</v>
      </c>
      <c r="B18" s="8">
        <f t="shared" si="5"/>
        <v>45761</v>
      </c>
      <c r="C18" s="22">
        <f t="shared" si="4"/>
        <v>57858.48</v>
      </c>
      <c r="D18" s="62">
        <v>56724</v>
      </c>
      <c r="E18" s="39">
        <v>53328</v>
      </c>
      <c r="F18" s="22">
        <f t="shared" si="0"/>
        <v>-3396</v>
      </c>
      <c r="G18" s="24">
        <f t="shared" si="1"/>
        <v>-5.9868838586841546</v>
      </c>
      <c r="H18" s="92">
        <v>1750</v>
      </c>
      <c r="I18" s="92">
        <v>1647</v>
      </c>
      <c r="J18" s="48">
        <f t="shared" si="2"/>
        <v>-103</v>
      </c>
      <c r="K18" s="49">
        <f t="shared" si="3"/>
        <v>-5.8857142857142861</v>
      </c>
      <c r="L18" s="85"/>
      <c r="M18" s="85"/>
      <c r="N18" s="39">
        <v>55641</v>
      </c>
      <c r="O18" s="61"/>
      <c r="P18" s="93"/>
    </row>
    <row r="19" spans="1:16" x14ac:dyDescent="0.25">
      <c r="A19" t="s">
        <v>136</v>
      </c>
      <c r="B19" s="8">
        <f t="shared" si="5"/>
        <v>45768</v>
      </c>
      <c r="C19" s="22">
        <f t="shared" si="4"/>
        <v>66672.3</v>
      </c>
      <c r="D19" s="62">
        <v>65365</v>
      </c>
      <c r="E19" s="39">
        <v>57974</v>
      </c>
      <c r="F19" s="22">
        <f t="shared" si="0"/>
        <v>-7391</v>
      </c>
      <c r="G19" s="24">
        <f t="shared" si="1"/>
        <v>-11.307274535301767</v>
      </c>
      <c r="H19" s="92">
        <v>2053</v>
      </c>
      <c r="I19" s="92">
        <v>1907</v>
      </c>
      <c r="J19" s="48">
        <f t="shared" si="2"/>
        <v>-146</v>
      </c>
      <c r="K19" s="49">
        <f t="shared" si="3"/>
        <v>-7.1115440818314664</v>
      </c>
      <c r="L19" s="85"/>
      <c r="M19" s="85"/>
      <c r="N19" s="39">
        <v>63757</v>
      </c>
      <c r="O19" s="61"/>
      <c r="P19" s="93"/>
    </row>
    <row r="20" spans="1:16" x14ac:dyDescent="0.25">
      <c r="A20" t="s">
        <v>137</v>
      </c>
      <c r="B20" s="8">
        <f t="shared" si="5"/>
        <v>45775</v>
      </c>
      <c r="C20" s="22">
        <f t="shared" si="4"/>
        <v>69829.2</v>
      </c>
      <c r="D20" s="62">
        <v>68460</v>
      </c>
      <c r="E20" s="39">
        <v>60619</v>
      </c>
      <c r="F20" s="22">
        <f t="shared" si="0"/>
        <v>-7841</v>
      </c>
      <c r="G20" s="24">
        <f t="shared" si="1"/>
        <v>-11.453403447268478</v>
      </c>
      <c r="H20" s="92">
        <v>2201</v>
      </c>
      <c r="I20" s="92">
        <v>1873</v>
      </c>
      <c r="J20" s="48">
        <f t="shared" si="2"/>
        <v>-328</v>
      </c>
      <c r="K20" s="49">
        <f t="shared" si="3"/>
        <v>-14.90231712857792</v>
      </c>
      <c r="L20" s="85"/>
      <c r="M20" s="85"/>
      <c r="N20" s="39">
        <v>67214</v>
      </c>
      <c r="O20" s="61"/>
      <c r="P20" s="93"/>
    </row>
    <row r="21" spans="1:16" x14ac:dyDescent="0.25">
      <c r="A21" t="s">
        <v>138</v>
      </c>
      <c r="B21" s="8">
        <f t="shared" si="5"/>
        <v>45782</v>
      </c>
      <c r="C21" s="22">
        <f t="shared" si="4"/>
        <v>69229.440000000002</v>
      </c>
      <c r="D21" s="62">
        <v>67872</v>
      </c>
      <c r="E21" s="39">
        <v>62927</v>
      </c>
      <c r="F21" s="22">
        <f t="shared" si="0"/>
        <v>-4945</v>
      </c>
      <c r="G21" s="24">
        <f t="shared" si="1"/>
        <v>-7.285773220179161</v>
      </c>
      <c r="H21" s="92">
        <v>2068</v>
      </c>
      <c r="I21" s="92">
        <v>1982</v>
      </c>
      <c r="J21" s="48">
        <f t="shared" si="2"/>
        <v>-86</v>
      </c>
      <c r="K21" s="49">
        <f t="shared" si="3"/>
        <v>-4.1586073500967116</v>
      </c>
      <c r="L21" s="85"/>
      <c r="M21" s="85"/>
      <c r="N21" s="39">
        <v>66944</v>
      </c>
      <c r="O21" s="61"/>
      <c r="P21" s="93"/>
    </row>
    <row r="22" spans="1:16" x14ac:dyDescent="0.25">
      <c r="A22" t="s">
        <v>139</v>
      </c>
      <c r="B22" s="8">
        <f t="shared" si="5"/>
        <v>45789</v>
      </c>
      <c r="C22" s="22">
        <f t="shared" si="4"/>
        <v>56500.86</v>
      </c>
      <c r="D22" s="62">
        <v>55393</v>
      </c>
      <c r="E22" s="39">
        <v>60497</v>
      </c>
      <c r="F22" s="22">
        <f t="shared" si="0"/>
        <v>5104</v>
      </c>
      <c r="G22" s="24">
        <f t="shared" si="1"/>
        <v>9.2141606340151281</v>
      </c>
      <c r="H22" s="92">
        <v>1652</v>
      </c>
      <c r="I22" s="92">
        <v>2022</v>
      </c>
      <c r="J22" s="48">
        <f t="shared" si="2"/>
        <v>370</v>
      </c>
      <c r="K22" s="49">
        <f t="shared" si="3"/>
        <v>22.397094430992738</v>
      </c>
      <c r="L22" s="85"/>
      <c r="M22" s="85"/>
      <c r="N22" s="39">
        <v>53865</v>
      </c>
      <c r="O22" s="61"/>
      <c r="P22" s="93"/>
    </row>
    <row r="23" spans="1:16" x14ac:dyDescent="0.25">
      <c r="A23" t="s">
        <v>140</v>
      </c>
      <c r="B23" s="8">
        <f t="shared" si="5"/>
        <v>45796</v>
      </c>
      <c r="C23" s="22">
        <f t="shared" si="4"/>
        <v>78494.100000000006</v>
      </c>
      <c r="D23" s="62">
        <v>76955</v>
      </c>
      <c r="E23" s="39">
        <v>60427</v>
      </c>
      <c r="F23" s="22">
        <f t="shared" si="0"/>
        <v>-16528</v>
      </c>
      <c r="G23" s="24">
        <f t="shared" si="1"/>
        <v>-21.477486842960172</v>
      </c>
      <c r="H23" s="92">
        <v>2348</v>
      </c>
      <c r="I23" s="92">
        <v>1944</v>
      </c>
      <c r="J23" s="48">
        <f t="shared" si="2"/>
        <v>-404</v>
      </c>
      <c r="K23" s="49">
        <f t="shared" si="3"/>
        <v>-17.206132879045995</v>
      </c>
      <c r="L23" s="85"/>
      <c r="M23" s="85"/>
      <c r="N23" s="39">
        <v>75257</v>
      </c>
      <c r="O23" s="61"/>
      <c r="P23" s="93"/>
    </row>
    <row r="24" spans="1:16" x14ac:dyDescent="0.25">
      <c r="A24" t="s">
        <v>141</v>
      </c>
      <c r="B24" s="8">
        <f t="shared" si="5"/>
        <v>45803</v>
      </c>
      <c r="C24" s="22">
        <f t="shared" si="4"/>
        <v>49349.64</v>
      </c>
      <c r="D24" s="62">
        <v>48382</v>
      </c>
      <c r="E24" s="39">
        <v>52878</v>
      </c>
      <c r="F24" s="22">
        <f t="shared" si="0"/>
        <v>4496</v>
      </c>
      <c r="G24" s="24">
        <f t="shared" si="1"/>
        <v>9.2927121656814524</v>
      </c>
      <c r="H24" s="92">
        <v>1612</v>
      </c>
      <c r="I24" s="92">
        <v>1711</v>
      </c>
      <c r="J24" s="48">
        <f t="shared" si="2"/>
        <v>99</v>
      </c>
      <c r="K24" s="49">
        <f t="shared" si="3"/>
        <v>6.1414392059553347</v>
      </c>
      <c r="L24" s="85"/>
      <c r="M24" s="85"/>
      <c r="N24" s="39">
        <v>47378</v>
      </c>
      <c r="O24" s="61"/>
      <c r="P24" s="93"/>
    </row>
    <row r="25" spans="1:16" x14ac:dyDescent="0.25">
      <c r="A25" t="s">
        <v>142</v>
      </c>
      <c r="B25" s="8">
        <f t="shared" si="5"/>
        <v>45810</v>
      </c>
      <c r="C25" s="22">
        <f t="shared" si="4"/>
        <v>77631.179999999993</v>
      </c>
      <c r="D25" s="62">
        <v>76109</v>
      </c>
      <c r="E25" s="39">
        <v>65691</v>
      </c>
      <c r="F25" s="22">
        <f t="shared" si="0"/>
        <v>-10418</v>
      </c>
      <c r="G25" s="24">
        <f t="shared" si="1"/>
        <v>-13.688262886123848</v>
      </c>
      <c r="H25" s="92">
        <v>2396</v>
      </c>
      <c r="I25" s="92">
        <v>2076</v>
      </c>
      <c r="J25" s="48">
        <f t="shared" si="2"/>
        <v>-320</v>
      </c>
      <c r="K25" s="49">
        <f t="shared" si="3"/>
        <v>-13.35559265442404</v>
      </c>
      <c r="L25" s="85"/>
      <c r="M25" s="85"/>
      <c r="N25" s="39">
        <v>75108</v>
      </c>
      <c r="O25" s="61"/>
      <c r="P25" s="93"/>
    </row>
    <row r="26" spans="1:16" x14ac:dyDescent="0.25">
      <c r="A26" t="s">
        <v>143</v>
      </c>
      <c r="B26" s="8">
        <f t="shared" si="5"/>
        <v>45817</v>
      </c>
      <c r="C26" s="22">
        <f t="shared" si="4"/>
        <v>64636.38</v>
      </c>
      <c r="D26" s="62">
        <v>63369</v>
      </c>
      <c r="E26" s="39">
        <v>62119</v>
      </c>
      <c r="F26" s="22">
        <f t="shared" si="0"/>
        <v>-1250</v>
      </c>
      <c r="G26" s="24">
        <f t="shared" si="1"/>
        <v>-1.9725733402767915</v>
      </c>
      <c r="H26" s="92">
        <v>1989</v>
      </c>
      <c r="I26" s="92">
        <v>1891</v>
      </c>
      <c r="J26" s="48">
        <f t="shared" si="2"/>
        <v>-98</v>
      </c>
      <c r="K26" s="49">
        <f t="shared" si="3"/>
        <v>-4.9270990447461038</v>
      </c>
      <c r="L26" s="85"/>
      <c r="M26" s="85"/>
      <c r="N26" s="39">
        <v>62120</v>
      </c>
      <c r="O26" s="61"/>
      <c r="P26" s="93"/>
    </row>
    <row r="27" spans="1:16" x14ac:dyDescent="0.25">
      <c r="A27" t="s">
        <v>144</v>
      </c>
      <c r="B27" s="8">
        <f t="shared" si="5"/>
        <v>45824</v>
      </c>
      <c r="C27" s="22">
        <f t="shared" si="4"/>
        <v>64921.98</v>
      </c>
      <c r="D27" s="62">
        <v>63649</v>
      </c>
      <c r="E27" s="39">
        <v>65311</v>
      </c>
      <c r="F27" s="22">
        <f t="shared" si="0"/>
        <v>1662</v>
      </c>
      <c r="G27" s="24">
        <f t="shared" si="1"/>
        <v>2.6111957768385992</v>
      </c>
      <c r="H27" s="92">
        <v>2030</v>
      </c>
      <c r="I27" s="92">
        <v>1987</v>
      </c>
      <c r="J27" s="48">
        <f t="shared" si="2"/>
        <v>-43</v>
      </c>
      <c r="K27" s="49">
        <f t="shared" si="3"/>
        <v>-2.1182266009852215</v>
      </c>
      <c r="L27" s="85"/>
      <c r="M27" s="85"/>
      <c r="N27" s="39">
        <v>62017</v>
      </c>
      <c r="O27" s="61"/>
      <c r="P27" s="93"/>
    </row>
    <row r="28" spans="1:16" x14ac:dyDescent="0.25">
      <c r="A28" t="s">
        <v>145</v>
      </c>
      <c r="B28" s="8">
        <f t="shared" si="5"/>
        <v>45831</v>
      </c>
      <c r="C28" s="22">
        <f t="shared" si="4"/>
        <v>66250.02</v>
      </c>
      <c r="D28" s="62">
        <v>64951</v>
      </c>
      <c r="E28" s="39">
        <v>68476</v>
      </c>
      <c r="F28" s="22">
        <f t="shared" si="0"/>
        <v>3525</v>
      </c>
      <c r="G28" s="24">
        <f t="shared" si="1"/>
        <v>5.4271681729303625</v>
      </c>
      <c r="H28" s="92">
        <v>2260</v>
      </c>
      <c r="I28" s="92">
        <v>2217</v>
      </c>
      <c r="J28" s="48">
        <f t="shared" si="2"/>
        <v>-43</v>
      </c>
      <c r="K28" s="49">
        <f t="shared" si="3"/>
        <v>-1.9026548672566372</v>
      </c>
      <c r="L28" s="85"/>
      <c r="M28" s="85"/>
      <c r="N28" s="39">
        <v>63638</v>
      </c>
      <c r="O28" s="61"/>
      <c r="P28" s="93"/>
    </row>
    <row r="29" spans="1:16" x14ac:dyDescent="0.25">
      <c r="A29" t="s">
        <v>146</v>
      </c>
      <c r="B29" s="8">
        <f t="shared" si="5"/>
        <v>45838</v>
      </c>
      <c r="C29" s="22">
        <f t="shared" si="4"/>
        <v>69541.56</v>
      </c>
      <c r="D29" s="62">
        <v>68178</v>
      </c>
      <c r="E29" s="39">
        <v>62534</v>
      </c>
      <c r="F29" s="22">
        <f t="shared" si="0"/>
        <v>-5644</v>
      </c>
      <c r="G29" s="24">
        <f t="shared" si="1"/>
        <v>-8.2783302531608438</v>
      </c>
      <c r="H29" s="92">
        <v>2171</v>
      </c>
      <c r="I29" s="92">
        <v>1904</v>
      </c>
      <c r="J29" s="48">
        <f t="shared" si="2"/>
        <v>-267</v>
      </c>
      <c r="K29" s="49">
        <f t="shared" si="3"/>
        <v>-12.298479963150621</v>
      </c>
      <c r="L29" s="85"/>
      <c r="M29" s="85"/>
      <c r="N29" s="39">
        <v>66858</v>
      </c>
      <c r="O29" s="61"/>
      <c r="P29" s="93"/>
    </row>
    <row r="30" spans="1:16" x14ac:dyDescent="0.25">
      <c r="A30" t="s">
        <v>147</v>
      </c>
      <c r="B30" s="8">
        <f t="shared" si="5"/>
        <v>45845</v>
      </c>
      <c r="C30" s="22">
        <f t="shared" si="4"/>
        <v>61865.04</v>
      </c>
      <c r="D30" s="62">
        <v>60652</v>
      </c>
      <c r="E30" s="39">
        <v>62063</v>
      </c>
      <c r="F30" s="61">
        <f t="shared" si="0"/>
        <v>1411</v>
      </c>
      <c r="G30" s="24">
        <f t="shared" si="1"/>
        <v>2.3263865989579897</v>
      </c>
      <c r="H30" s="92">
        <v>1848</v>
      </c>
      <c r="I30" s="92">
        <v>1933</v>
      </c>
      <c r="J30" s="48">
        <f t="shared" si="2"/>
        <v>85</v>
      </c>
      <c r="K30" s="49">
        <f t="shared" si="3"/>
        <v>4.5995670995670999</v>
      </c>
      <c r="N30" s="39">
        <v>59214</v>
      </c>
      <c r="O30" s="61"/>
      <c r="P30" s="93"/>
    </row>
    <row r="31" spans="1:16" x14ac:dyDescent="0.25">
      <c r="A31" t="s">
        <v>148</v>
      </c>
      <c r="B31" s="8">
        <f t="shared" si="5"/>
        <v>45852</v>
      </c>
      <c r="C31" s="22">
        <f t="shared" si="4"/>
        <v>72237.42</v>
      </c>
      <c r="D31" s="62">
        <v>70821</v>
      </c>
      <c r="E31" s="39">
        <v>59192</v>
      </c>
      <c r="F31" s="61">
        <f t="shared" si="0"/>
        <v>-11629</v>
      </c>
      <c r="G31" s="24">
        <f t="shared" si="1"/>
        <v>-16.42027082362576</v>
      </c>
      <c r="H31" s="92">
        <v>2215</v>
      </c>
      <c r="I31" s="92">
        <v>1956</v>
      </c>
      <c r="J31" s="48">
        <f t="shared" si="2"/>
        <v>-259</v>
      </c>
      <c r="K31" s="49">
        <f t="shared" si="3"/>
        <v>-11.693002257336342</v>
      </c>
      <c r="N31" s="39">
        <v>69243</v>
      </c>
      <c r="O31" s="61"/>
      <c r="P31" s="93"/>
    </row>
    <row r="32" spans="1:16" x14ac:dyDescent="0.25">
      <c r="A32" t="s">
        <v>149</v>
      </c>
      <c r="B32" s="8">
        <f t="shared" si="5"/>
        <v>45859</v>
      </c>
      <c r="C32" s="22">
        <f t="shared" si="4"/>
        <v>65035.199999999997</v>
      </c>
      <c r="D32" s="62">
        <v>63760</v>
      </c>
      <c r="E32" s="39">
        <v>80426</v>
      </c>
      <c r="F32" s="61">
        <f t="shared" si="0"/>
        <v>16666</v>
      </c>
      <c r="G32" s="24">
        <f t="shared" si="1"/>
        <v>26.138644918444164</v>
      </c>
      <c r="H32" s="92">
        <v>2010</v>
      </c>
      <c r="I32" s="92">
        <v>3027</v>
      </c>
      <c r="J32" s="48">
        <f t="shared" si="2"/>
        <v>1017</v>
      </c>
      <c r="K32" s="49">
        <f t="shared" si="3"/>
        <v>50.597014925373138</v>
      </c>
      <c r="N32" s="39">
        <v>62355</v>
      </c>
      <c r="O32" s="61"/>
      <c r="P32" s="93"/>
    </row>
    <row r="33" spans="1:16" x14ac:dyDescent="0.25">
      <c r="A33" t="s">
        <v>150</v>
      </c>
      <c r="B33" s="8">
        <f t="shared" si="5"/>
        <v>45866</v>
      </c>
      <c r="C33" s="22">
        <f t="shared" si="4"/>
        <v>55569.599999999999</v>
      </c>
      <c r="D33" s="62">
        <v>54480</v>
      </c>
      <c r="E33" s="39">
        <v>53378</v>
      </c>
      <c r="F33" s="61">
        <f t="shared" si="0"/>
        <v>-1102</v>
      </c>
      <c r="G33" s="24">
        <f t="shared" si="1"/>
        <v>-2.0227606461086638</v>
      </c>
      <c r="H33" s="92">
        <v>1768</v>
      </c>
      <c r="I33" s="92">
        <v>1652</v>
      </c>
      <c r="J33" s="48">
        <f t="shared" si="2"/>
        <v>-116</v>
      </c>
      <c r="K33" s="49">
        <f t="shared" si="3"/>
        <v>-6.5610859728506785</v>
      </c>
      <c r="N33" s="39">
        <v>53296</v>
      </c>
      <c r="O33" s="61"/>
      <c r="P33" s="93"/>
    </row>
    <row r="34" spans="1:16" x14ac:dyDescent="0.25">
      <c r="A34" t="s">
        <v>151</v>
      </c>
      <c r="B34" s="8">
        <f t="shared" si="5"/>
        <v>45873</v>
      </c>
      <c r="C34" s="22">
        <f t="shared" si="4"/>
        <v>87467.04</v>
      </c>
      <c r="D34" s="62">
        <v>85752</v>
      </c>
      <c r="E34" s="39">
        <v>74632</v>
      </c>
      <c r="F34" s="61">
        <f t="shared" si="0"/>
        <v>-11120</v>
      </c>
      <c r="G34" s="24">
        <f t="shared" si="1"/>
        <v>-12.967627577199366</v>
      </c>
      <c r="H34" s="92">
        <v>2648</v>
      </c>
      <c r="I34" s="92">
        <v>2314</v>
      </c>
      <c r="J34" s="48">
        <f t="shared" si="2"/>
        <v>-334</v>
      </c>
      <c r="K34" s="49">
        <f t="shared" si="3"/>
        <v>-12.613293051359516</v>
      </c>
      <c r="N34" s="39">
        <v>85183</v>
      </c>
      <c r="O34" s="61"/>
      <c r="P34" s="93"/>
    </row>
    <row r="35" spans="1:16" x14ac:dyDescent="0.25">
      <c r="A35" t="s">
        <v>152</v>
      </c>
      <c r="B35" s="8">
        <f t="shared" si="5"/>
        <v>45880</v>
      </c>
      <c r="C35" s="22">
        <f t="shared" si="4"/>
        <v>63291</v>
      </c>
      <c r="D35" s="62">
        <v>62050</v>
      </c>
      <c r="E35" s="39">
        <v>53990</v>
      </c>
      <c r="F35" s="61">
        <f t="shared" si="0"/>
        <v>-8060</v>
      </c>
      <c r="G35" s="24">
        <f t="shared" ref="G35:G55" si="6">100*(E35-D35)/D35</f>
        <v>-12.98952457695407</v>
      </c>
      <c r="H35" s="92">
        <v>1938</v>
      </c>
      <c r="I35" s="92">
        <v>1596</v>
      </c>
      <c r="J35" s="48">
        <f t="shared" si="2"/>
        <v>-342</v>
      </c>
      <c r="K35" s="49">
        <f t="shared" si="3"/>
        <v>-17.647058823529413</v>
      </c>
      <c r="N35" s="39">
        <v>60955</v>
      </c>
      <c r="O35" s="61"/>
      <c r="P35" s="93"/>
    </row>
    <row r="36" spans="1:16" x14ac:dyDescent="0.25">
      <c r="A36" t="s">
        <v>153</v>
      </c>
      <c r="B36" s="8">
        <f t="shared" si="5"/>
        <v>45887</v>
      </c>
      <c r="C36" s="22">
        <f t="shared" si="4"/>
        <v>73372.679999999993</v>
      </c>
      <c r="D36" s="62">
        <v>71934</v>
      </c>
      <c r="E36" s="39">
        <v>61503</v>
      </c>
      <c r="F36" s="61">
        <f t="shared" si="0"/>
        <v>-10431</v>
      </c>
      <c r="G36" s="24">
        <f t="shared" si="6"/>
        <v>-14.500792393026941</v>
      </c>
      <c r="H36" s="92">
        <v>2251</v>
      </c>
      <c r="I36" s="92">
        <v>1841</v>
      </c>
      <c r="J36" s="48">
        <f t="shared" si="2"/>
        <v>-410</v>
      </c>
      <c r="K36" s="49">
        <f t="shared" si="3"/>
        <v>-18.214127054642383</v>
      </c>
      <c r="N36" s="39">
        <v>70744</v>
      </c>
      <c r="O36" s="61"/>
      <c r="P36" s="93"/>
    </row>
    <row r="37" spans="1:16" x14ac:dyDescent="0.25">
      <c r="A37" t="s">
        <v>154</v>
      </c>
      <c r="B37" s="8">
        <f t="shared" si="5"/>
        <v>45894</v>
      </c>
      <c r="C37" s="22">
        <f t="shared" si="4"/>
        <v>65968.5</v>
      </c>
      <c r="D37" s="62">
        <v>64675</v>
      </c>
      <c r="E37" s="39">
        <v>54432</v>
      </c>
      <c r="F37" s="61">
        <f t="shared" si="0"/>
        <v>-10243</v>
      </c>
      <c r="G37" s="24">
        <f t="shared" si="6"/>
        <v>-15.837649787398531</v>
      </c>
      <c r="H37" s="92">
        <v>2234</v>
      </c>
      <c r="I37" s="44">
        <v>1662</v>
      </c>
      <c r="J37" s="48">
        <f t="shared" si="2"/>
        <v>-572</v>
      </c>
      <c r="K37" s="49">
        <f t="shared" si="3"/>
        <v>-25.604297224709043</v>
      </c>
      <c r="N37" s="39">
        <v>62908</v>
      </c>
      <c r="O37" s="61"/>
      <c r="P37" s="93"/>
    </row>
    <row r="38" spans="1:16" x14ac:dyDescent="0.25">
      <c r="A38" t="s">
        <v>155</v>
      </c>
      <c r="B38" s="8">
        <f t="shared" si="5"/>
        <v>45901</v>
      </c>
      <c r="C38" s="22">
        <f t="shared" si="4"/>
        <v>65549.279999999999</v>
      </c>
      <c r="D38" s="62">
        <v>64264</v>
      </c>
      <c r="E38" s="39">
        <v>61087</v>
      </c>
      <c r="F38" s="61">
        <f t="shared" si="0"/>
        <v>-3177</v>
      </c>
      <c r="G38" s="24">
        <f t="shared" si="6"/>
        <v>-4.9436698618199921</v>
      </c>
      <c r="H38" s="92">
        <v>2011</v>
      </c>
      <c r="I38" s="44">
        <v>1846</v>
      </c>
      <c r="J38" s="48">
        <f t="shared" si="2"/>
        <v>-165</v>
      </c>
      <c r="K38" s="49">
        <f t="shared" si="3"/>
        <v>-8.2048731974142211</v>
      </c>
      <c r="N38" s="39">
        <v>63485</v>
      </c>
      <c r="O38" s="61"/>
      <c r="P38" s="93"/>
    </row>
    <row r="39" spans="1:16" x14ac:dyDescent="0.25">
      <c r="A39" t="s">
        <v>156</v>
      </c>
      <c r="B39" s="8">
        <f t="shared" si="5"/>
        <v>45908</v>
      </c>
      <c r="C39" s="22">
        <f t="shared" si="4"/>
        <v>72071.16</v>
      </c>
      <c r="D39" s="62">
        <v>70658</v>
      </c>
      <c r="E39" s="39">
        <v>73915</v>
      </c>
      <c r="F39" s="61">
        <f t="shared" si="0"/>
        <v>3257</v>
      </c>
      <c r="G39" s="24">
        <f t="shared" si="6"/>
        <v>4.6095275835715697</v>
      </c>
      <c r="H39" s="92">
        <v>2272</v>
      </c>
      <c r="I39" s="44">
        <v>2307</v>
      </c>
      <c r="J39" s="48">
        <f t="shared" si="2"/>
        <v>35</v>
      </c>
      <c r="K39" s="49">
        <f t="shared" si="3"/>
        <v>1.5404929577464788</v>
      </c>
      <c r="N39" s="39">
        <v>69528</v>
      </c>
      <c r="O39" s="61"/>
      <c r="P39" s="93"/>
    </row>
    <row r="40" spans="1:16" x14ac:dyDescent="0.25">
      <c r="A40" t="s">
        <v>157</v>
      </c>
      <c r="B40" s="8">
        <f t="shared" si="5"/>
        <v>45915</v>
      </c>
      <c r="C40" s="22">
        <f t="shared" si="4"/>
        <v>64353.84</v>
      </c>
      <c r="D40" s="62">
        <v>63092</v>
      </c>
      <c r="E40" s="39">
        <v>50254</v>
      </c>
      <c r="F40" s="61">
        <f t="shared" si="0"/>
        <v>-12838</v>
      </c>
      <c r="G40" s="24">
        <f t="shared" si="6"/>
        <v>-20.348063145882204</v>
      </c>
      <c r="H40" s="92">
        <v>1940</v>
      </c>
      <c r="I40" s="44">
        <v>1507</v>
      </c>
      <c r="J40" s="48">
        <f t="shared" si="2"/>
        <v>-433</v>
      </c>
      <c r="K40" s="49">
        <f t="shared" si="3"/>
        <v>-22.319587628865978</v>
      </c>
      <c r="N40" s="39">
        <v>61320</v>
      </c>
      <c r="O40" s="61"/>
      <c r="P40" s="93"/>
    </row>
    <row r="41" spans="1:16" x14ac:dyDescent="0.25">
      <c r="A41" t="s">
        <v>158</v>
      </c>
      <c r="B41" s="8">
        <f t="shared" si="5"/>
        <v>45922</v>
      </c>
      <c r="C41" s="22">
        <f t="shared" si="4"/>
        <v>54553.68</v>
      </c>
      <c r="D41" s="62">
        <v>53484</v>
      </c>
      <c r="E41" s="39">
        <v>66813</v>
      </c>
      <c r="F41" s="61">
        <f t="shared" si="0"/>
        <v>13329</v>
      </c>
      <c r="G41" s="24">
        <f t="shared" si="6"/>
        <v>24.92147184204622</v>
      </c>
      <c r="H41" s="92">
        <v>1714</v>
      </c>
      <c r="I41" s="44">
        <v>2222</v>
      </c>
      <c r="J41" s="48">
        <f t="shared" si="2"/>
        <v>508</v>
      </c>
      <c r="K41" s="49">
        <f t="shared" si="3"/>
        <v>29.638273045507585</v>
      </c>
      <c r="N41" s="39">
        <v>52459</v>
      </c>
      <c r="O41" s="61"/>
      <c r="P41" s="93"/>
    </row>
    <row r="42" spans="1:16" x14ac:dyDescent="0.25">
      <c r="A42" t="s">
        <v>159</v>
      </c>
      <c r="B42" s="8">
        <f t="shared" si="5"/>
        <v>45929</v>
      </c>
      <c r="C42" s="22">
        <f t="shared" si="4"/>
        <v>95872.86</v>
      </c>
      <c r="D42" s="62">
        <v>93993</v>
      </c>
      <c r="E42" s="39">
        <v>61789</v>
      </c>
      <c r="F42" s="61">
        <f t="shared" si="0"/>
        <v>-32204</v>
      </c>
      <c r="G42" s="24">
        <f t="shared" si="6"/>
        <v>-34.262125902992778</v>
      </c>
      <c r="H42" s="92">
        <v>2915</v>
      </c>
      <c r="I42" s="44">
        <v>1837</v>
      </c>
      <c r="J42" s="48">
        <f t="shared" si="2"/>
        <v>-1078</v>
      </c>
      <c r="K42" s="49">
        <f t="shared" si="3"/>
        <v>-36.981132075471699</v>
      </c>
      <c r="N42" s="39">
        <v>93318</v>
      </c>
      <c r="O42" s="61"/>
      <c r="P42" s="93"/>
    </row>
    <row r="43" spans="1:16" x14ac:dyDescent="0.25">
      <c r="A43" t="s">
        <v>160</v>
      </c>
      <c r="B43" s="8">
        <f t="shared" si="5"/>
        <v>45936</v>
      </c>
      <c r="C43" s="22">
        <f t="shared" si="4"/>
        <v>60960.3</v>
      </c>
      <c r="D43" s="62">
        <v>59765</v>
      </c>
      <c r="E43" s="39">
        <v>72840</v>
      </c>
      <c r="F43" s="96">
        <f t="shared" ref="F43:F55" si="7">E43-D43</f>
        <v>13075</v>
      </c>
      <c r="G43" s="24">
        <f t="shared" si="6"/>
        <v>21.877352965782649</v>
      </c>
      <c r="H43" s="92">
        <v>1862</v>
      </c>
      <c r="I43" s="44">
        <v>2099</v>
      </c>
      <c r="J43" s="48">
        <f t="shared" si="2"/>
        <v>237</v>
      </c>
      <c r="K43" s="49">
        <f t="shared" si="3"/>
        <v>12.728249194414609</v>
      </c>
      <c r="N43" s="39">
        <v>58126</v>
      </c>
      <c r="O43" s="61"/>
      <c r="P43" s="93"/>
    </row>
    <row r="44" spans="1:16" x14ac:dyDescent="0.25">
      <c r="A44" t="s">
        <v>161</v>
      </c>
      <c r="B44" s="8">
        <f t="shared" si="5"/>
        <v>45943</v>
      </c>
      <c r="C44" s="22">
        <f t="shared" si="4"/>
        <v>68197.2</v>
      </c>
      <c r="D44" s="62">
        <v>66860</v>
      </c>
      <c r="E44" s="39">
        <v>62090</v>
      </c>
      <c r="F44" s="96">
        <f t="shared" si="7"/>
        <v>-4770</v>
      </c>
      <c r="G44" s="24">
        <f t="shared" si="6"/>
        <v>-7.1343104995513009</v>
      </c>
      <c r="H44" s="92">
        <v>2044</v>
      </c>
      <c r="I44" s="44">
        <v>1867</v>
      </c>
      <c r="J44" s="97">
        <f t="shared" ref="J44:J55" si="8">I44-H44</f>
        <v>-177</v>
      </c>
      <c r="K44" s="49">
        <f t="shared" si="3"/>
        <v>-8.6594911937377699</v>
      </c>
      <c r="N44" s="39">
        <v>65600</v>
      </c>
      <c r="O44" s="61"/>
      <c r="P44" s="93"/>
    </row>
    <row r="45" spans="1:16" x14ac:dyDescent="0.25">
      <c r="A45" t="s">
        <v>162</v>
      </c>
      <c r="B45" s="8">
        <f t="shared" si="5"/>
        <v>45950</v>
      </c>
      <c r="C45" s="22">
        <f t="shared" si="4"/>
        <v>66236.759999999995</v>
      </c>
      <c r="D45" s="62">
        <v>64938</v>
      </c>
      <c r="E45" s="39">
        <v>49677</v>
      </c>
      <c r="F45" s="96">
        <f t="shared" si="7"/>
        <v>-15261</v>
      </c>
      <c r="G45" s="24">
        <f t="shared" si="6"/>
        <v>-23.500877760325235</v>
      </c>
      <c r="H45" s="92">
        <v>2204</v>
      </c>
      <c r="I45" s="44">
        <v>1515</v>
      </c>
      <c r="J45" s="97">
        <f t="shared" si="8"/>
        <v>-689</v>
      </c>
      <c r="K45" s="49">
        <f t="shared" si="3"/>
        <v>-31.261343012704174</v>
      </c>
      <c r="N45" s="39">
        <v>63139</v>
      </c>
      <c r="O45" s="61"/>
      <c r="P45" s="93"/>
    </row>
    <row r="46" spans="1:16" x14ac:dyDescent="0.25">
      <c r="A46" t="s">
        <v>163</v>
      </c>
      <c r="B46" s="8">
        <f t="shared" si="5"/>
        <v>45957</v>
      </c>
      <c r="C46" s="22">
        <f t="shared" si="4"/>
        <v>66546.84</v>
      </c>
      <c r="D46" s="62">
        <v>65242</v>
      </c>
      <c r="E46" s="39">
        <v>55820</v>
      </c>
      <c r="F46" s="61">
        <f t="shared" si="7"/>
        <v>-9422</v>
      </c>
      <c r="G46" s="24">
        <f t="shared" si="6"/>
        <v>-14.441617363048342</v>
      </c>
      <c r="H46" s="92">
        <v>2016</v>
      </c>
      <c r="I46" s="44">
        <v>1728</v>
      </c>
      <c r="J46" s="48">
        <f t="shared" si="8"/>
        <v>-288</v>
      </c>
      <c r="K46" s="49">
        <f t="shared" si="3"/>
        <v>-14.285714285714286</v>
      </c>
      <c r="N46" s="39">
        <v>64080</v>
      </c>
      <c r="O46" s="61"/>
      <c r="P46" s="93"/>
    </row>
    <row r="47" spans="1:16" x14ac:dyDescent="0.25">
      <c r="A47" t="s">
        <v>164</v>
      </c>
      <c r="B47" s="8">
        <f t="shared" si="5"/>
        <v>45964</v>
      </c>
      <c r="C47" s="22">
        <f t="shared" si="4"/>
        <v>79653.84</v>
      </c>
      <c r="D47" s="62">
        <v>78092</v>
      </c>
      <c r="E47" s="39">
        <v>60939</v>
      </c>
      <c r="F47" s="61">
        <f t="shared" si="7"/>
        <v>-17153</v>
      </c>
      <c r="G47" s="24">
        <f t="shared" si="6"/>
        <v>-21.965118065871025</v>
      </c>
      <c r="H47" s="92">
        <v>2457</v>
      </c>
      <c r="I47" s="44">
        <v>1872</v>
      </c>
      <c r="J47" s="48">
        <f t="shared" si="8"/>
        <v>-585</v>
      </c>
      <c r="K47" s="49">
        <f t="shared" si="3"/>
        <v>-23.80952380952381</v>
      </c>
      <c r="N47" s="39">
        <v>76850</v>
      </c>
      <c r="O47" s="61"/>
      <c r="P47" s="93"/>
    </row>
    <row r="48" spans="1:16" x14ac:dyDescent="0.25">
      <c r="A48" t="s">
        <v>165</v>
      </c>
      <c r="B48" s="8">
        <f t="shared" si="5"/>
        <v>45971</v>
      </c>
      <c r="C48" s="22">
        <f t="shared" si="4"/>
        <v>70765.56</v>
      </c>
      <c r="D48" s="62">
        <v>69378</v>
      </c>
      <c r="E48" s="39">
        <v>69953</v>
      </c>
      <c r="F48" s="61">
        <f t="shared" si="7"/>
        <v>575</v>
      </c>
      <c r="G48" s="24">
        <f t="shared" si="6"/>
        <v>0.8287929891320015</v>
      </c>
      <c r="H48" s="92">
        <v>2073</v>
      </c>
      <c r="I48" s="44">
        <v>2167</v>
      </c>
      <c r="J48" s="48">
        <f t="shared" si="8"/>
        <v>94</v>
      </c>
      <c r="K48" s="49">
        <f t="shared" si="3"/>
        <v>4.5344910757356489</v>
      </c>
      <c r="N48" s="39">
        <v>68399</v>
      </c>
      <c r="O48" s="61"/>
      <c r="P48" s="93"/>
    </row>
    <row r="49" spans="1:16" x14ac:dyDescent="0.25">
      <c r="A49" t="s">
        <v>166</v>
      </c>
      <c r="B49" s="8">
        <f t="shared" si="5"/>
        <v>45978</v>
      </c>
      <c r="C49" s="22">
        <f t="shared" si="4"/>
        <v>75695.22</v>
      </c>
      <c r="D49" s="62">
        <v>74211</v>
      </c>
      <c r="E49" s="39">
        <v>68378</v>
      </c>
      <c r="F49" s="61">
        <f t="shared" si="7"/>
        <v>-5833</v>
      </c>
      <c r="G49" s="24">
        <f t="shared" si="6"/>
        <v>-7.860020751640592</v>
      </c>
      <c r="H49" s="92">
        <v>2281</v>
      </c>
      <c r="I49" s="44">
        <v>2083</v>
      </c>
      <c r="J49" s="48">
        <f t="shared" si="8"/>
        <v>-198</v>
      </c>
      <c r="K49" s="49">
        <f t="shared" si="3"/>
        <v>-8.680403331871986</v>
      </c>
      <c r="N49" s="39">
        <v>71890</v>
      </c>
      <c r="O49" s="61"/>
      <c r="P49" s="93"/>
    </row>
    <row r="50" spans="1:16" x14ac:dyDescent="0.25">
      <c r="A50" t="s">
        <v>167</v>
      </c>
      <c r="B50" s="8">
        <f t="shared" si="5"/>
        <v>45985</v>
      </c>
      <c r="C50" s="22">
        <f t="shared" si="4"/>
        <v>68088.06</v>
      </c>
      <c r="D50" s="62">
        <v>66753</v>
      </c>
      <c r="E50" s="39">
        <v>62564</v>
      </c>
      <c r="F50" s="61">
        <f t="shared" si="7"/>
        <v>-4189</v>
      </c>
      <c r="G50" s="24">
        <f t="shared" si="6"/>
        <v>-6.2753733914580616</v>
      </c>
      <c r="H50" s="92">
        <v>1988</v>
      </c>
      <c r="I50" s="44">
        <v>1795</v>
      </c>
      <c r="J50" s="48">
        <f t="shared" si="8"/>
        <v>-193</v>
      </c>
      <c r="K50" s="49">
        <f t="shared" si="3"/>
        <v>-9.7082494969818907</v>
      </c>
      <c r="N50" s="39">
        <v>65054</v>
      </c>
      <c r="O50" s="61"/>
      <c r="P50" s="93"/>
    </row>
    <row r="51" spans="1:16" x14ac:dyDescent="0.25">
      <c r="A51" t="s">
        <v>168</v>
      </c>
      <c r="B51" s="8">
        <f t="shared" si="5"/>
        <v>45992</v>
      </c>
      <c r="C51" s="22">
        <f t="shared" si="4"/>
        <v>72154.8</v>
      </c>
      <c r="D51" s="62">
        <v>70740</v>
      </c>
      <c r="E51" s="39">
        <v>58153</v>
      </c>
      <c r="F51" s="61">
        <f t="shared" si="7"/>
        <v>-12587</v>
      </c>
      <c r="G51" s="24">
        <f>100*(E51-D51)/D51</f>
        <v>-17.793327678823861</v>
      </c>
      <c r="H51" s="92">
        <v>2171</v>
      </c>
      <c r="I51" s="44">
        <v>1751</v>
      </c>
      <c r="J51" s="48">
        <f t="shared" si="8"/>
        <v>-420</v>
      </c>
      <c r="K51" s="49">
        <f t="shared" si="3"/>
        <v>-19.345923537540305</v>
      </c>
      <c r="N51" s="39">
        <v>69219</v>
      </c>
      <c r="O51" s="61"/>
      <c r="P51" s="93"/>
    </row>
    <row r="52" spans="1:16" x14ac:dyDescent="0.25">
      <c r="A52" t="s">
        <v>169</v>
      </c>
      <c r="B52" s="8">
        <f t="shared" si="5"/>
        <v>45999</v>
      </c>
      <c r="C52" s="22">
        <f t="shared" si="4"/>
        <v>68085</v>
      </c>
      <c r="D52" s="62">
        <v>66750</v>
      </c>
      <c r="E52" s="39">
        <v>76395</v>
      </c>
      <c r="F52" s="61">
        <f t="shared" si="7"/>
        <v>9645</v>
      </c>
      <c r="G52" s="24">
        <f t="shared" si="6"/>
        <v>14.44943820224719</v>
      </c>
      <c r="H52" s="92">
        <v>2126</v>
      </c>
      <c r="I52" s="44">
        <v>2429</v>
      </c>
      <c r="J52" s="48">
        <f t="shared" si="8"/>
        <v>303</v>
      </c>
      <c r="K52" s="49">
        <f t="shared" si="3"/>
        <v>14.252116650987771</v>
      </c>
      <c r="N52" s="39">
        <v>65487</v>
      </c>
      <c r="O52" s="61"/>
      <c r="P52" s="93"/>
    </row>
    <row r="53" spans="1:16" x14ac:dyDescent="0.25">
      <c r="A53" t="s">
        <v>170</v>
      </c>
      <c r="B53" s="8">
        <f t="shared" si="5"/>
        <v>46006</v>
      </c>
      <c r="C53" s="22">
        <f t="shared" si="4"/>
        <v>72962.64</v>
      </c>
      <c r="D53" s="62">
        <v>71532</v>
      </c>
      <c r="E53" s="39">
        <v>58230</v>
      </c>
      <c r="F53" s="61">
        <f t="shared" si="7"/>
        <v>-13302</v>
      </c>
      <c r="G53" s="24">
        <f t="shared" si="6"/>
        <v>-18.595873175641671</v>
      </c>
      <c r="H53" s="92">
        <v>2288</v>
      </c>
      <c r="I53" s="44">
        <v>1756</v>
      </c>
      <c r="J53" s="48">
        <f t="shared" si="8"/>
        <v>-532</v>
      </c>
      <c r="K53" s="49">
        <f t="shared" si="3"/>
        <v>-23.251748251748253</v>
      </c>
      <c r="N53" s="39">
        <v>69924</v>
      </c>
      <c r="O53" s="61"/>
      <c r="P53" s="93"/>
    </row>
    <row r="54" spans="1:16" x14ac:dyDescent="0.25">
      <c r="A54" t="s">
        <v>171</v>
      </c>
      <c r="B54" s="8">
        <f t="shared" si="5"/>
        <v>46013</v>
      </c>
      <c r="C54" s="22">
        <f t="shared" si="4"/>
        <v>81366.42</v>
      </c>
      <c r="D54" s="62">
        <v>79771</v>
      </c>
      <c r="E54" s="39">
        <v>47543</v>
      </c>
      <c r="F54" s="61">
        <f t="shared" si="7"/>
        <v>-32228</v>
      </c>
      <c r="G54" s="24">
        <f t="shared" si="6"/>
        <v>-40.400646851612741</v>
      </c>
      <c r="H54" s="92">
        <v>2916</v>
      </c>
      <c r="I54" s="44">
        <v>1388</v>
      </c>
      <c r="J54" s="48">
        <f t="shared" si="8"/>
        <v>-1528</v>
      </c>
      <c r="K54" s="49">
        <f t="shared" si="3"/>
        <v>-52.400548696844993</v>
      </c>
      <c r="N54" s="39">
        <v>77716</v>
      </c>
      <c r="O54" s="93"/>
      <c r="P54" s="93"/>
    </row>
    <row r="55" spans="1:16" x14ac:dyDescent="0.25">
      <c r="A55" t="s">
        <v>252</v>
      </c>
      <c r="B55" s="8">
        <f t="shared" si="5"/>
        <v>46020</v>
      </c>
      <c r="C55" s="22">
        <f t="shared" si="4"/>
        <v>0</v>
      </c>
      <c r="D55" s="62">
        <v>0</v>
      </c>
      <c r="E55" s="39">
        <v>63482</v>
      </c>
      <c r="F55" s="99">
        <f t="shared" si="7"/>
        <v>63482</v>
      </c>
      <c r="G55" s="24" t="e">
        <f t="shared" si="6"/>
        <v>#DIV/0!</v>
      </c>
      <c r="H55" s="92">
        <v>0</v>
      </c>
      <c r="I55" s="103">
        <v>1980</v>
      </c>
      <c r="J55" s="48">
        <f t="shared" si="8"/>
        <v>1980</v>
      </c>
      <c r="K55" s="49" t="e">
        <f t="shared" si="3"/>
        <v>#DIV/0!</v>
      </c>
      <c r="N55" s="39"/>
      <c r="O55" s="93"/>
      <c r="P55" s="93"/>
    </row>
    <row r="56" spans="1:16" x14ac:dyDescent="0.25">
      <c r="A56" s="1"/>
      <c r="B56" s="1"/>
      <c r="C56" s="26">
        <f>SUM(C3:C55)</f>
        <v>3613340.8199999994</v>
      </c>
      <c r="D56" s="72">
        <f>SUM(D3:D54)</f>
        <v>3542491</v>
      </c>
      <c r="E56" s="100">
        <f>SUM(E3:E55)</f>
        <v>3328847</v>
      </c>
      <c r="F56" s="27">
        <f>SUM(F3:F55)</f>
        <v>-213644</v>
      </c>
      <c r="G56" s="28">
        <f>100*(F56)/(E56-F56)</f>
        <v>-6.0308974673471294</v>
      </c>
      <c r="H56" s="86"/>
      <c r="I56" s="86">
        <f>SUM(I3:I55)</f>
        <v>104344</v>
      </c>
      <c r="J56" s="1">
        <f>SUM(J3:J55)</f>
        <v>-8109</v>
      </c>
      <c r="K56" s="29">
        <f>100*(J56)/(I56-J56)</f>
        <v>-7.211012600819898</v>
      </c>
      <c r="N56">
        <f>SUM(N3:N54)</f>
        <v>3472049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DF63-BE21-422C-812E-31196AB6AEDF}">
  <dimension ref="A1:AB69"/>
  <sheetViews>
    <sheetView topLeftCell="A25" workbookViewId="0">
      <selection activeCell="P45" sqref="P45"/>
    </sheetView>
  </sheetViews>
  <sheetFormatPr defaultRowHeight="15" x14ac:dyDescent="0.25"/>
  <cols>
    <col min="1" max="1" width="8.5703125" bestFit="1" customWidth="1"/>
    <col min="2" max="2" width="9.140625" bestFit="1" customWidth="1"/>
    <col min="3" max="3" width="16.140625" style="18" bestFit="1" customWidth="1"/>
    <col min="4" max="4" width="14.28515625" style="18" bestFit="1" customWidth="1"/>
    <col min="5" max="5" width="14.28515625" bestFit="1" customWidth="1"/>
    <col min="6" max="6" width="13" bestFit="1" customWidth="1"/>
    <col min="7" max="7" width="13.7109375" bestFit="1" customWidth="1"/>
    <col min="9" max="9" width="12.28515625" bestFit="1" customWidth="1"/>
    <col min="11" max="11" width="9.5703125" bestFit="1" customWidth="1"/>
  </cols>
  <sheetData>
    <row r="1" spans="1:28" x14ac:dyDescent="0.25">
      <c r="A1" s="19" t="s">
        <v>115</v>
      </c>
      <c r="B1" s="19" t="s">
        <v>15</v>
      </c>
      <c r="C1" s="23" t="s">
        <v>116</v>
      </c>
      <c r="D1" s="23">
        <v>2023</v>
      </c>
      <c r="E1" s="19">
        <v>2024</v>
      </c>
      <c r="F1" s="19" t="s">
        <v>117</v>
      </c>
      <c r="G1" s="19" t="s">
        <v>118</v>
      </c>
      <c r="H1" s="19">
        <v>2023</v>
      </c>
      <c r="I1" s="19">
        <v>2024</v>
      </c>
      <c r="J1" s="1" t="s">
        <v>119</v>
      </c>
      <c r="K1" s="19" t="s">
        <v>118</v>
      </c>
      <c r="L1" s="19"/>
    </row>
    <row r="2" spans="1:28" x14ac:dyDescent="0.25">
      <c r="A2" t="s">
        <v>120</v>
      </c>
      <c r="B2" s="8">
        <v>45292</v>
      </c>
      <c r="C2" s="22">
        <v>62667</v>
      </c>
      <c r="D2" s="22">
        <v>56970</v>
      </c>
      <c r="E2" s="31">
        <v>65550</v>
      </c>
      <c r="F2" s="30">
        <f>E2-D2</f>
        <v>8580</v>
      </c>
      <c r="G2" s="24">
        <f>100*(E2-D2)/D2</f>
        <v>15.060558188520274</v>
      </c>
      <c r="H2">
        <v>1828</v>
      </c>
      <c r="I2">
        <v>2057</v>
      </c>
      <c r="J2">
        <f>I2-H2</f>
        <v>229</v>
      </c>
      <c r="K2" s="25">
        <f t="shared" ref="K2:K33" si="0">100*(I2-H2)/H2</f>
        <v>12.527352297592998</v>
      </c>
    </row>
    <row r="3" spans="1:28" x14ac:dyDescent="0.25">
      <c r="A3" t="s">
        <v>121</v>
      </c>
      <c r="B3" s="8">
        <f>B2+7</f>
        <v>45299</v>
      </c>
      <c r="C3" s="22">
        <v>90315</v>
      </c>
      <c r="D3" s="22">
        <v>82105</v>
      </c>
      <c r="E3" s="31">
        <v>75464</v>
      </c>
      <c r="F3" s="30">
        <f>E3-D3</f>
        <v>-6641</v>
      </c>
      <c r="G3" s="24">
        <f t="shared" ref="G3:G53" si="1">100*(E3-D3)/D3</f>
        <v>-8.0884233603312836</v>
      </c>
      <c r="H3">
        <v>2647</v>
      </c>
      <c r="I3">
        <v>2328</v>
      </c>
      <c r="J3">
        <f>I3-H3</f>
        <v>-319</v>
      </c>
      <c r="K3" s="25">
        <f t="shared" si="0"/>
        <v>-12.051378919531546</v>
      </c>
    </row>
    <row r="4" spans="1:28" x14ac:dyDescent="0.25">
      <c r="A4" t="s">
        <v>122</v>
      </c>
      <c r="B4" s="8">
        <f>B3+7</f>
        <v>45306</v>
      </c>
      <c r="C4" s="22">
        <v>74878</v>
      </c>
      <c r="D4" s="22">
        <v>68071</v>
      </c>
      <c r="E4" s="31">
        <v>65403</v>
      </c>
      <c r="F4" s="30">
        <f>E4-D4</f>
        <v>-2668</v>
      </c>
      <c r="G4" s="24">
        <f t="shared" si="1"/>
        <v>-3.91943705836553</v>
      </c>
      <c r="H4">
        <v>2112</v>
      </c>
      <c r="I4">
        <v>2039</v>
      </c>
      <c r="J4">
        <f>I4-H4</f>
        <v>-73</v>
      </c>
      <c r="K4" s="25">
        <f t="shared" si="0"/>
        <v>-3.456439393939394</v>
      </c>
    </row>
    <row r="5" spans="1:28" x14ac:dyDescent="0.25">
      <c r="A5" t="s">
        <v>123</v>
      </c>
      <c r="B5" s="8">
        <f>B4+7</f>
        <v>45313</v>
      </c>
      <c r="C5" s="22">
        <v>83708</v>
      </c>
      <c r="D5" s="22">
        <v>76098</v>
      </c>
      <c r="E5" s="31">
        <v>94126</v>
      </c>
      <c r="F5" s="30">
        <f t="shared" ref="F5:F10" si="2">E5-D5</f>
        <v>18028</v>
      </c>
      <c r="G5" s="24">
        <f t="shared" si="1"/>
        <v>23.690504349654393</v>
      </c>
      <c r="H5">
        <v>2515</v>
      </c>
      <c r="I5">
        <v>3831</v>
      </c>
      <c r="J5">
        <f t="shared" ref="J5:J30" si="3">I5-H5</f>
        <v>1316</v>
      </c>
      <c r="K5" s="25">
        <f t="shared" si="0"/>
        <v>52.326043737574551</v>
      </c>
    </row>
    <row r="6" spans="1:28" x14ac:dyDescent="0.25">
      <c r="A6" t="s">
        <v>124</v>
      </c>
      <c r="B6" s="8">
        <f t="shared" ref="B6:B53" si="4">B5+7</f>
        <v>45320</v>
      </c>
      <c r="C6" s="22">
        <v>78784</v>
      </c>
      <c r="D6" s="22">
        <v>71622</v>
      </c>
      <c r="E6" s="31">
        <v>64080</v>
      </c>
      <c r="F6" s="30">
        <f t="shared" si="2"/>
        <v>-7542</v>
      </c>
      <c r="G6" s="24">
        <f t="shared" si="1"/>
        <v>-10.530283990952501</v>
      </c>
      <c r="H6">
        <v>2322</v>
      </c>
      <c r="I6">
        <v>2060</v>
      </c>
      <c r="J6">
        <f t="shared" si="3"/>
        <v>-262</v>
      </c>
      <c r="K6" s="25">
        <f t="shared" si="0"/>
        <v>-11.28337639965547</v>
      </c>
    </row>
    <row r="7" spans="1:28" x14ac:dyDescent="0.25">
      <c r="A7" t="s">
        <v>125</v>
      </c>
      <c r="B7" s="8">
        <f t="shared" si="4"/>
        <v>45327</v>
      </c>
      <c r="C7" s="22">
        <v>77972</v>
      </c>
      <c r="D7" s="22">
        <v>70883</v>
      </c>
      <c r="E7" s="31">
        <v>74858</v>
      </c>
      <c r="F7" s="30">
        <f t="shared" si="2"/>
        <v>3975</v>
      </c>
      <c r="G7" s="24">
        <f t="shared" si="1"/>
        <v>5.6078326255942894</v>
      </c>
      <c r="H7">
        <v>2364</v>
      </c>
      <c r="I7">
        <v>2441</v>
      </c>
      <c r="J7">
        <f t="shared" si="3"/>
        <v>77</v>
      </c>
      <c r="K7" s="25">
        <f t="shared" si="0"/>
        <v>3.2571912013536379</v>
      </c>
    </row>
    <row r="8" spans="1:28" x14ac:dyDescent="0.25">
      <c r="A8" t="s">
        <v>126</v>
      </c>
      <c r="B8" s="8">
        <f t="shared" si="4"/>
        <v>45334</v>
      </c>
      <c r="C8" s="22">
        <v>80799</v>
      </c>
      <c r="D8" s="22">
        <v>73454</v>
      </c>
      <c r="E8" s="31">
        <v>65192</v>
      </c>
      <c r="F8" s="30">
        <f t="shared" si="2"/>
        <v>-8262</v>
      </c>
      <c r="G8" s="24">
        <f t="shared" si="1"/>
        <v>-11.247855800909413</v>
      </c>
      <c r="H8">
        <v>2413</v>
      </c>
      <c r="I8">
        <v>2093</v>
      </c>
      <c r="J8">
        <f t="shared" si="3"/>
        <v>-320</v>
      </c>
      <c r="K8" s="25">
        <f t="shared" si="0"/>
        <v>-13.261500207210942</v>
      </c>
      <c r="AA8" s="108"/>
      <c r="AB8" s="108"/>
    </row>
    <row r="9" spans="1:28" x14ac:dyDescent="0.25">
      <c r="A9" t="s">
        <v>127</v>
      </c>
      <c r="B9" s="8">
        <f t="shared" si="4"/>
        <v>45341</v>
      </c>
      <c r="C9" s="22">
        <v>71236</v>
      </c>
      <c r="D9" s="22">
        <v>64760</v>
      </c>
      <c r="E9" s="31">
        <v>64279</v>
      </c>
      <c r="F9" s="30">
        <f t="shared" si="2"/>
        <v>-481</v>
      </c>
      <c r="G9" s="24">
        <f t="shared" si="1"/>
        <v>-0.74274243360098824</v>
      </c>
      <c r="H9">
        <v>2094</v>
      </c>
      <c r="I9">
        <v>1985</v>
      </c>
      <c r="J9">
        <f t="shared" si="3"/>
        <v>-109</v>
      </c>
      <c r="K9" s="25">
        <f t="shared" si="0"/>
        <v>-5.2053486150907355</v>
      </c>
    </row>
    <row r="10" spans="1:28" x14ac:dyDescent="0.25">
      <c r="A10" t="s">
        <v>128</v>
      </c>
      <c r="B10" s="8">
        <f t="shared" si="4"/>
        <v>45348</v>
      </c>
      <c r="C10" s="22">
        <v>81013</v>
      </c>
      <c r="D10" s="22">
        <v>73648</v>
      </c>
      <c r="E10" s="31">
        <v>68779</v>
      </c>
      <c r="F10" s="30">
        <f t="shared" si="2"/>
        <v>-4869</v>
      </c>
      <c r="G10" s="24">
        <f t="shared" si="1"/>
        <v>-6.6111774929393876</v>
      </c>
      <c r="H10">
        <v>2371</v>
      </c>
      <c r="I10">
        <v>2099</v>
      </c>
      <c r="J10">
        <f t="shared" si="3"/>
        <v>-272</v>
      </c>
      <c r="K10" s="25">
        <f t="shared" si="0"/>
        <v>-11.471952762547449</v>
      </c>
    </row>
    <row r="11" spans="1:28" x14ac:dyDescent="0.25">
      <c r="A11" t="s">
        <v>129</v>
      </c>
      <c r="B11" s="8">
        <f t="shared" si="4"/>
        <v>45355</v>
      </c>
      <c r="C11" s="22">
        <v>86970</v>
      </c>
      <c r="D11" s="22">
        <v>79064</v>
      </c>
      <c r="E11" s="31">
        <v>79500</v>
      </c>
      <c r="F11" s="30">
        <f>E11-D11</f>
        <v>436</v>
      </c>
      <c r="G11" s="24">
        <f t="shared" si="1"/>
        <v>0.55145198826267328</v>
      </c>
      <c r="H11">
        <v>2520</v>
      </c>
      <c r="I11">
        <v>2469</v>
      </c>
      <c r="J11">
        <f t="shared" si="3"/>
        <v>-51</v>
      </c>
      <c r="K11" s="25">
        <f t="shared" si="0"/>
        <v>-2.0238095238095237</v>
      </c>
    </row>
    <row r="12" spans="1:28" x14ac:dyDescent="0.25">
      <c r="A12" t="s">
        <v>130</v>
      </c>
      <c r="B12" s="8">
        <f t="shared" si="4"/>
        <v>45362</v>
      </c>
      <c r="C12" s="22">
        <v>77347</v>
      </c>
      <c r="D12" s="22">
        <v>70315</v>
      </c>
      <c r="E12" s="31">
        <v>73243</v>
      </c>
      <c r="F12" s="30">
        <f>E12-D12</f>
        <v>2928</v>
      </c>
      <c r="G12" s="24">
        <f t="shared" si="1"/>
        <v>4.1641186091161204</v>
      </c>
      <c r="H12">
        <v>2257</v>
      </c>
      <c r="I12">
        <v>2353</v>
      </c>
      <c r="J12">
        <f t="shared" si="3"/>
        <v>96</v>
      </c>
      <c r="K12" s="25">
        <f t="shared" si="0"/>
        <v>4.2534337616304834</v>
      </c>
    </row>
    <row r="13" spans="1:28" x14ac:dyDescent="0.25">
      <c r="A13" t="s">
        <v>131</v>
      </c>
      <c r="B13" s="8">
        <f t="shared" si="4"/>
        <v>45369</v>
      </c>
      <c r="C13" s="22">
        <v>71252</v>
      </c>
      <c r="D13" s="22">
        <v>64774</v>
      </c>
      <c r="E13" s="31">
        <v>64047</v>
      </c>
      <c r="F13" s="30">
        <f t="shared" ref="F13:F14" si="5">E13-D13</f>
        <v>-727</v>
      </c>
      <c r="G13" s="24">
        <f t="shared" si="1"/>
        <v>-1.1223639114459505</v>
      </c>
      <c r="H13">
        <v>2111</v>
      </c>
      <c r="I13">
        <v>1967</v>
      </c>
      <c r="J13">
        <f t="shared" si="3"/>
        <v>-144</v>
      </c>
      <c r="K13" s="25">
        <f t="shared" si="0"/>
        <v>-6.8214116532449074</v>
      </c>
    </row>
    <row r="14" spans="1:28" x14ac:dyDescent="0.25">
      <c r="A14" t="s">
        <v>132</v>
      </c>
      <c r="B14" s="8">
        <f t="shared" si="4"/>
        <v>45376</v>
      </c>
      <c r="C14" s="22">
        <v>77343</v>
      </c>
      <c r="D14" s="22">
        <v>70312</v>
      </c>
      <c r="E14" s="31">
        <v>67009</v>
      </c>
      <c r="F14" s="30">
        <f t="shared" si="5"/>
        <v>-3303</v>
      </c>
      <c r="G14" s="24">
        <f t="shared" si="1"/>
        <v>-4.6976334053931046</v>
      </c>
      <c r="H14">
        <v>2292</v>
      </c>
      <c r="I14">
        <v>2094</v>
      </c>
      <c r="J14">
        <f t="shared" si="3"/>
        <v>-198</v>
      </c>
      <c r="K14" s="25">
        <f t="shared" si="0"/>
        <v>-8.6387434554973819</v>
      </c>
    </row>
    <row r="15" spans="1:28" x14ac:dyDescent="0.25">
      <c r="A15" t="s">
        <v>133</v>
      </c>
      <c r="B15" s="8">
        <f t="shared" si="4"/>
        <v>45383</v>
      </c>
      <c r="C15" s="22">
        <v>73191</v>
      </c>
      <c r="D15" s="22">
        <v>66537</v>
      </c>
      <c r="E15" s="31">
        <v>74367</v>
      </c>
      <c r="F15" s="30">
        <f t="shared" ref="F15:F53" si="6">E15-D15</f>
        <v>7830</v>
      </c>
      <c r="G15" s="24">
        <f t="shared" si="1"/>
        <v>11.767888543216555</v>
      </c>
      <c r="H15">
        <v>2134</v>
      </c>
      <c r="I15">
        <v>2309</v>
      </c>
      <c r="J15">
        <f t="shared" si="3"/>
        <v>175</v>
      </c>
      <c r="K15" s="25">
        <f t="shared" si="0"/>
        <v>8.2005623242736636</v>
      </c>
    </row>
    <row r="16" spans="1:28" x14ac:dyDescent="0.25">
      <c r="A16" t="s">
        <v>134</v>
      </c>
      <c r="B16" s="8">
        <f t="shared" si="4"/>
        <v>45390</v>
      </c>
      <c r="C16" s="22">
        <v>82588</v>
      </c>
      <c r="D16" s="22">
        <v>75080</v>
      </c>
      <c r="E16" s="31">
        <v>74730</v>
      </c>
      <c r="F16" s="30">
        <f t="shared" si="6"/>
        <v>-350</v>
      </c>
      <c r="G16" s="24">
        <f t="shared" si="1"/>
        <v>-0.46616941928609484</v>
      </c>
      <c r="H16">
        <v>2390</v>
      </c>
      <c r="I16">
        <v>2353</v>
      </c>
      <c r="J16">
        <f t="shared" si="3"/>
        <v>-37</v>
      </c>
      <c r="K16" s="25">
        <f t="shared" si="0"/>
        <v>-1.5481171548117154</v>
      </c>
    </row>
    <row r="17" spans="1:11" x14ac:dyDescent="0.25">
      <c r="A17" t="s">
        <v>135</v>
      </c>
      <c r="B17" s="8">
        <f t="shared" si="4"/>
        <v>45397</v>
      </c>
      <c r="C17" s="22">
        <v>67838</v>
      </c>
      <c r="D17" s="22">
        <v>61671</v>
      </c>
      <c r="E17" s="31">
        <v>59013</v>
      </c>
      <c r="F17" s="30">
        <f t="shared" si="6"/>
        <v>-2658</v>
      </c>
      <c r="G17" s="24">
        <f t="shared" si="1"/>
        <v>-4.3099674076956758</v>
      </c>
      <c r="H17">
        <v>1913</v>
      </c>
      <c r="I17">
        <v>1797</v>
      </c>
      <c r="J17">
        <f t="shared" si="3"/>
        <v>-116</v>
      </c>
      <c r="K17" s="25">
        <f t="shared" si="0"/>
        <v>-6.0637741766858335</v>
      </c>
    </row>
    <row r="18" spans="1:11" x14ac:dyDescent="0.25">
      <c r="A18" t="s">
        <v>136</v>
      </c>
      <c r="B18" s="8">
        <f t="shared" si="4"/>
        <v>45404</v>
      </c>
      <c r="C18" s="22">
        <v>67623</v>
      </c>
      <c r="D18" s="22">
        <v>61476</v>
      </c>
      <c r="E18" s="31">
        <v>64949</v>
      </c>
      <c r="F18" s="30">
        <f t="shared" si="6"/>
        <v>3473</v>
      </c>
      <c r="G18" s="24">
        <f t="shared" si="1"/>
        <v>5.6493590994859781</v>
      </c>
      <c r="H18">
        <v>2034</v>
      </c>
      <c r="I18">
        <v>2065</v>
      </c>
      <c r="J18">
        <f t="shared" si="3"/>
        <v>31</v>
      </c>
      <c r="K18" s="25">
        <f t="shared" si="0"/>
        <v>1.5240904621435596</v>
      </c>
    </row>
    <row r="19" spans="1:11" x14ac:dyDescent="0.25">
      <c r="A19" t="s">
        <v>137</v>
      </c>
      <c r="B19" s="8">
        <f t="shared" si="4"/>
        <v>45411</v>
      </c>
      <c r="C19" s="22">
        <v>70691</v>
      </c>
      <c r="D19" s="22">
        <v>64264</v>
      </c>
      <c r="E19">
        <v>72150</v>
      </c>
      <c r="F19" s="30">
        <f t="shared" si="6"/>
        <v>7886</v>
      </c>
      <c r="G19" s="24">
        <f t="shared" si="1"/>
        <v>12.271256068716545</v>
      </c>
      <c r="H19">
        <v>2074</v>
      </c>
      <c r="I19">
        <v>2297</v>
      </c>
      <c r="J19">
        <f t="shared" si="3"/>
        <v>223</v>
      </c>
      <c r="K19" s="25">
        <f t="shared" si="0"/>
        <v>10.752169720347155</v>
      </c>
    </row>
    <row r="20" spans="1:11" x14ac:dyDescent="0.25">
      <c r="A20" t="s">
        <v>138</v>
      </c>
      <c r="B20" s="8">
        <f t="shared" si="4"/>
        <v>45418</v>
      </c>
      <c r="C20" s="22">
        <v>81411</v>
      </c>
      <c r="D20" s="22">
        <v>74010</v>
      </c>
      <c r="E20" s="31">
        <v>68366</v>
      </c>
      <c r="F20" s="30">
        <f t="shared" si="6"/>
        <v>-5644</v>
      </c>
      <c r="G20" s="24">
        <f t="shared" si="1"/>
        <v>-7.6259964869612213</v>
      </c>
      <c r="H20">
        <v>2386</v>
      </c>
      <c r="I20">
        <v>2046</v>
      </c>
      <c r="J20">
        <f t="shared" si="3"/>
        <v>-340</v>
      </c>
      <c r="K20" s="25">
        <f t="shared" si="0"/>
        <v>-14.249790444258172</v>
      </c>
    </row>
    <row r="21" spans="1:11" x14ac:dyDescent="0.25">
      <c r="A21" t="s">
        <v>139</v>
      </c>
      <c r="B21" s="8">
        <f t="shared" si="4"/>
        <v>45425</v>
      </c>
      <c r="C21" s="22">
        <v>63068</v>
      </c>
      <c r="D21" s="22">
        <v>57335</v>
      </c>
      <c r="E21" s="31">
        <v>58720</v>
      </c>
      <c r="F21" s="30">
        <f t="shared" si="6"/>
        <v>1385</v>
      </c>
      <c r="G21" s="24">
        <f t="shared" si="1"/>
        <v>2.415627452690329</v>
      </c>
      <c r="H21">
        <v>1780</v>
      </c>
      <c r="I21">
        <v>1801</v>
      </c>
      <c r="J21">
        <f t="shared" si="3"/>
        <v>21</v>
      </c>
      <c r="K21" s="25">
        <f t="shared" si="0"/>
        <v>1.1797752808988764</v>
      </c>
    </row>
    <row r="22" spans="1:11" x14ac:dyDescent="0.25">
      <c r="A22" t="s">
        <v>140</v>
      </c>
      <c r="B22" s="8">
        <f t="shared" si="4"/>
        <v>45432</v>
      </c>
      <c r="C22" s="22">
        <v>82535</v>
      </c>
      <c r="D22" s="22">
        <v>75031</v>
      </c>
      <c r="E22" s="31">
        <v>77271</v>
      </c>
      <c r="F22" s="30">
        <f t="shared" si="6"/>
        <v>2240</v>
      </c>
      <c r="G22" s="24">
        <f t="shared" si="1"/>
        <v>2.9854326878223669</v>
      </c>
      <c r="H22">
        <v>2481</v>
      </c>
      <c r="I22">
        <v>2409</v>
      </c>
      <c r="J22">
        <f t="shared" si="3"/>
        <v>-72</v>
      </c>
      <c r="K22" s="25">
        <f t="shared" si="0"/>
        <v>-2.9020556227327692</v>
      </c>
    </row>
    <row r="23" spans="1:11" x14ac:dyDescent="0.25">
      <c r="A23" t="s">
        <v>141</v>
      </c>
      <c r="B23" s="8">
        <f t="shared" si="4"/>
        <v>45439</v>
      </c>
      <c r="C23" s="22">
        <v>56333</v>
      </c>
      <c r="D23" s="22">
        <v>51212</v>
      </c>
      <c r="E23" s="31">
        <v>45387</v>
      </c>
      <c r="F23" s="30">
        <f t="shared" si="6"/>
        <v>-5825</v>
      </c>
      <c r="G23" s="24">
        <f t="shared" si="1"/>
        <v>-11.374287276419588</v>
      </c>
      <c r="H23">
        <v>1614</v>
      </c>
      <c r="I23">
        <v>1472</v>
      </c>
      <c r="J23">
        <f t="shared" si="3"/>
        <v>-142</v>
      </c>
      <c r="K23" s="25">
        <f t="shared" si="0"/>
        <v>-8.7980173482032225</v>
      </c>
    </row>
    <row r="24" spans="1:11" x14ac:dyDescent="0.25">
      <c r="A24" t="s">
        <v>142</v>
      </c>
      <c r="B24" s="8">
        <f t="shared" si="4"/>
        <v>45446</v>
      </c>
      <c r="C24" s="22">
        <v>86079</v>
      </c>
      <c r="D24" s="22">
        <v>78254</v>
      </c>
      <c r="E24" s="31">
        <v>78681</v>
      </c>
      <c r="F24" s="30">
        <f t="shared" si="6"/>
        <v>427</v>
      </c>
      <c r="G24" s="24">
        <f t="shared" si="1"/>
        <v>0.54565900784624433</v>
      </c>
      <c r="H24">
        <v>2431</v>
      </c>
      <c r="I24">
        <v>2435</v>
      </c>
      <c r="J24">
        <f t="shared" si="3"/>
        <v>4</v>
      </c>
      <c r="K24" s="25">
        <f t="shared" si="0"/>
        <v>0.16454134101192924</v>
      </c>
    </row>
    <row r="25" spans="1:11" x14ac:dyDescent="0.25">
      <c r="A25" t="s">
        <v>143</v>
      </c>
      <c r="B25" s="8">
        <f t="shared" si="4"/>
        <v>45453</v>
      </c>
      <c r="C25" s="22">
        <v>70725</v>
      </c>
      <c r="D25" s="22">
        <v>64295</v>
      </c>
      <c r="E25" s="31">
        <v>65925</v>
      </c>
      <c r="F25" s="30">
        <f t="shared" si="6"/>
        <v>1630</v>
      </c>
      <c r="G25" s="24">
        <f t="shared" si="1"/>
        <v>2.5351893615366667</v>
      </c>
      <c r="H25">
        <v>2059</v>
      </c>
      <c r="I25">
        <v>2081</v>
      </c>
      <c r="J25">
        <f t="shared" si="3"/>
        <v>22</v>
      </c>
      <c r="K25" s="25">
        <f t="shared" si="0"/>
        <v>1.0684798445847499</v>
      </c>
    </row>
    <row r="26" spans="1:11" x14ac:dyDescent="0.25">
      <c r="A26" t="s">
        <v>144</v>
      </c>
      <c r="B26" s="8">
        <f t="shared" si="4"/>
        <v>45460</v>
      </c>
      <c r="C26" s="22">
        <v>75816</v>
      </c>
      <c r="D26" s="22">
        <v>68923</v>
      </c>
      <c r="E26">
        <v>59402</v>
      </c>
      <c r="F26" s="30">
        <f t="shared" si="6"/>
        <v>-9521</v>
      </c>
      <c r="G26" s="24">
        <f t="shared" si="1"/>
        <v>-13.813966310230256</v>
      </c>
      <c r="H26">
        <v>2167</v>
      </c>
      <c r="I26">
        <v>1837</v>
      </c>
      <c r="J26">
        <f t="shared" si="3"/>
        <v>-330</v>
      </c>
      <c r="K26" s="25">
        <f t="shared" si="0"/>
        <v>-15.228426395939087</v>
      </c>
    </row>
    <row r="27" spans="1:11" x14ac:dyDescent="0.25">
      <c r="A27" t="s">
        <v>145</v>
      </c>
      <c r="B27" s="8">
        <f t="shared" si="4"/>
        <v>45467</v>
      </c>
      <c r="C27" s="22">
        <v>76727</v>
      </c>
      <c r="D27" s="22">
        <v>69752</v>
      </c>
      <c r="E27">
        <v>69587</v>
      </c>
      <c r="F27" s="30">
        <f t="shared" si="6"/>
        <v>-165</v>
      </c>
      <c r="G27" s="24">
        <f t="shared" si="1"/>
        <v>-0.23655235692166532</v>
      </c>
      <c r="H27">
        <v>2266</v>
      </c>
      <c r="I27">
        <v>2422</v>
      </c>
      <c r="J27">
        <f t="shared" si="3"/>
        <v>156</v>
      </c>
      <c r="K27" s="25">
        <f t="shared" si="0"/>
        <v>6.8843777581641659</v>
      </c>
    </row>
    <row r="28" spans="1:11" x14ac:dyDescent="0.25">
      <c r="A28" t="s">
        <v>146</v>
      </c>
      <c r="B28" s="8">
        <f t="shared" si="4"/>
        <v>45474</v>
      </c>
      <c r="C28" s="22">
        <v>75890</v>
      </c>
      <c r="D28" s="22">
        <v>68991</v>
      </c>
      <c r="E28">
        <v>72451</v>
      </c>
      <c r="F28" s="30">
        <f t="shared" si="6"/>
        <v>3460</v>
      </c>
      <c r="G28" s="24">
        <f t="shared" si="1"/>
        <v>5.0151469032192608</v>
      </c>
      <c r="H28">
        <v>2221</v>
      </c>
      <c r="I28">
        <v>2322</v>
      </c>
      <c r="J28">
        <f t="shared" si="3"/>
        <v>101</v>
      </c>
      <c r="K28" s="25">
        <f t="shared" si="0"/>
        <v>4.5475011256190907</v>
      </c>
    </row>
    <row r="29" spans="1:11" x14ac:dyDescent="0.25">
      <c r="A29" t="s">
        <v>147</v>
      </c>
      <c r="B29" s="8">
        <f t="shared" si="4"/>
        <v>45481</v>
      </c>
      <c r="C29" s="22">
        <v>77186</v>
      </c>
      <c r="D29" s="22">
        <v>70169</v>
      </c>
      <c r="E29">
        <v>57452</v>
      </c>
      <c r="F29" s="30">
        <f t="shared" si="6"/>
        <v>-12717</v>
      </c>
      <c r="G29" s="24">
        <f t="shared" si="1"/>
        <v>-18.123387820832562</v>
      </c>
      <c r="H29">
        <v>2200</v>
      </c>
      <c r="I29">
        <v>1758</v>
      </c>
      <c r="J29">
        <f t="shared" si="3"/>
        <v>-442</v>
      </c>
      <c r="K29" s="25">
        <f t="shared" si="0"/>
        <v>-20.09090909090909</v>
      </c>
    </row>
    <row r="30" spans="1:11" x14ac:dyDescent="0.25">
      <c r="A30" t="s">
        <v>148</v>
      </c>
      <c r="B30" s="8">
        <f t="shared" si="4"/>
        <v>45488</v>
      </c>
      <c r="C30" s="22">
        <v>70174</v>
      </c>
      <c r="D30" s="22">
        <v>63794</v>
      </c>
      <c r="E30">
        <v>75893</v>
      </c>
      <c r="F30" s="30">
        <f t="shared" si="6"/>
        <v>12099</v>
      </c>
      <c r="G30" s="24">
        <f t="shared" si="1"/>
        <v>18.965733454556855</v>
      </c>
      <c r="H30">
        <v>2054</v>
      </c>
      <c r="I30">
        <v>2415</v>
      </c>
      <c r="J30">
        <f t="shared" si="3"/>
        <v>361</v>
      </c>
      <c r="K30" s="25">
        <f t="shared" si="0"/>
        <v>17.575462512171374</v>
      </c>
    </row>
    <row r="31" spans="1:11" x14ac:dyDescent="0.25">
      <c r="A31" t="s">
        <v>149</v>
      </c>
      <c r="B31" s="8">
        <f t="shared" si="4"/>
        <v>45495</v>
      </c>
      <c r="C31" s="22">
        <v>80028</v>
      </c>
      <c r="D31" s="22">
        <v>72753</v>
      </c>
      <c r="E31">
        <v>62913</v>
      </c>
      <c r="F31" s="30">
        <f t="shared" si="6"/>
        <v>-9840</v>
      </c>
      <c r="G31" s="24">
        <f t="shared" si="1"/>
        <v>-13.525215455032782</v>
      </c>
      <c r="H31">
        <v>2394</v>
      </c>
      <c r="I31">
        <v>2416</v>
      </c>
      <c r="J31">
        <f t="shared" ref="J31:J53" si="7">I31-H31</f>
        <v>22</v>
      </c>
      <c r="K31" s="25">
        <f t="shared" si="0"/>
        <v>0.91896407685881365</v>
      </c>
    </row>
    <row r="32" spans="1:11" x14ac:dyDescent="0.25">
      <c r="A32" t="s">
        <v>150</v>
      </c>
      <c r="B32" s="8">
        <f t="shared" si="4"/>
        <v>45502</v>
      </c>
      <c r="C32" s="22">
        <v>72031</v>
      </c>
      <c r="D32" s="22">
        <v>65483</v>
      </c>
      <c r="E32">
        <v>61436</v>
      </c>
      <c r="F32" s="30">
        <f t="shared" si="6"/>
        <v>-4047</v>
      </c>
      <c r="G32" s="24">
        <f t="shared" si="1"/>
        <v>-6.1802299833544581</v>
      </c>
      <c r="H32">
        <v>2062</v>
      </c>
      <c r="I32">
        <v>2417</v>
      </c>
      <c r="J32">
        <f t="shared" si="7"/>
        <v>355</v>
      </c>
      <c r="K32" s="25">
        <f t="shared" si="0"/>
        <v>17.216294859359845</v>
      </c>
    </row>
    <row r="33" spans="1:24" x14ac:dyDescent="0.25">
      <c r="A33" t="s">
        <v>151</v>
      </c>
      <c r="B33" s="8">
        <f t="shared" si="4"/>
        <v>45509</v>
      </c>
      <c r="C33" s="22">
        <v>96456</v>
      </c>
      <c r="D33" s="22">
        <v>87687</v>
      </c>
      <c r="E33">
        <v>87968</v>
      </c>
      <c r="F33" s="30">
        <f t="shared" si="6"/>
        <v>281</v>
      </c>
      <c r="G33" s="24">
        <f t="shared" si="1"/>
        <v>0.32045799263288743</v>
      </c>
      <c r="H33">
        <v>2796</v>
      </c>
      <c r="I33">
        <v>2418</v>
      </c>
      <c r="J33">
        <f t="shared" si="7"/>
        <v>-378</v>
      </c>
      <c r="K33" s="25">
        <f t="shared" si="0"/>
        <v>-13.519313304721029</v>
      </c>
    </row>
    <row r="34" spans="1:24" x14ac:dyDescent="0.25">
      <c r="A34" t="s">
        <v>152</v>
      </c>
      <c r="B34" s="8">
        <f t="shared" si="4"/>
        <v>45516</v>
      </c>
      <c r="C34" s="22">
        <v>67691</v>
      </c>
      <c r="D34" s="22">
        <v>61537</v>
      </c>
      <c r="E34">
        <v>62503</v>
      </c>
      <c r="F34" s="30">
        <f t="shared" si="6"/>
        <v>966</v>
      </c>
      <c r="G34" s="24">
        <f t="shared" si="1"/>
        <v>1.5697872824479582</v>
      </c>
      <c r="H34">
        <v>1998</v>
      </c>
      <c r="I34">
        <v>2000</v>
      </c>
      <c r="J34">
        <f t="shared" si="7"/>
        <v>2</v>
      </c>
      <c r="K34" s="25">
        <f t="shared" ref="K34:K53" si="8">100*(I34-H34)/H34</f>
        <v>0.10010010010010011</v>
      </c>
      <c r="R34" s="108"/>
      <c r="S34" s="108"/>
      <c r="T34" s="108"/>
      <c r="U34" s="108"/>
      <c r="V34" s="108"/>
      <c r="W34" s="108"/>
      <c r="X34" s="108"/>
    </row>
    <row r="35" spans="1:24" x14ac:dyDescent="0.25">
      <c r="A35" t="s">
        <v>153</v>
      </c>
      <c r="B35" s="8">
        <f t="shared" si="4"/>
        <v>45523</v>
      </c>
      <c r="C35" s="22">
        <v>55918</v>
      </c>
      <c r="D35" s="22">
        <v>50835</v>
      </c>
      <c r="E35">
        <v>72800</v>
      </c>
      <c r="F35" s="30">
        <f t="shared" si="6"/>
        <v>21965</v>
      </c>
      <c r="G35" s="24">
        <f t="shared" si="1"/>
        <v>43.208419396085375</v>
      </c>
      <c r="H35">
        <v>1597</v>
      </c>
      <c r="I35">
        <v>2366</v>
      </c>
      <c r="J35">
        <f t="shared" si="7"/>
        <v>769</v>
      </c>
      <c r="K35" s="25">
        <f t="shared" si="8"/>
        <v>48.152786474639953</v>
      </c>
    </row>
    <row r="36" spans="1:24" x14ac:dyDescent="0.25">
      <c r="A36" t="s">
        <v>154</v>
      </c>
      <c r="B36" s="8">
        <f t="shared" si="4"/>
        <v>45530</v>
      </c>
      <c r="C36" s="22">
        <v>91670</v>
      </c>
      <c r="D36" s="22">
        <v>83336</v>
      </c>
      <c r="E36">
        <v>64129</v>
      </c>
      <c r="F36" s="30">
        <f t="shared" si="6"/>
        <v>-19207</v>
      </c>
      <c r="G36" s="24">
        <f t="shared" si="1"/>
        <v>-23.047662474800806</v>
      </c>
      <c r="H36">
        <v>2569</v>
      </c>
      <c r="I36">
        <v>2090</v>
      </c>
      <c r="J36">
        <f t="shared" si="7"/>
        <v>-479</v>
      </c>
      <c r="K36" s="25">
        <f t="shared" si="8"/>
        <v>-18.645387310237446</v>
      </c>
    </row>
    <row r="37" spans="1:24" x14ac:dyDescent="0.25">
      <c r="A37" t="s">
        <v>155</v>
      </c>
      <c r="B37" s="8">
        <f t="shared" si="4"/>
        <v>45537</v>
      </c>
      <c r="C37" s="22">
        <v>74901</v>
      </c>
      <c r="D37" s="22">
        <v>68092</v>
      </c>
      <c r="E37">
        <v>65288</v>
      </c>
      <c r="F37" s="30">
        <f t="shared" si="6"/>
        <v>-2804</v>
      </c>
      <c r="G37" s="24">
        <f t="shared" si="1"/>
        <v>-4.1179580567467546</v>
      </c>
      <c r="H37">
        <v>2058</v>
      </c>
      <c r="I37">
        <v>2038</v>
      </c>
      <c r="J37">
        <f t="shared" si="7"/>
        <v>-20</v>
      </c>
      <c r="K37" s="25">
        <f t="shared" si="8"/>
        <v>-0.97181729834791064</v>
      </c>
    </row>
    <row r="38" spans="1:24" x14ac:dyDescent="0.25">
      <c r="A38" t="s">
        <v>156</v>
      </c>
      <c r="B38" s="8">
        <f t="shared" si="4"/>
        <v>45544</v>
      </c>
      <c r="C38" s="22">
        <v>78658</v>
      </c>
      <c r="D38" s="22">
        <v>71507</v>
      </c>
      <c r="E38">
        <v>69725</v>
      </c>
      <c r="F38" s="30">
        <f t="shared" si="6"/>
        <v>-1782</v>
      </c>
      <c r="G38" s="24">
        <f t="shared" si="1"/>
        <v>-2.4920637140419819</v>
      </c>
      <c r="H38">
        <v>2201</v>
      </c>
      <c r="I38">
        <v>2241</v>
      </c>
      <c r="J38">
        <f t="shared" si="7"/>
        <v>40</v>
      </c>
      <c r="K38" s="25">
        <f t="shared" si="8"/>
        <v>1.817355747387551</v>
      </c>
    </row>
    <row r="39" spans="1:24" x14ac:dyDescent="0.25">
      <c r="A39" t="s">
        <v>157</v>
      </c>
      <c r="B39" s="8">
        <f t="shared" si="4"/>
        <v>45551</v>
      </c>
      <c r="C39" s="22">
        <v>65185</v>
      </c>
      <c r="D39" s="22">
        <v>59259</v>
      </c>
      <c r="E39">
        <v>61035</v>
      </c>
      <c r="F39" s="30">
        <f t="shared" si="6"/>
        <v>1776</v>
      </c>
      <c r="G39" s="24">
        <f t="shared" si="1"/>
        <v>2.9970131119323646</v>
      </c>
      <c r="H39">
        <v>1844</v>
      </c>
      <c r="I39">
        <v>1875</v>
      </c>
      <c r="J39">
        <f t="shared" si="7"/>
        <v>31</v>
      </c>
      <c r="K39" s="25">
        <f t="shared" si="8"/>
        <v>1.6811279826464207</v>
      </c>
    </row>
    <row r="40" spans="1:24" x14ac:dyDescent="0.25">
      <c r="A40" t="s">
        <v>158</v>
      </c>
      <c r="B40" s="8">
        <f t="shared" si="4"/>
        <v>45558</v>
      </c>
      <c r="C40" s="22">
        <v>68083</v>
      </c>
      <c r="D40" s="22">
        <v>61894</v>
      </c>
      <c r="E40">
        <v>56456</v>
      </c>
      <c r="F40" s="30">
        <f t="shared" si="6"/>
        <v>-5438</v>
      </c>
      <c r="G40" s="24">
        <f t="shared" si="1"/>
        <v>-8.7859889488480309</v>
      </c>
      <c r="H40">
        <v>1923</v>
      </c>
      <c r="I40">
        <v>1806</v>
      </c>
      <c r="J40">
        <f t="shared" si="7"/>
        <v>-117</v>
      </c>
      <c r="K40" s="25">
        <f t="shared" si="8"/>
        <v>-6.0842433697347893</v>
      </c>
    </row>
    <row r="41" spans="1:24" x14ac:dyDescent="0.25">
      <c r="A41" t="s">
        <v>159</v>
      </c>
      <c r="B41" s="8">
        <f t="shared" si="4"/>
        <v>45565</v>
      </c>
      <c r="C41" s="22">
        <v>79106</v>
      </c>
      <c r="D41" s="22">
        <v>71915</v>
      </c>
      <c r="E41">
        <v>95546</v>
      </c>
      <c r="F41" s="30">
        <f t="shared" si="6"/>
        <v>23631</v>
      </c>
      <c r="G41" s="24">
        <f t="shared" si="1"/>
        <v>32.859625947298895</v>
      </c>
      <c r="H41">
        <v>2164</v>
      </c>
      <c r="I41">
        <v>2968</v>
      </c>
      <c r="J41">
        <f t="shared" si="7"/>
        <v>804</v>
      </c>
      <c r="K41" s="25">
        <f t="shared" si="8"/>
        <v>37.153419593345653</v>
      </c>
    </row>
    <row r="42" spans="1:24" x14ac:dyDescent="0.25">
      <c r="A42" t="s">
        <v>160</v>
      </c>
      <c r="B42" s="8">
        <f t="shared" si="4"/>
        <v>45572</v>
      </c>
      <c r="C42" s="22">
        <v>74863</v>
      </c>
      <c r="D42" s="22">
        <v>68057</v>
      </c>
      <c r="E42">
        <v>57412</v>
      </c>
      <c r="F42" s="30">
        <f t="shared" si="6"/>
        <v>-10645</v>
      </c>
      <c r="G42" s="24">
        <f t="shared" si="1"/>
        <v>-15.641300674434666</v>
      </c>
      <c r="H42">
        <v>2118</v>
      </c>
      <c r="I42">
        <v>1814</v>
      </c>
      <c r="J42">
        <f t="shared" si="7"/>
        <v>-304</v>
      </c>
      <c r="K42" s="25">
        <f t="shared" si="8"/>
        <v>-14.353163361661945</v>
      </c>
    </row>
    <row r="43" spans="1:24" x14ac:dyDescent="0.25">
      <c r="A43" t="s">
        <v>161</v>
      </c>
      <c r="B43" s="8">
        <f t="shared" si="4"/>
        <v>45579</v>
      </c>
      <c r="C43" s="22">
        <v>65685</v>
      </c>
      <c r="D43" s="22">
        <v>59713</v>
      </c>
      <c r="E43">
        <v>69737</v>
      </c>
      <c r="F43" s="30">
        <f t="shared" si="6"/>
        <v>10024</v>
      </c>
      <c r="G43" s="24">
        <f t="shared" si="1"/>
        <v>16.78696431262874</v>
      </c>
      <c r="H43">
        <v>1800</v>
      </c>
      <c r="I43">
        <v>2134</v>
      </c>
      <c r="J43">
        <f t="shared" si="7"/>
        <v>334</v>
      </c>
      <c r="K43" s="25">
        <f t="shared" si="8"/>
        <v>18.555555555555557</v>
      </c>
    </row>
    <row r="44" spans="1:24" x14ac:dyDescent="0.25">
      <c r="A44" t="s">
        <v>162</v>
      </c>
      <c r="B44" s="8">
        <f t="shared" si="4"/>
        <v>45586</v>
      </c>
      <c r="C44" s="22">
        <v>77368</v>
      </c>
      <c r="D44" s="22">
        <v>70335</v>
      </c>
      <c r="E44">
        <v>63051</v>
      </c>
      <c r="F44" s="30">
        <f t="shared" si="6"/>
        <v>-7284</v>
      </c>
      <c r="G44" s="24">
        <f t="shared" si="1"/>
        <v>-10.35615269780337</v>
      </c>
      <c r="H44">
        <v>2253</v>
      </c>
      <c r="I44">
        <v>2092</v>
      </c>
      <c r="J44">
        <f t="shared" si="7"/>
        <v>-161</v>
      </c>
      <c r="K44" s="25">
        <f t="shared" si="8"/>
        <v>-7.146027518863737</v>
      </c>
    </row>
    <row r="45" spans="1:24" x14ac:dyDescent="0.25">
      <c r="A45" t="s">
        <v>163</v>
      </c>
      <c r="B45" s="8">
        <f t="shared" si="4"/>
        <v>45593</v>
      </c>
      <c r="C45" s="22">
        <v>80225</v>
      </c>
      <c r="D45" s="22">
        <v>72931</v>
      </c>
      <c r="E45">
        <v>68945</v>
      </c>
      <c r="F45" s="30">
        <f t="shared" si="6"/>
        <v>-3986</v>
      </c>
      <c r="G45" s="24">
        <f t="shared" si="1"/>
        <v>-5.4654399363782202</v>
      </c>
      <c r="H45">
        <v>2353</v>
      </c>
      <c r="I45">
        <v>2177</v>
      </c>
      <c r="J45">
        <f t="shared" si="7"/>
        <v>-176</v>
      </c>
      <c r="K45" s="25">
        <f t="shared" si="8"/>
        <v>-7.4798130046748827</v>
      </c>
    </row>
    <row r="46" spans="1:24" x14ac:dyDescent="0.25">
      <c r="A46" t="s">
        <v>164</v>
      </c>
      <c r="B46" s="8">
        <f t="shared" si="4"/>
        <v>45600</v>
      </c>
      <c r="C46" s="22">
        <v>80925</v>
      </c>
      <c r="D46" s="22">
        <v>73568</v>
      </c>
      <c r="E46">
        <v>82258</v>
      </c>
      <c r="F46" s="30">
        <f t="shared" si="6"/>
        <v>8690</v>
      </c>
      <c r="G46" s="24">
        <f t="shared" si="1"/>
        <v>11.812200956937799</v>
      </c>
      <c r="H46">
        <v>2395</v>
      </c>
      <c r="I46">
        <v>2501</v>
      </c>
      <c r="J46">
        <f t="shared" si="7"/>
        <v>106</v>
      </c>
      <c r="K46" s="25">
        <f t="shared" si="8"/>
        <v>4.4258872651356995</v>
      </c>
    </row>
    <row r="47" spans="1:24" x14ac:dyDescent="0.25">
      <c r="A47" t="s">
        <v>165</v>
      </c>
      <c r="B47" s="8">
        <f t="shared" si="4"/>
        <v>45607</v>
      </c>
      <c r="C47" s="22">
        <v>85911</v>
      </c>
      <c r="D47" s="22">
        <v>78101</v>
      </c>
      <c r="E47">
        <v>70123</v>
      </c>
      <c r="F47" s="30">
        <f t="shared" si="6"/>
        <v>-7978</v>
      </c>
      <c r="G47" s="24">
        <f t="shared" si="1"/>
        <v>-10.214978041254273</v>
      </c>
      <c r="H47">
        <v>2353</v>
      </c>
      <c r="I47">
        <v>2092</v>
      </c>
      <c r="J47">
        <f t="shared" si="7"/>
        <v>-261</v>
      </c>
      <c r="K47" s="25">
        <f t="shared" si="8"/>
        <v>-11.092222694432639</v>
      </c>
    </row>
    <row r="48" spans="1:24" x14ac:dyDescent="0.25">
      <c r="A48" t="s">
        <v>166</v>
      </c>
      <c r="B48" s="8">
        <f t="shared" si="4"/>
        <v>45614</v>
      </c>
      <c r="C48" s="22">
        <v>87177</v>
      </c>
      <c r="D48" s="22">
        <v>79251</v>
      </c>
      <c r="E48">
        <v>75086</v>
      </c>
      <c r="F48" s="30">
        <f t="shared" si="6"/>
        <v>-4165</v>
      </c>
      <c r="G48" s="24">
        <f t="shared" si="1"/>
        <v>-5.255454189852494</v>
      </c>
      <c r="H48">
        <v>2456</v>
      </c>
      <c r="I48">
        <v>2320</v>
      </c>
      <c r="J48">
        <f t="shared" si="7"/>
        <v>-136</v>
      </c>
      <c r="K48" s="25">
        <f t="shared" si="8"/>
        <v>-5.5374592833876219</v>
      </c>
    </row>
    <row r="49" spans="1:11" x14ac:dyDescent="0.25">
      <c r="A49" t="s">
        <v>167</v>
      </c>
      <c r="B49" s="8">
        <f t="shared" si="4"/>
        <v>45621</v>
      </c>
      <c r="C49" s="22">
        <v>67065</v>
      </c>
      <c r="D49" s="22">
        <v>60968</v>
      </c>
      <c r="E49">
        <v>69658</v>
      </c>
      <c r="F49" s="30">
        <f t="shared" si="6"/>
        <v>8690</v>
      </c>
      <c r="G49" s="24">
        <f t="shared" si="1"/>
        <v>14.253378821676945</v>
      </c>
      <c r="H49">
        <v>1849</v>
      </c>
      <c r="I49">
        <v>2135</v>
      </c>
      <c r="J49">
        <f t="shared" si="7"/>
        <v>286</v>
      </c>
      <c r="K49" s="25">
        <f t="shared" si="8"/>
        <v>15.467820443482964</v>
      </c>
    </row>
    <row r="50" spans="1:11" x14ac:dyDescent="0.25">
      <c r="A50" t="s">
        <v>168</v>
      </c>
      <c r="B50" s="8">
        <f t="shared" si="4"/>
        <v>45628</v>
      </c>
      <c r="C50" s="22">
        <v>82592</v>
      </c>
      <c r="D50" s="22">
        <v>75083</v>
      </c>
      <c r="E50">
        <v>76219</v>
      </c>
      <c r="F50" s="30">
        <f t="shared" si="6"/>
        <v>1136</v>
      </c>
      <c r="G50" s="24">
        <f t="shared" si="1"/>
        <v>1.5129922885340223</v>
      </c>
      <c r="H50">
        <v>2391</v>
      </c>
      <c r="I50">
        <v>2364</v>
      </c>
      <c r="J50">
        <f t="shared" si="7"/>
        <v>-27</v>
      </c>
      <c r="K50" s="25">
        <f t="shared" si="8"/>
        <v>-1.1292346298619824</v>
      </c>
    </row>
    <row r="51" spans="1:11" x14ac:dyDescent="0.25">
      <c r="A51" t="s">
        <v>169</v>
      </c>
      <c r="B51" s="8">
        <f t="shared" si="4"/>
        <v>45635</v>
      </c>
      <c r="C51" s="22">
        <v>70616</v>
      </c>
      <c r="D51" s="22">
        <v>64196</v>
      </c>
      <c r="E51">
        <v>70803</v>
      </c>
      <c r="F51" s="30">
        <f t="shared" si="6"/>
        <v>6607</v>
      </c>
      <c r="G51" s="24">
        <f t="shared" si="1"/>
        <v>10.29191849959499</v>
      </c>
      <c r="H51">
        <v>1989</v>
      </c>
      <c r="I51">
        <v>2272</v>
      </c>
      <c r="J51">
        <f t="shared" si="7"/>
        <v>283</v>
      </c>
      <c r="K51" s="25">
        <f t="shared" si="8"/>
        <v>14.228255404725992</v>
      </c>
    </row>
    <row r="52" spans="1:11" x14ac:dyDescent="0.25">
      <c r="A52" t="s">
        <v>170</v>
      </c>
      <c r="B52" s="8">
        <f t="shared" si="4"/>
        <v>45642</v>
      </c>
      <c r="C52" s="22">
        <v>86100</v>
      </c>
      <c r="D52" s="22">
        <v>78273</v>
      </c>
      <c r="E52">
        <v>70317</v>
      </c>
      <c r="F52" s="30">
        <f t="shared" si="6"/>
        <v>-7956</v>
      </c>
      <c r="G52" s="24">
        <f t="shared" si="1"/>
        <v>-10.164424514200299</v>
      </c>
      <c r="H52">
        <v>2440</v>
      </c>
      <c r="I52">
        <v>2135</v>
      </c>
      <c r="J52">
        <f t="shared" si="7"/>
        <v>-305</v>
      </c>
      <c r="K52" s="25">
        <f t="shared" si="8"/>
        <v>-12.5</v>
      </c>
    </row>
    <row r="53" spans="1:11" x14ac:dyDescent="0.25">
      <c r="A53" t="s">
        <v>171</v>
      </c>
      <c r="B53" s="8">
        <f t="shared" si="4"/>
        <v>45649</v>
      </c>
      <c r="C53" s="22">
        <v>70578</v>
      </c>
      <c r="D53" s="22">
        <v>64162</v>
      </c>
      <c r="E53">
        <v>80459</v>
      </c>
      <c r="F53" s="30">
        <f t="shared" si="6"/>
        <v>16297</v>
      </c>
      <c r="G53" s="24">
        <f t="shared" si="1"/>
        <v>25.399769333873632</v>
      </c>
      <c r="H53">
        <v>2046</v>
      </c>
      <c r="I53">
        <v>2966</v>
      </c>
      <c r="J53">
        <f t="shared" si="7"/>
        <v>920</v>
      </c>
      <c r="K53" s="25">
        <f t="shared" si="8"/>
        <v>44.965786901270775</v>
      </c>
    </row>
    <row r="54" spans="1:11" x14ac:dyDescent="0.25">
      <c r="B54" s="8"/>
      <c r="C54" s="22"/>
      <c r="D54" s="22"/>
      <c r="G54" s="24"/>
      <c r="K54" s="25"/>
    </row>
    <row r="55" spans="1:11" s="1" customFormat="1" x14ac:dyDescent="0.25">
      <c r="C55" s="26">
        <f>SUM(C2:C54)</f>
        <v>3950991</v>
      </c>
      <c r="D55" s="26">
        <f>SUM(D2:D54)</f>
        <v>3591806</v>
      </c>
      <c r="E55" s="27">
        <f>SUM(E2:E54)</f>
        <v>3609741</v>
      </c>
      <c r="F55" s="27">
        <f>SUM(F2:F54)</f>
        <v>17935</v>
      </c>
      <c r="G55" s="28">
        <f>100*(F55)/(E55-F55)</f>
        <v>0.49933097722983927</v>
      </c>
      <c r="I55" s="1">
        <f>SUM(I2:I54)</f>
        <v>115272</v>
      </c>
      <c r="J55" s="1">
        <f>SUM(J2:J54)</f>
        <v>1173</v>
      </c>
      <c r="K55" s="29">
        <f>100*(J55)/(I55-J55)</f>
        <v>1.0280545841768991</v>
      </c>
    </row>
    <row r="56" spans="1:11" x14ac:dyDescent="0.25">
      <c r="B56" t="s">
        <v>172</v>
      </c>
      <c r="C56" s="22">
        <f>SUM(C2:C54)/52</f>
        <v>75980.596153846156</v>
      </c>
      <c r="D56" s="22">
        <f>SUM(D2:D54)/52</f>
        <v>69073.192307692312</v>
      </c>
    </row>
    <row r="57" spans="1:11" x14ac:dyDescent="0.25">
      <c r="C57" s="22"/>
      <c r="D57" s="22"/>
    </row>
    <row r="58" spans="1:11" x14ac:dyDescent="0.25">
      <c r="C58" s="22"/>
      <c r="D58" s="22"/>
    </row>
    <row r="59" spans="1:11" x14ac:dyDescent="0.25">
      <c r="C59" s="22"/>
      <c r="D59" s="22"/>
    </row>
    <row r="60" spans="1:11" x14ac:dyDescent="0.25">
      <c r="C60" s="22"/>
      <c r="D60" s="22"/>
    </row>
    <row r="61" spans="1:11" x14ac:dyDescent="0.25">
      <c r="C61" s="22"/>
      <c r="D61" s="22"/>
    </row>
    <row r="62" spans="1:11" x14ac:dyDescent="0.25">
      <c r="C62" s="22"/>
      <c r="D62" s="22"/>
    </row>
    <row r="63" spans="1:11" x14ac:dyDescent="0.25">
      <c r="C63" s="22"/>
      <c r="D63" s="22"/>
    </row>
    <row r="64" spans="1:11" x14ac:dyDescent="0.25">
      <c r="C64" s="22"/>
      <c r="D64" s="22"/>
    </row>
    <row r="65" spans="1:7" x14ac:dyDescent="0.25">
      <c r="C65" s="22"/>
      <c r="D65" s="22"/>
    </row>
    <row r="66" spans="1:7" x14ac:dyDescent="0.25">
      <c r="C66" s="22"/>
      <c r="D66" s="22"/>
    </row>
    <row r="67" spans="1:7" x14ac:dyDescent="0.25">
      <c r="C67" s="22"/>
      <c r="D67" s="22"/>
    </row>
    <row r="68" spans="1:7" x14ac:dyDescent="0.25">
      <c r="C68" s="22"/>
      <c r="D68" s="22"/>
    </row>
    <row r="69" spans="1:7" x14ac:dyDescent="0.25">
      <c r="A69" s="108"/>
      <c r="B69" s="108"/>
      <c r="C69" s="108"/>
      <c r="D69" s="108"/>
      <c r="E69" s="108"/>
      <c r="F69" s="108"/>
      <c r="G69" s="108"/>
    </row>
  </sheetData>
  <autoFilter ref="A1:K1" xr:uid="{7309DF63-BE21-422C-812E-31196AB6AEDF}"/>
  <mergeCells count="3">
    <mergeCell ref="A69:G69"/>
    <mergeCell ref="AA8:AB8"/>
    <mergeCell ref="R34:X34"/>
  </mergeCells>
  <phoneticPr fontId="7" type="noConversion"/>
  <conditionalFormatting sqref="C2:C53">
    <cfRule type="cellIs" dxfId="1" priority="4" operator="greaterThan">
      <formula>$C$56</formula>
    </cfRule>
  </conditionalFormatting>
  <conditionalFormatting sqref="D2:D53">
    <cfRule type="cellIs" dxfId="0" priority="2" operator="greaterThan">
      <formula>69261</formula>
    </cfRule>
    <cfRule type="aboveAverage" priority="3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9A71-C410-4763-BD3C-1AB2E7DD63B2}">
  <dimension ref="A1:T55"/>
  <sheetViews>
    <sheetView workbookViewId="0">
      <selection activeCell="E3" sqref="E3"/>
    </sheetView>
  </sheetViews>
  <sheetFormatPr defaultRowHeight="15" x14ac:dyDescent="0.25"/>
  <cols>
    <col min="3" max="3" width="15.28515625" bestFit="1" customWidth="1"/>
    <col min="4" max="5" width="14.28515625" bestFit="1" customWidth="1"/>
    <col min="6" max="6" width="15" bestFit="1" customWidth="1"/>
    <col min="7" max="7" width="7.28515625" bestFit="1" customWidth="1"/>
    <col min="8" max="8" width="5.5703125" bestFit="1" customWidth="1"/>
    <col min="9" max="9" width="7" bestFit="1" customWidth="1"/>
    <col min="10" max="10" width="10.7109375" bestFit="1" customWidth="1"/>
    <col min="12" max="13" width="9.85546875" bestFit="1" customWidth="1"/>
  </cols>
  <sheetData>
    <row r="1" spans="1:20" x14ac:dyDescent="0.25">
      <c r="J1" s="55" t="s">
        <v>222</v>
      </c>
      <c r="K1" s="54">
        <v>0.02</v>
      </c>
    </row>
    <row r="2" spans="1:20" x14ac:dyDescent="0.25">
      <c r="A2" s="50" t="s">
        <v>115</v>
      </c>
      <c r="B2" s="50" t="s">
        <v>15</v>
      </c>
      <c r="C2" s="51" t="s">
        <v>116</v>
      </c>
      <c r="D2" s="56">
        <v>2024</v>
      </c>
      <c r="E2" s="50">
        <v>2025</v>
      </c>
      <c r="F2" s="50" t="s">
        <v>117</v>
      </c>
      <c r="G2" s="50" t="s">
        <v>118</v>
      </c>
      <c r="H2" s="52">
        <v>2024</v>
      </c>
      <c r="I2" s="52">
        <v>2025</v>
      </c>
      <c r="J2" s="53" t="s">
        <v>119</v>
      </c>
      <c r="K2" s="52" t="s">
        <v>118</v>
      </c>
    </row>
    <row r="3" spans="1:20" x14ac:dyDescent="0.25">
      <c r="A3" t="s">
        <v>120</v>
      </c>
      <c r="B3" s="8">
        <v>45656</v>
      </c>
      <c r="C3" s="22">
        <f>D3+D3*$K$1</f>
        <v>65740.02</v>
      </c>
      <c r="D3" s="62">
        <v>64451</v>
      </c>
      <c r="E3" s="39">
        <v>59221</v>
      </c>
      <c r="F3" s="30">
        <f t="shared" ref="F3:F29" si="0">E3-D3</f>
        <v>-5230</v>
      </c>
      <c r="G3" s="24">
        <f>100*(E3-D3)/D3</f>
        <v>-8.114691781353276</v>
      </c>
      <c r="H3" s="63">
        <v>1966</v>
      </c>
      <c r="I3" s="63">
        <v>1866</v>
      </c>
      <c r="J3" s="48">
        <f t="shared" ref="J3:J28" si="1">I3-H3</f>
        <v>-100</v>
      </c>
      <c r="K3" s="49">
        <f t="shared" ref="K3:K54" si="2">100*(I3-H3)/H3</f>
        <v>-5.0864699898270604</v>
      </c>
      <c r="L3" s="85">
        <f>E3*0.04</f>
        <v>2368.84</v>
      </c>
      <c r="M3" s="85">
        <f>SUM(L3-(L3*0.015)-105)</f>
        <v>2228.3074000000001</v>
      </c>
      <c r="P3" s="62"/>
      <c r="Q3" s="60"/>
      <c r="S3" s="63"/>
      <c r="T3" s="61"/>
    </row>
    <row r="4" spans="1:20" x14ac:dyDescent="0.25">
      <c r="A4" t="s">
        <v>121</v>
      </c>
      <c r="B4" s="8">
        <f>B3+7</f>
        <v>45663</v>
      </c>
      <c r="C4" s="22">
        <f>D4+D4*$K$1</f>
        <v>78943.92</v>
      </c>
      <c r="D4" s="62">
        <v>77396</v>
      </c>
      <c r="E4" s="39">
        <v>74030</v>
      </c>
      <c r="F4" s="30">
        <f t="shared" si="0"/>
        <v>-3366</v>
      </c>
      <c r="G4" s="24">
        <f t="shared" ref="G4:G54" si="3">100*(E4-D4)/D4</f>
        <v>-4.3490619670267199</v>
      </c>
      <c r="H4" s="63">
        <v>2378</v>
      </c>
      <c r="I4" s="63">
        <v>2229</v>
      </c>
      <c r="J4" s="48">
        <f t="shared" si="1"/>
        <v>-149</v>
      </c>
      <c r="K4" s="49">
        <f t="shared" si="2"/>
        <v>-6.2657695542472664</v>
      </c>
      <c r="L4" s="85">
        <f t="shared" ref="L4:L29" si="4">E4*0.04</f>
        <v>2961.2000000000003</v>
      </c>
      <c r="M4" s="85">
        <f t="shared" ref="M4:M29" si="5">SUM(L4-(L4*0.015)-105)</f>
        <v>2811.7820000000002</v>
      </c>
      <c r="P4" s="62"/>
      <c r="Q4" s="60"/>
      <c r="S4" s="63"/>
      <c r="T4" s="61"/>
    </row>
    <row r="5" spans="1:20" x14ac:dyDescent="0.25">
      <c r="A5" t="s">
        <v>122</v>
      </c>
      <c r="B5" s="8">
        <f>B4+7</f>
        <v>45670</v>
      </c>
      <c r="C5" s="22">
        <f t="shared" ref="C5:C54" si="6">D5+D5*$K$1</f>
        <v>66902.820000000007</v>
      </c>
      <c r="D5" s="62">
        <v>65591</v>
      </c>
      <c r="E5" s="39">
        <v>64335</v>
      </c>
      <c r="F5" s="30">
        <f t="shared" si="0"/>
        <v>-1256</v>
      </c>
      <c r="G5" s="24">
        <f t="shared" si="3"/>
        <v>-1.9148968608498118</v>
      </c>
      <c r="H5" s="63">
        <v>2044</v>
      </c>
      <c r="I5" s="63">
        <v>2006</v>
      </c>
      <c r="J5" s="48">
        <f t="shared" si="1"/>
        <v>-38</v>
      </c>
      <c r="K5" s="49">
        <f t="shared" si="2"/>
        <v>-1.8590998043052838</v>
      </c>
      <c r="L5" s="85">
        <f t="shared" si="4"/>
        <v>2573.4</v>
      </c>
      <c r="M5" s="85">
        <f t="shared" si="5"/>
        <v>2429.799</v>
      </c>
      <c r="P5" s="62"/>
      <c r="Q5" s="60"/>
      <c r="S5" s="63"/>
      <c r="T5" s="61"/>
    </row>
    <row r="6" spans="1:20" x14ac:dyDescent="0.25">
      <c r="A6" t="s">
        <v>123</v>
      </c>
      <c r="B6" s="8">
        <f>B5+7</f>
        <v>45677</v>
      </c>
      <c r="C6" s="22">
        <f t="shared" si="6"/>
        <v>89868.12</v>
      </c>
      <c r="D6" s="62">
        <v>88106</v>
      </c>
      <c r="E6" s="39">
        <v>68936</v>
      </c>
      <c r="F6" s="30">
        <f t="shared" si="0"/>
        <v>-19170</v>
      </c>
      <c r="G6" s="24">
        <f t="shared" si="3"/>
        <v>-21.757882550564094</v>
      </c>
      <c r="H6" s="63">
        <v>3427</v>
      </c>
      <c r="I6" s="63">
        <v>2240</v>
      </c>
      <c r="J6" s="48">
        <f t="shared" si="1"/>
        <v>-1187</v>
      </c>
      <c r="K6" s="49">
        <f t="shared" si="2"/>
        <v>-34.636708491391886</v>
      </c>
      <c r="L6" s="85">
        <f t="shared" si="4"/>
        <v>2757.44</v>
      </c>
      <c r="M6" s="85">
        <f t="shared" si="5"/>
        <v>2611.0783999999999</v>
      </c>
      <c r="P6" s="62"/>
      <c r="Q6" s="60"/>
      <c r="S6" s="63"/>
      <c r="T6" s="61"/>
    </row>
    <row r="7" spans="1:20" x14ac:dyDescent="0.25">
      <c r="A7" t="s">
        <v>124</v>
      </c>
      <c r="B7" s="8">
        <f t="shared" ref="B7:B54" si="7">B6+7</f>
        <v>45684</v>
      </c>
      <c r="C7" s="22">
        <f t="shared" si="6"/>
        <v>62204.7</v>
      </c>
      <c r="D7" s="62">
        <v>60985</v>
      </c>
      <c r="E7" s="39">
        <v>63651</v>
      </c>
      <c r="F7" s="22">
        <f t="shared" si="0"/>
        <v>2666</v>
      </c>
      <c r="G7" s="24">
        <f t="shared" si="3"/>
        <v>4.3715667787160779</v>
      </c>
      <c r="H7" s="63">
        <v>1914</v>
      </c>
      <c r="I7" s="63">
        <v>2028</v>
      </c>
      <c r="J7" s="48">
        <f t="shared" si="1"/>
        <v>114</v>
      </c>
      <c r="K7" s="49">
        <f t="shared" si="2"/>
        <v>5.9561128526645772</v>
      </c>
      <c r="L7" s="85">
        <f t="shared" si="4"/>
        <v>2546.04</v>
      </c>
      <c r="M7" s="85">
        <f t="shared" si="5"/>
        <v>2402.8494000000001</v>
      </c>
      <c r="P7" s="62"/>
      <c r="Q7" s="60"/>
      <c r="S7" s="63"/>
      <c r="T7" s="61"/>
    </row>
    <row r="8" spans="1:20" x14ac:dyDescent="0.25">
      <c r="A8" t="s">
        <v>125</v>
      </c>
      <c r="B8" s="8">
        <f t="shared" si="7"/>
        <v>45691</v>
      </c>
      <c r="C8" s="22">
        <f t="shared" si="6"/>
        <v>74354.94</v>
      </c>
      <c r="D8" s="62">
        <v>72897</v>
      </c>
      <c r="E8" s="39">
        <v>72828</v>
      </c>
      <c r="F8" s="22">
        <f t="shared" si="0"/>
        <v>-69</v>
      </c>
      <c r="G8" s="24">
        <f t="shared" si="3"/>
        <v>-9.4654100991810361E-2</v>
      </c>
      <c r="H8" s="63">
        <v>2534</v>
      </c>
      <c r="I8" s="63">
        <v>2329</v>
      </c>
      <c r="J8" s="48">
        <f t="shared" si="1"/>
        <v>-205</v>
      </c>
      <c r="K8" s="49">
        <f t="shared" si="2"/>
        <v>-8.0899763220205205</v>
      </c>
      <c r="L8" s="85">
        <f t="shared" si="4"/>
        <v>2913.12</v>
      </c>
      <c r="M8" s="85">
        <f t="shared" si="5"/>
        <v>2764.4231999999997</v>
      </c>
      <c r="P8" s="62"/>
      <c r="Q8" s="60"/>
      <c r="S8" s="63"/>
      <c r="T8" s="61"/>
    </row>
    <row r="9" spans="1:20" x14ac:dyDescent="0.25">
      <c r="A9" t="s">
        <v>126</v>
      </c>
      <c r="B9" s="8">
        <f t="shared" si="7"/>
        <v>45698</v>
      </c>
      <c r="C9" s="22">
        <f t="shared" si="6"/>
        <v>69978.12</v>
      </c>
      <c r="D9" s="62">
        <v>68606</v>
      </c>
      <c r="E9" s="39">
        <v>59254</v>
      </c>
      <c r="F9" s="22">
        <f t="shared" si="0"/>
        <v>-9352</v>
      </c>
      <c r="G9" s="24">
        <f t="shared" si="3"/>
        <v>-13.63146080517739</v>
      </c>
      <c r="H9" s="63">
        <v>2222</v>
      </c>
      <c r="I9" s="63">
        <v>1821</v>
      </c>
      <c r="J9" s="48">
        <f t="shared" si="1"/>
        <v>-401</v>
      </c>
      <c r="K9" s="49">
        <f t="shared" si="2"/>
        <v>-18.046804680468046</v>
      </c>
      <c r="L9" s="85">
        <f t="shared" si="4"/>
        <v>2370.16</v>
      </c>
      <c r="M9" s="85">
        <f t="shared" si="5"/>
        <v>2229.6075999999998</v>
      </c>
      <c r="P9" s="62"/>
      <c r="Q9" s="60"/>
      <c r="S9" s="63"/>
      <c r="T9" s="61"/>
    </row>
    <row r="10" spans="1:20" x14ac:dyDescent="0.25">
      <c r="A10" t="s">
        <v>127</v>
      </c>
      <c r="B10" s="8">
        <f t="shared" si="7"/>
        <v>45705</v>
      </c>
      <c r="C10" s="22">
        <f t="shared" si="6"/>
        <v>67762.679999999993</v>
      </c>
      <c r="D10" s="62">
        <v>66434</v>
      </c>
      <c r="E10" s="22">
        <v>64763</v>
      </c>
      <c r="F10" s="22">
        <f t="shared" si="0"/>
        <v>-1671</v>
      </c>
      <c r="G10" s="24">
        <f t="shared" si="3"/>
        <v>-2.5152783213414818</v>
      </c>
      <c r="H10" s="63">
        <v>2044</v>
      </c>
      <c r="I10" s="67">
        <v>2057</v>
      </c>
      <c r="J10" s="48">
        <f t="shared" si="1"/>
        <v>13</v>
      </c>
      <c r="K10" s="49">
        <f t="shared" si="2"/>
        <v>0.63600782778864973</v>
      </c>
      <c r="L10" s="85">
        <f t="shared" si="4"/>
        <v>2590.52</v>
      </c>
      <c r="M10" s="85">
        <f t="shared" si="5"/>
        <v>2446.6621999999998</v>
      </c>
      <c r="P10" s="62"/>
      <c r="Q10" s="58"/>
    </row>
    <row r="11" spans="1:20" x14ac:dyDescent="0.25">
      <c r="A11" t="s">
        <v>128</v>
      </c>
      <c r="B11" s="8">
        <f t="shared" si="7"/>
        <v>45712</v>
      </c>
      <c r="C11" s="22">
        <f t="shared" si="6"/>
        <v>69215.16</v>
      </c>
      <c r="D11" s="62">
        <v>67858</v>
      </c>
      <c r="E11" s="22">
        <v>64340</v>
      </c>
      <c r="F11" s="22">
        <f t="shared" si="0"/>
        <v>-3518</v>
      </c>
      <c r="G11" s="24">
        <f t="shared" si="3"/>
        <v>-5.184355566034955</v>
      </c>
      <c r="H11" s="63">
        <v>2156</v>
      </c>
      <c r="I11" s="48">
        <v>2048</v>
      </c>
      <c r="J11" s="48">
        <f t="shared" si="1"/>
        <v>-108</v>
      </c>
      <c r="K11" s="49">
        <f t="shared" si="2"/>
        <v>-5.0092764378478662</v>
      </c>
      <c r="L11" s="85">
        <f t="shared" si="4"/>
        <v>2573.6</v>
      </c>
      <c r="M11" s="85">
        <f t="shared" si="5"/>
        <v>2429.9960000000001</v>
      </c>
      <c r="P11" s="62"/>
      <c r="Q11" s="58"/>
    </row>
    <row r="12" spans="1:20" x14ac:dyDescent="0.25">
      <c r="A12" t="s">
        <v>129</v>
      </c>
      <c r="B12" s="8">
        <f t="shared" si="7"/>
        <v>45719</v>
      </c>
      <c r="C12" s="22">
        <f t="shared" si="6"/>
        <v>79122.42</v>
      </c>
      <c r="D12" s="62">
        <v>77571</v>
      </c>
      <c r="E12" s="22">
        <v>65530</v>
      </c>
      <c r="F12" s="22">
        <f t="shared" si="0"/>
        <v>-12041</v>
      </c>
      <c r="G12" s="24">
        <f t="shared" si="3"/>
        <v>-15.522553531603306</v>
      </c>
      <c r="H12" s="63">
        <v>2321</v>
      </c>
      <c r="I12" s="48">
        <v>2115</v>
      </c>
      <c r="J12" s="48">
        <f t="shared" si="1"/>
        <v>-206</v>
      </c>
      <c r="K12" s="49">
        <f t="shared" si="2"/>
        <v>-8.8754847048685903</v>
      </c>
      <c r="L12" s="85">
        <f t="shared" si="4"/>
        <v>2621.2000000000003</v>
      </c>
      <c r="M12" s="85">
        <f t="shared" si="5"/>
        <v>2476.8820000000001</v>
      </c>
      <c r="P12" s="62"/>
      <c r="Q12" s="58"/>
    </row>
    <row r="13" spans="1:20" x14ac:dyDescent="0.25">
      <c r="A13" t="s">
        <v>130</v>
      </c>
      <c r="B13" s="8">
        <f t="shared" si="7"/>
        <v>45726</v>
      </c>
      <c r="C13" s="22">
        <f t="shared" si="6"/>
        <v>71384.7</v>
      </c>
      <c r="D13" s="62">
        <v>69985</v>
      </c>
      <c r="E13" s="22">
        <v>70077</v>
      </c>
      <c r="F13" s="22">
        <f t="shared" si="0"/>
        <v>92</v>
      </c>
      <c r="G13" s="24">
        <f t="shared" si="3"/>
        <v>0.13145674073015645</v>
      </c>
      <c r="H13" s="63">
        <v>2246</v>
      </c>
      <c r="I13" s="48">
        <v>2368</v>
      </c>
      <c r="J13" s="48">
        <f t="shared" si="1"/>
        <v>122</v>
      </c>
      <c r="K13" s="49">
        <f t="shared" si="2"/>
        <v>5.4318788958147817</v>
      </c>
      <c r="L13" s="85">
        <f t="shared" si="4"/>
        <v>2803.08</v>
      </c>
      <c r="M13" s="85">
        <f t="shared" si="5"/>
        <v>2656.0338000000002</v>
      </c>
      <c r="P13" s="62"/>
      <c r="Q13" s="58"/>
    </row>
    <row r="14" spans="1:20" x14ac:dyDescent="0.25">
      <c r="A14" t="s">
        <v>131</v>
      </c>
      <c r="B14" s="8">
        <f t="shared" si="7"/>
        <v>45733</v>
      </c>
      <c r="C14" s="22">
        <f t="shared" si="6"/>
        <v>66746.759999999995</v>
      </c>
      <c r="D14" s="62">
        <v>65438</v>
      </c>
      <c r="E14" s="22">
        <v>57000</v>
      </c>
      <c r="F14" s="22">
        <f t="shared" si="0"/>
        <v>-8438</v>
      </c>
      <c r="G14" s="24">
        <f t="shared" si="3"/>
        <v>-12.894648369448944</v>
      </c>
      <c r="H14" s="63">
        <v>2038</v>
      </c>
      <c r="I14" s="48">
        <v>1857</v>
      </c>
      <c r="J14" s="48">
        <f t="shared" si="1"/>
        <v>-181</v>
      </c>
      <c r="K14" s="49">
        <f>100*(I14-H14)/H14</f>
        <v>-8.8812561334641806</v>
      </c>
      <c r="L14" s="85">
        <f t="shared" si="4"/>
        <v>2280</v>
      </c>
      <c r="M14" s="85">
        <f t="shared" si="5"/>
        <v>2140.8000000000002</v>
      </c>
      <c r="P14" s="62"/>
      <c r="Q14" s="58"/>
    </row>
    <row r="15" spans="1:20" x14ac:dyDescent="0.25">
      <c r="A15" t="s">
        <v>132</v>
      </c>
      <c r="B15" s="8">
        <f t="shared" si="7"/>
        <v>45740</v>
      </c>
      <c r="C15" s="22">
        <f t="shared" si="6"/>
        <v>69888.36</v>
      </c>
      <c r="D15" s="62">
        <v>68518</v>
      </c>
      <c r="E15" s="22">
        <v>66462</v>
      </c>
      <c r="F15" s="22">
        <f t="shared" si="0"/>
        <v>-2056</v>
      </c>
      <c r="G15" s="24">
        <f t="shared" si="3"/>
        <v>-3.0006713564318863</v>
      </c>
      <c r="H15" s="63">
        <v>2152</v>
      </c>
      <c r="I15" s="48">
        <v>2165</v>
      </c>
      <c r="J15" s="48">
        <f t="shared" si="1"/>
        <v>13</v>
      </c>
      <c r="K15" s="49">
        <f t="shared" si="2"/>
        <v>0.60408921933085502</v>
      </c>
      <c r="L15" s="85">
        <f t="shared" si="4"/>
        <v>2658.48</v>
      </c>
      <c r="M15" s="85">
        <f t="shared" si="5"/>
        <v>2513.6028000000001</v>
      </c>
      <c r="P15" s="62"/>
      <c r="Q15" s="58"/>
    </row>
    <row r="16" spans="1:20" x14ac:dyDescent="0.25">
      <c r="A16" t="s">
        <v>133</v>
      </c>
      <c r="B16" s="8">
        <f t="shared" si="7"/>
        <v>45747</v>
      </c>
      <c r="C16" s="22">
        <f t="shared" si="6"/>
        <v>72502.62</v>
      </c>
      <c r="D16" s="62">
        <v>71081</v>
      </c>
      <c r="E16" s="22">
        <v>61545</v>
      </c>
      <c r="F16" s="22">
        <f t="shared" si="0"/>
        <v>-9536</v>
      </c>
      <c r="G16" s="24">
        <f t="shared" si="3"/>
        <v>-13.415680702297379</v>
      </c>
      <c r="H16" s="63">
        <v>2179</v>
      </c>
      <c r="I16" s="48">
        <v>1966</v>
      </c>
      <c r="J16" s="48">
        <f t="shared" si="1"/>
        <v>-213</v>
      </c>
      <c r="K16" s="49">
        <f t="shared" si="2"/>
        <v>-9.7751262046810456</v>
      </c>
      <c r="L16" s="85">
        <f t="shared" si="4"/>
        <v>2461.8000000000002</v>
      </c>
      <c r="M16" s="85">
        <f t="shared" si="5"/>
        <v>2319.873</v>
      </c>
      <c r="P16" s="62"/>
      <c r="Q16" s="58"/>
    </row>
    <row r="17" spans="1:17" x14ac:dyDescent="0.25">
      <c r="A17" t="s">
        <v>134</v>
      </c>
      <c r="B17" s="8">
        <f t="shared" si="7"/>
        <v>45754</v>
      </c>
      <c r="C17" s="22">
        <f t="shared" si="6"/>
        <v>76542.84</v>
      </c>
      <c r="D17" s="62">
        <v>75042</v>
      </c>
      <c r="E17" s="22">
        <v>68720</v>
      </c>
      <c r="F17" s="22">
        <f t="shared" si="0"/>
        <v>-6322</v>
      </c>
      <c r="G17" s="24">
        <f t="shared" si="3"/>
        <v>-8.4246155486261021</v>
      </c>
      <c r="H17" s="63">
        <v>2329</v>
      </c>
      <c r="I17" s="48">
        <v>2162</v>
      </c>
      <c r="J17" s="48">
        <f t="shared" si="1"/>
        <v>-167</v>
      </c>
      <c r="K17" s="49">
        <f t="shared" si="2"/>
        <v>-7.1704594246457711</v>
      </c>
      <c r="L17" s="85">
        <f t="shared" si="4"/>
        <v>2748.8</v>
      </c>
      <c r="M17" s="85">
        <f t="shared" si="5"/>
        <v>2602.5680000000002</v>
      </c>
      <c r="P17" s="62"/>
      <c r="Q17" s="58"/>
    </row>
    <row r="18" spans="1:17" x14ac:dyDescent="0.25">
      <c r="A18" t="s">
        <v>135</v>
      </c>
      <c r="B18" s="8">
        <f t="shared" si="7"/>
        <v>45761</v>
      </c>
      <c r="C18" s="22">
        <f t="shared" si="6"/>
        <v>58858.080000000002</v>
      </c>
      <c r="D18" s="62">
        <v>57704</v>
      </c>
      <c r="E18" s="22">
        <v>54623</v>
      </c>
      <c r="F18" s="22">
        <f t="shared" si="0"/>
        <v>-3081</v>
      </c>
      <c r="G18" s="24">
        <f t="shared" si="3"/>
        <v>-5.3393178982392904</v>
      </c>
      <c r="H18" s="63">
        <v>1783</v>
      </c>
      <c r="I18" s="48">
        <v>1688</v>
      </c>
      <c r="J18" s="48">
        <f t="shared" si="1"/>
        <v>-95</v>
      </c>
      <c r="K18" s="49">
        <f t="shared" si="2"/>
        <v>-5.3280987100392601</v>
      </c>
      <c r="L18" s="85">
        <f t="shared" si="4"/>
        <v>2184.92</v>
      </c>
      <c r="M18" s="85">
        <f t="shared" si="5"/>
        <v>2047.1462000000001</v>
      </c>
      <c r="P18" s="62"/>
      <c r="Q18" s="58"/>
    </row>
    <row r="19" spans="1:17" x14ac:dyDescent="0.25">
      <c r="A19" t="s">
        <v>136</v>
      </c>
      <c r="B19" s="8">
        <f t="shared" si="7"/>
        <v>45768</v>
      </c>
      <c r="C19" s="22">
        <f t="shared" si="6"/>
        <v>66131.7</v>
      </c>
      <c r="D19" s="62">
        <v>64835</v>
      </c>
      <c r="E19" s="22">
        <v>58668</v>
      </c>
      <c r="F19" s="22">
        <f t="shared" si="0"/>
        <v>-6167</v>
      </c>
      <c r="G19" s="24">
        <f t="shared" si="3"/>
        <v>-9.5118377419603615</v>
      </c>
      <c r="H19" s="63">
        <v>2037</v>
      </c>
      <c r="I19" s="48">
        <v>1929</v>
      </c>
      <c r="J19" s="48">
        <f t="shared" si="1"/>
        <v>-108</v>
      </c>
      <c r="K19" s="49">
        <f t="shared" si="2"/>
        <v>-5.3019145802650955</v>
      </c>
      <c r="L19" s="85">
        <f t="shared" si="4"/>
        <v>2346.7200000000003</v>
      </c>
      <c r="M19" s="85">
        <f t="shared" si="5"/>
        <v>2206.5192000000002</v>
      </c>
      <c r="P19" s="62"/>
      <c r="Q19" s="58"/>
    </row>
    <row r="20" spans="1:17" x14ac:dyDescent="0.25">
      <c r="A20" t="s">
        <v>137</v>
      </c>
      <c r="B20" s="8">
        <f t="shared" si="7"/>
        <v>45775</v>
      </c>
      <c r="C20" s="22">
        <f t="shared" si="6"/>
        <v>70983.839999999997</v>
      </c>
      <c r="D20" s="62">
        <v>69592</v>
      </c>
      <c r="E20" s="22">
        <v>60171</v>
      </c>
      <c r="F20" s="22">
        <f t="shared" si="0"/>
        <v>-9421</v>
      </c>
      <c r="G20" s="24">
        <f t="shared" si="3"/>
        <v>-13.537475571904817</v>
      </c>
      <c r="H20" s="63">
        <v>2242</v>
      </c>
      <c r="I20" s="48">
        <v>1855</v>
      </c>
      <c r="J20" s="48">
        <f t="shared" si="1"/>
        <v>-387</v>
      </c>
      <c r="K20" s="49">
        <f t="shared" si="2"/>
        <v>-17.261373773416594</v>
      </c>
      <c r="L20" s="85">
        <f t="shared" si="4"/>
        <v>2406.84</v>
      </c>
      <c r="M20" s="85">
        <f t="shared" si="5"/>
        <v>2265.7374</v>
      </c>
      <c r="P20" s="62"/>
      <c r="Q20" s="58"/>
    </row>
    <row r="21" spans="1:17" x14ac:dyDescent="0.25">
      <c r="A21" t="s">
        <v>138</v>
      </c>
      <c r="B21" s="8">
        <f t="shared" si="7"/>
        <v>45782</v>
      </c>
      <c r="C21" s="22">
        <f t="shared" si="6"/>
        <v>70081.14</v>
      </c>
      <c r="D21" s="62">
        <v>68707</v>
      </c>
      <c r="E21" s="22">
        <v>63079</v>
      </c>
      <c r="F21" s="22">
        <f t="shared" si="0"/>
        <v>-5628</v>
      </c>
      <c r="G21" s="24">
        <f t="shared" si="3"/>
        <v>-8.1913051071943173</v>
      </c>
      <c r="H21" s="63">
        <v>2085</v>
      </c>
      <c r="I21" s="48">
        <v>1994</v>
      </c>
      <c r="J21" s="48">
        <f t="shared" si="1"/>
        <v>-91</v>
      </c>
      <c r="K21" s="49">
        <f t="shared" si="2"/>
        <v>-4.3645083932853721</v>
      </c>
      <c r="L21" s="85">
        <f t="shared" si="4"/>
        <v>2523.16</v>
      </c>
      <c r="M21" s="85">
        <f t="shared" si="5"/>
        <v>2380.3125999999997</v>
      </c>
      <c r="P21" s="62"/>
      <c r="Q21" s="58"/>
    </row>
    <row r="22" spans="1:17" x14ac:dyDescent="0.25">
      <c r="A22" t="s">
        <v>139</v>
      </c>
      <c r="B22" s="8">
        <f t="shared" si="7"/>
        <v>45789</v>
      </c>
      <c r="C22" s="22">
        <f t="shared" si="6"/>
        <v>57229.14</v>
      </c>
      <c r="D22" s="62">
        <v>56107</v>
      </c>
      <c r="E22" s="22">
        <v>61789</v>
      </c>
      <c r="F22" s="22">
        <f t="shared" si="0"/>
        <v>5682</v>
      </c>
      <c r="G22" s="24">
        <f t="shared" si="3"/>
        <v>10.127078617641292</v>
      </c>
      <c r="H22" s="63">
        <v>1685</v>
      </c>
      <c r="I22" s="48">
        <v>2058</v>
      </c>
      <c r="J22" s="48">
        <f t="shared" si="1"/>
        <v>373</v>
      </c>
      <c r="K22" s="49">
        <f t="shared" si="2"/>
        <v>22.136498516320476</v>
      </c>
      <c r="L22" s="85">
        <f t="shared" si="4"/>
        <v>2471.56</v>
      </c>
      <c r="M22" s="85">
        <f t="shared" si="5"/>
        <v>2329.4865999999997</v>
      </c>
      <c r="P22" s="62"/>
      <c r="Q22" s="58"/>
    </row>
    <row r="23" spans="1:17" x14ac:dyDescent="0.25">
      <c r="A23" t="s">
        <v>140</v>
      </c>
      <c r="B23" s="8">
        <f t="shared" si="7"/>
        <v>45796</v>
      </c>
      <c r="C23" s="22">
        <f t="shared" si="6"/>
        <v>78433.919999999998</v>
      </c>
      <c r="D23" s="62">
        <v>76896</v>
      </c>
      <c r="E23" s="22">
        <v>59609</v>
      </c>
      <c r="F23" s="22">
        <f t="shared" si="0"/>
        <v>-17287</v>
      </c>
      <c r="G23" s="24">
        <f>100*(E23-D23)/D23</f>
        <v>-22.481013316687473</v>
      </c>
      <c r="H23" s="63">
        <v>2346</v>
      </c>
      <c r="I23" s="48">
        <v>1925</v>
      </c>
      <c r="J23" s="48">
        <f t="shared" si="1"/>
        <v>-421</v>
      </c>
      <c r="K23" s="49">
        <f t="shared" si="2"/>
        <v>-17.945439045183292</v>
      </c>
      <c r="L23" s="85">
        <f t="shared" si="4"/>
        <v>2384.36</v>
      </c>
      <c r="M23" s="85">
        <f t="shared" si="5"/>
        <v>2243.5946000000004</v>
      </c>
      <c r="P23" s="62"/>
      <c r="Q23" s="58"/>
    </row>
    <row r="24" spans="1:17" x14ac:dyDescent="0.25">
      <c r="A24" t="s">
        <v>141</v>
      </c>
      <c r="B24" s="8">
        <f t="shared" si="7"/>
        <v>45803</v>
      </c>
      <c r="C24" s="22">
        <f t="shared" si="6"/>
        <v>49940.22</v>
      </c>
      <c r="D24" s="62">
        <v>48961</v>
      </c>
      <c r="E24" s="22">
        <v>53000</v>
      </c>
      <c r="F24" s="22">
        <f t="shared" si="0"/>
        <v>4039</v>
      </c>
      <c r="G24" s="24">
        <f t="shared" si="3"/>
        <v>8.2494230101509363</v>
      </c>
      <c r="H24" s="63">
        <v>1631</v>
      </c>
      <c r="I24" s="48">
        <v>1707</v>
      </c>
      <c r="J24" s="48">
        <f t="shared" si="1"/>
        <v>76</v>
      </c>
      <c r="K24" s="49">
        <f t="shared" si="2"/>
        <v>4.6597179644389941</v>
      </c>
      <c r="L24" s="85">
        <f t="shared" si="4"/>
        <v>2120</v>
      </c>
      <c r="M24" s="85">
        <f t="shared" si="5"/>
        <v>1983.1999999999998</v>
      </c>
      <c r="P24" s="62"/>
      <c r="Q24" s="58"/>
    </row>
    <row r="25" spans="1:17" x14ac:dyDescent="0.25">
      <c r="A25" t="s">
        <v>142</v>
      </c>
      <c r="B25" s="8">
        <f t="shared" si="7"/>
        <v>45810</v>
      </c>
      <c r="C25" s="22">
        <f t="shared" si="6"/>
        <v>79166.28</v>
      </c>
      <c r="D25" s="62">
        <v>77614</v>
      </c>
      <c r="E25" s="22">
        <v>66622</v>
      </c>
      <c r="F25" s="22">
        <f t="shared" si="0"/>
        <v>-10992</v>
      </c>
      <c r="G25" s="24">
        <f t="shared" si="3"/>
        <v>-14.162393382637154</v>
      </c>
      <c r="H25" s="63">
        <v>2434</v>
      </c>
      <c r="I25" s="48">
        <v>2097</v>
      </c>
      <c r="J25" s="48">
        <f t="shared" si="1"/>
        <v>-337</v>
      </c>
      <c r="K25" s="49">
        <f t="shared" si="2"/>
        <v>-13.845521774856204</v>
      </c>
      <c r="L25" s="85">
        <f t="shared" si="4"/>
        <v>2664.88</v>
      </c>
      <c r="M25" s="85">
        <f t="shared" si="5"/>
        <v>2519.9068000000002</v>
      </c>
      <c r="P25" s="62"/>
      <c r="Q25" s="58"/>
    </row>
    <row r="26" spans="1:17" x14ac:dyDescent="0.25">
      <c r="A26" t="s">
        <v>143</v>
      </c>
      <c r="B26" s="8">
        <f t="shared" si="7"/>
        <v>45817</v>
      </c>
      <c r="C26" s="22">
        <f t="shared" si="6"/>
        <v>65810.399999999994</v>
      </c>
      <c r="D26" s="62">
        <v>64520</v>
      </c>
      <c r="E26" s="22">
        <v>62215</v>
      </c>
      <c r="F26" s="22">
        <f t="shared" si="0"/>
        <v>-2305</v>
      </c>
      <c r="G26" s="24">
        <f t="shared" si="3"/>
        <v>-3.5725356478611285</v>
      </c>
      <c r="H26" s="63">
        <v>2036</v>
      </c>
      <c r="I26" s="48">
        <v>1892</v>
      </c>
      <c r="J26" s="48">
        <f t="shared" si="1"/>
        <v>-144</v>
      </c>
      <c r="K26" s="49">
        <f t="shared" si="2"/>
        <v>-7.0726915520628681</v>
      </c>
      <c r="L26" s="85">
        <f t="shared" si="4"/>
        <v>2488.6</v>
      </c>
      <c r="M26" s="85">
        <f t="shared" si="5"/>
        <v>2346.2709999999997</v>
      </c>
      <c r="P26" s="62"/>
      <c r="Q26" s="58"/>
    </row>
    <row r="27" spans="1:17" x14ac:dyDescent="0.25">
      <c r="A27" t="s">
        <v>144</v>
      </c>
      <c r="B27" s="8">
        <f t="shared" si="7"/>
        <v>45824</v>
      </c>
      <c r="C27" s="22">
        <f t="shared" si="6"/>
        <v>65626.8</v>
      </c>
      <c r="D27" s="62">
        <v>64340</v>
      </c>
      <c r="E27" s="22">
        <v>64557</v>
      </c>
      <c r="F27" s="22">
        <f t="shared" si="0"/>
        <v>217</v>
      </c>
      <c r="G27" s="24">
        <f t="shared" si="3"/>
        <v>0.3372707491451663</v>
      </c>
      <c r="H27" s="63">
        <v>2059</v>
      </c>
      <c r="I27" s="48">
        <v>1972</v>
      </c>
      <c r="J27" s="48">
        <f t="shared" si="1"/>
        <v>-87</v>
      </c>
      <c r="K27" s="49">
        <f t="shared" si="2"/>
        <v>-4.225352112676056</v>
      </c>
      <c r="L27" s="85">
        <f t="shared" si="4"/>
        <v>2582.2800000000002</v>
      </c>
      <c r="M27" s="85">
        <f t="shared" si="5"/>
        <v>2438.5458000000003</v>
      </c>
      <c r="P27" s="62"/>
      <c r="Q27" s="58"/>
    </row>
    <row r="28" spans="1:17" x14ac:dyDescent="0.25">
      <c r="A28" t="s">
        <v>145</v>
      </c>
      <c r="B28" s="8">
        <f t="shared" si="7"/>
        <v>45831</v>
      </c>
      <c r="C28" s="22">
        <f t="shared" si="6"/>
        <v>66425.460000000006</v>
      </c>
      <c r="D28" s="62">
        <v>65123</v>
      </c>
      <c r="E28" s="22">
        <v>68765</v>
      </c>
      <c r="F28" s="22">
        <f t="shared" si="0"/>
        <v>3642</v>
      </c>
      <c r="G28" s="24">
        <f t="shared" si="3"/>
        <v>5.5924942032768756</v>
      </c>
      <c r="H28" s="63">
        <v>2265</v>
      </c>
      <c r="I28" s="48">
        <v>2223</v>
      </c>
      <c r="J28" s="48">
        <f t="shared" si="1"/>
        <v>-42</v>
      </c>
      <c r="K28" s="49">
        <f t="shared" si="2"/>
        <v>-1.8543046357615893</v>
      </c>
      <c r="L28" s="85">
        <f t="shared" si="4"/>
        <v>2750.6</v>
      </c>
      <c r="M28" s="85">
        <f t="shared" si="5"/>
        <v>2604.3409999999999</v>
      </c>
      <c r="P28" s="62"/>
      <c r="Q28" s="58"/>
    </row>
    <row r="29" spans="1:17" x14ac:dyDescent="0.25">
      <c r="A29" t="s">
        <v>146</v>
      </c>
      <c r="B29" s="8">
        <f t="shared" si="7"/>
        <v>45838</v>
      </c>
      <c r="C29" s="22">
        <f t="shared" si="6"/>
        <v>70761.48</v>
      </c>
      <c r="D29" s="62">
        <v>69374</v>
      </c>
      <c r="E29" s="22">
        <v>62534</v>
      </c>
      <c r="F29" s="22">
        <f t="shared" si="0"/>
        <v>-6840</v>
      </c>
      <c r="G29" s="24">
        <f t="shared" si="3"/>
        <v>-9.8596015798425931</v>
      </c>
      <c r="H29" s="63">
        <v>2208</v>
      </c>
      <c r="I29" s="48"/>
      <c r="J29" s="48"/>
      <c r="K29" s="49">
        <f t="shared" si="2"/>
        <v>-100</v>
      </c>
      <c r="L29" s="85">
        <f t="shared" si="4"/>
        <v>2501.36</v>
      </c>
      <c r="M29" s="85">
        <f t="shared" si="5"/>
        <v>2358.8396000000002</v>
      </c>
      <c r="P29" s="62"/>
      <c r="Q29" s="58"/>
    </row>
    <row r="30" spans="1:17" x14ac:dyDescent="0.25">
      <c r="A30" t="s">
        <v>147</v>
      </c>
      <c r="B30" s="8">
        <f t="shared" si="7"/>
        <v>45845</v>
      </c>
      <c r="C30" s="22">
        <f t="shared" si="6"/>
        <v>62364.84</v>
      </c>
      <c r="D30" s="62">
        <v>61142</v>
      </c>
      <c r="E30" s="22"/>
      <c r="F30" s="22"/>
      <c r="G30" s="24">
        <f t="shared" si="3"/>
        <v>-100</v>
      </c>
      <c r="H30" s="63">
        <v>1860</v>
      </c>
      <c r="I30" s="48"/>
      <c r="J30" s="48"/>
      <c r="K30" s="49">
        <f t="shared" si="2"/>
        <v>-100</v>
      </c>
      <c r="P30" s="62"/>
      <c r="Q30" s="58"/>
    </row>
    <row r="31" spans="1:17" x14ac:dyDescent="0.25">
      <c r="A31" t="s">
        <v>148</v>
      </c>
      <c r="B31" s="8">
        <f t="shared" si="7"/>
        <v>45852</v>
      </c>
      <c r="C31" s="22">
        <f t="shared" si="6"/>
        <v>72705.600000000006</v>
      </c>
      <c r="D31" s="62">
        <v>71280</v>
      </c>
      <c r="E31" s="22"/>
      <c r="F31" s="22"/>
      <c r="G31" s="24">
        <f t="shared" si="3"/>
        <v>-100</v>
      </c>
      <c r="H31" s="63">
        <v>2230</v>
      </c>
      <c r="I31" s="48"/>
      <c r="J31" s="48"/>
      <c r="K31" s="49">
        <f t="shared" si="2"/>
        <v>-100</v>
      </c>
      <c r="P31" s="62"/>
      <c r="Q31" s="58"/>
    </row>
    <row r="32" spans="1:17" x14ac:dyDescent="0.25">
      <c r="A32" t="s">
        <v>149</v>
      </c>
      <c r="B32" s="8">
        <f t="shared" si="7"/>
        <v>45859</v>
      </c>
      <c r="C32" s="22">
        <f t="shared" si="6"/>
        <v>64240.62</v>
      </c>
      <c r="D32" s="62">
        <v>62981</v>
      </c>
      <c r="E32" s="22"/>
      <c r="F32" s="22"/>
      <c r="G32" s="24">
        <f t="shared" si="3"/>
        <v>-100</v>
      </c>
      <c r="H32" s="63">
        <v>1985</v>
      </c>
      <c r="I32" s="48"/>
      <c r="J32" s="48"/>
      <c r="K32" s="49">
        <f t="shared" si="2"/>
        <v>-100</v>
      </c>
      <c r="P32" s="62"/>
      <c r="Q32" s="58"/>
    </row>
    <row r="33" spans="1:17" x14ac:dyDescent="0.25">
      <c r="A33" t="s">
        <v>150</v>
      </c>
      <c r="B33" s="8">
        <f t="shared" si="7"/>
        <v>45866</v>
      </c>
      <c r="C33" s="22">
        <f t="shared" si="6"/>
        <v>55456.38</v>
      </c>
      <c r="D33" s="62">
        <v>54369</v>
      </c>
      <c r="E33" s="22"/>
      <c r="F33" s="22"/>
      <c r="G33" s="24">
        <f t="shared" si="3"/>
        <v>-100</v>
      </c>
      <c r="H33" s="63">
        <v>1762</v>
      </c>
      <c r="I33" s="48"/>
      <c r="J33" s="48"/>
      <c r="K33" s="49">
        <f t="shared" si="2"/>
        <v>-100</v>
      </c>
      <c r="P33" s="62"/>
      <c r="Q33" s="58"/>
    </row>
    <row r="34" spans="1:17" x14ac:dyDescent="0.25">
      <c r="A34" t="s">
        <v>151</v>
      </c>
      <c r="B34" s="8">
        <f t="shared" si="7"/>
        <v>45873</v>
      </c>
      <c r="C34" s="22">
        <f t="shared" si="6"/>
        <v>89145.96</v>
      </c>
      <c r="D34" s="62">
        <v>87398</v>
      </c>
      <c r="E34" s="22"/>
      <c r="F34" s="22"/>
      <c r="G34" s="24">
        <f t="shared" si="3"/>
        <v>-100</v>
      </c>
      <c r="H34" s="63">
        <v>2695</v>
      </c>
      <c r="I34" s="48"/>
      <c r="J34" s="48"/>
      <c r="K34" s="49">
        <f t="shared" si="2"/>
        <v>-100</v>
      </c>
      <c r="P34" s="62"/>
      <c r="Q34" s="58"/>
    </row>
    <row r="35" spans="1:17" x14ac:dyDescent="0.25">
      <c r="A35" t="s">
        <v>152</v>
      </c>
      <c r="B35" s="8">
        <f t="shared" si="7"/>
        <v>45880</v>
      </c>
      <c r="C35" s="22">
        <f t="shared" si="6"/>
        <v>63916.26</v>
      </c>
      <c r="D35" s="62">
        <v>62663</v>
      </c>
      <c r="E35" s="22"/>
      <c r="F35" s="22"/>
      <c r="G35" s="24">
        <f t="shared" si="3"/>
        <v>-100</v>
      </c>
      <c r="H35" s="63">
        <v>1962</v>
      </c>
      <c r="I35" s="48"/>
      <c r="J35" s="48"/>
      <c r="K35" s="49">
        <f t="shared" si="2"/>
        <v>-100</v>
      </c>
      <c r="P35" s="62"/>
      <c r="Q35" s="58"/>
    </row>
    <row r="36" spans="1:17" x14ac:dyDescent="0.25">
      <c r="A36" t="s">
        <v>153</v>
      </c>
      <c r="B36" s="8">
        <f t="shared" si="7"/>
        <v>45887</v>
      </c>
      <c r="C36" s="22">
        <f t="shared" si="6"/>
        <v>74704.800000000003</v>
      </c>
      <c r="D36" s="62">
        <v>73240</v>
      </c>
      <c r="E36" s="22"/>
      <c r="F36" s="22"/>
      <c r="G36" s="24">
        <f t="shared" si="3"/>
        <v>-100</v>
      </c>
      <c r="H36" s="63">
        <v>2286</v>
      </c>
      <c r="I36" s="48"/>
      <c r="J36" s="48"/>
      <c r="K36" s="49">
        <f t="shared" si="2"/>
        <v>-100</v>
      </c>
      <c r="P36" s="62"/>
      <c r="Q36" s="58"/>
    </row>
    <row r="37" spans="1:17" x14ac:dyDescent="0.25">
      <c r="A37" t="s">
        <v>154</v>
      </c>
      <c r="B37" s="8">
        <f t="shared" si="7"/>
        <v>45894</v>
      </c>
      <c r="C37" s="22">
        <f t="shared" si="6"/>
        <v>65892</v>
      </c>
      <c r="D37" s="62">
        <v>64600</v>
      </c>
      <c r="E37" s="22"/>
      <c r="F37" s="22"/>
      <c r="G37" s="24">
        <f t="shared" si="3"/>
        <v>-100</v>
      </c>
      <c r="H37" s="63">
        <v>2226</v>
      </c>
      <c r="I37" s="48"/>
      <c r="J37" s="48"/>
      <c r="K37" s="49">
        <f t="shared" si="2"/>
        <v>-100</v>
      </c>
      <c r="P37" s="62"/>
      <c r="Q37" s="58"/>
    </row>
    <row r="38" spans="1:17" x14ac:dyDescent="0.25">
      <c r="A38" t="s">
        <v>155</v>
      </c>
      <c r="B38" s="8">
        <f t="shared" si="7"/>
        <v>45901</v>
      </c>
      <c r="C38" s="22">
        <f t="shared" si="6"/>
        <v>66273.48</v>
      </c>
      <c r="D38" s="62">
        <v>64974</v>
      </c>
      <c r="E38" s="22"/>
      <c r="F38" s="22"/>
      <c r="G38" s="24">
        <f t="shared" si="3"/>
        <v>-100</v>
      </c>
      <c r="H38" s="63">
        <v>2031</v>
      </c>
      <c r="I38" s="48"/>
      <c r="J38" s="48"/>
      <c r="K38" s="49">
        <f t="shared" si="2"/>
        <v>-100</v>
      </c>
      <c r="P38" s="62"/>
      <c r="Q38" s="58"/>
    </row>
    <row r="39" spans="1:17" x14ac:dyDescent="0.25">
      <c r="A39" t="s">
        <v>156</v>
      </c>
      <c r="B39" s="8">
        <f t="shared" si="7"/>
        <v>45908</v>
      </c>
      <c r="C39" s="22">
        <f t="shared" si="6"/>
        <v>72150.720000000001</v>
      </c>
      <c r="D39" s="62">
        <v>70736</v>
      </c>
      <c r="E39" s="22"/>
      <c r="F39" s="22"/>
      <c r="G39" s="24">
        <f t="shared" si="3"/>
        <v>-100</v>
      </c>
      <c r="H39" s="63">
        <v>2275</v>
      </c>
      <c r="I39" s="48"/>
      <c r="J39" s="48"/>
      <c r="K39" s="49">
        <f t="shared" si="2"/>
        <v>-100</v>
      </c>
      <c r="P39" s="62"/>
      <c r="Q39" s="58"/>
    </row>
    <row r="40" spans="1:17" x14ac:dyDescent="0.25">
      <c r="A40" t="s">
        <v>157</v>
      </c>
      <c r="B40" s="8">
        <f t="shared" si="7"/>
        <v>45915</v>
      </c>
      <c r="C40" s="22">
        <f t="shared" si="6"/>
        <v>65176.98</v>
      </c>
      <c r="D40" s="62">
        <v>63899</v>
      </c>
      <c r="E40" s="22"/>
      <c r="F40" s="22"/>
      <c r="G40" s="24">
        <f t="shared" si="3"/>
        <v>-100</v>
      </c>
      <c r="H40" s="63">
        <v>1963</v>
      </c>
      <c r="I40" s="48"/>
      <c r="J40" s="48"/>
      <c r="K40" s="49">
        <f t="shared" si="2"/>
        <v>-100</v>
      </c>
      <c r="P40" s="62"/>
      <c r="Q40" s="58"/>
    </row>
    <row r="41" spans="1:17" x14ac:dyDescent="0.25">
      <c r="A41" t="s">
        <v>158</v>
      </c>
      <c r="B41" s="8">
        <f t="shared" si="7"/>
        <v>45922</v>
      </c>
      <c r="C41" s="22">
        <f t="shared" si="6"/>
        <v>53942.7</v>
      </c>
      <c r="D41" s="62">
        <v>52885</v>
      </c>
      <c r="E41" s="22"/>
      <c r="F41" s="22"/>
      <c r="G41" s="24">
        <f t="shared" si="3"/>
        <v>-100</v>
      </c>
      <c r="H41" s="63">
        <v>1695</v>
      </c>
      <c r="I41" s="48"/>
      <c r="J41" s="48"/>
      <c r="K41" s="49">
        <f t="shared" si="2"/>
        <v>-100</v>
      </c>
      <c r="P41" s="62"/>
      <c r="Q41" s="58"/>
    </row>
    <row r="42" spans="1:17" x14ac:dyDescent="0.25">
      <c r="A42" t="s">
        <v>159</v>
      </c>
      <c r="B42" s="8">
        <f t="shared" si="7"/>
        <v>45929</v>
      </c>
      <c r="C42" s="22">
        <f t="shared" si="6"/>
        <v>96920.4</v>
      </c>
      <c r="D42" s="62">
        <v>95020</v>
      </c>
      <c r="E42" s="22"/>
      <c r="F42" s="22"/>
      <c r="G42" s="24">
        <f t="shared" si="3"/>
        <v>-100</v>
      </c>
      <c r="H42" s="63">
        <v>2951</v>
      </c>
      <c r="I42" s="48"/>
      <c r="J42" s="48"/>
      <c r="K42" s="49">
        <f t="shared" si="2"/>
        <v>-100</v>
      </c>
      <c r="P42" s="62"/>
      <c r="Q42" s="58"/>
    </row>
    <row r="43" spans="1:17" x14ac:dyDescent="0.25">
      <c r="A43" t="s">
        <v>160</v>
      </c>
      <c r="B43" s="8">
        <f t="shared" si="7"/>
        <v>45936</v>
      </c>
      <c r="C43" s="22">
        <f t="shared" si="6"/>
        <v>60659.4</v>
      </c>
      <c r="D43" s="62">
        <v>59470</v>
      </c>
      <c r="E43" s="22"/>
      <c r="F43" s="22"/>
      <c r="G43" s="24">
        <f t="shared" si="3"/>
        <v>-100</v>
      </c>
      <c r="H43" s="63">
        <v>1850</v>
      </c>
      <c r="I43" s="48"/>
      <c r="J43" s="48"/>
      <c r="K43" s="49">
        <f t="shared" si="2"/>
        <v>-100</v>
      </c>
      <c r="P43" s="62"/>
      <c r="Q43" s="58"/>
    </row>
    <row r="44" spans="1:17" x14ac:dyDescent="0.25">
      <c r="A44" t="s">
        <v>161</v>
      </c>
      <c r="B44" s="8">
        <f t="shared" si="7"/>
        <v>45943</v>
      </c>
      <c r="C44" s="22">
        <f t="shared" si="6"/>
        <v>67913.64</v>
      </c>
      <c r="D44" s="62">
        <v>66582</v>
      </c>
      <c r="E44" s="22"/>
      <c r="F44" s="22"/>
      <c r="G44" s="24">
        <f t="shared" si="3"/>
        <v>-100</v>
      </c>
      <c r="H44" s="63">
        <v>2036</v>
      </c>
      <c r="I44" s="48"/>
      <c r="J44" s="48"/>
      <c r="K44" s="49">
        <f t="shared" si="2"/>
        <v>-100</v>
      </c>
      <c r="P44" s="62"/>
      <c r="Q44" s="58"/>
    </row>
    <row r="45" spans="1:17" x14ac:dyDescent="0.25">
      <c r="A45" t="s">
        <v>162</v>
      </c>
      <c r="B45" s="8">
        <f t="shared" si="7"/>
        <v>45950</v>
      </c>
      <c r="C45" s="22">
        <f t="shared" si="6"/>
        <v>66206.16</v>
      </c>
      <c r="D45" s="62">
        <v>64908</v>
      </c>
      <c r="E45" s="22"/>
      <c r="F45" s="22"/>
      <c r="G45" s="24">
        <f t="shared" si="3"/>
        <v>-100</v>
      </c>
      <c r="H45" s="63">
        <v>2205</v>
      </c>
      <c r="I45" s="48"/>
      <c r="J45" s="48"/>
      <c r="K45" s="49">
        <f t="shared" si="2"/>
        <v>-100</v>
      </c>
      <c r="P45" s="62"/>
      <c r="Q45" s="58"/>
    </row>
    <row r="46" spans="1:17" x14ac:dyDescent="0.25">
      <c r="A46" t="s">
        <v>163</v>
      </c>
      <c r="B46" s="8">
        <f t="shared" si="7"/>
        <v>45957</v>
      </c>
      <c r="C46" s="22">
        <f t="shared" si="6"/>
        <v>66518.28</v>
      </c>
      <c r="D46" s="62">
        <v>65214</v>
      </c>
      <c r="E46" s="22"/>
      <c r="F46" s="22"/>
      <c r="G46" s="24">
        <f t="shared" si="3"/>
        <v>-100</v>
      </c>
      <c r="H46" s="63">
        <v>2022</v>
      </c>
      <c r="I46" s="48"/>
      <c r="J46" s="48"/>
      <c r="K46" s="49">
        <f t="shared" si="2"/>
        <v>-100</v>
      </c>
      <c r="P46" s="62"/>
      <c r="Q46" s="58"/>
    </row>
    <row r="47" spans="1:17" x14ac:dyDescent="0.25">
      <c r="A47" t="s">
        <v>164</v>
      </c>
      <c r="B47" s="8">
        <f t="shared" si="7"/>
        <v>45964</v>
      </c>
      <c r="C47" s="22">
        <f t="shared" si="6"/>
        <v>80177.100000000006</v>
      </c>
      <c r="D47" s="62">
        <v>78605</v>
      </c>
      <c r="E47" s="22"/>
      <c r="F47" s="22"/>
      <c r="G47" s="24">
        <f t="shared" si="3"/>
        <v>-100</v>
      </c>
      <c r="H47" s="63">
        <v>2458</v>
      </c>
      <c r="I47" s="48"/>
      <c r="J47" s="48"/>
      <c r="K47" s="49">
        <f t="shared" si="2"/>
        <v>-100</v>
      </c>
      <c r="P47" s="62"/>
      <c r="Q47" s="58"/>
    </row>
    <row r="48" spans="1:17" x14ac:dyDescent="0.25">
      <c r="A48" t="s">
        <v>165</v>
      </c>
      <c r="B48" s="8">
        <f t="shared" si="7"/>
        <v>45971</v>
      </c>
      <c r="C48" s="22">
        <f t="shared" si="6"/>
        <v>71380.62</v>
      </c>
      <c r="D48" s="62">
        <v>69981</v>
      </c>
      <c r="E48" s="22"/>
      <c r="F48" s="22"/>
      <c r="G48" s="24">
        <f t="shared" si="3"/>
        <v>-100</v>
      </c>
      <c r="H48" s="63">
        <v>2088</v>
      </c>
      <c r="I48" s="48"/>
      <c r="J48" s="48"/>
      <c r="K48" s="49">
        <f t="shared" si="2"/>
        <v>-100</v>
      </c>
      <c r="P48" s="62"/>
      <c r="Q48" s="58"/>
    </row>
    <row r="49" spans="1:17" x14ac:dyDescent="0.25">
      <c r="A49" t="s">
        <v>166</v>
      </c>
      <c r="B49" s="8">
        <f t="shared" si="7"/>
        <v>45978</v>
      </c>
      <c r="C49" s="22">
        <f t="shared" si="6"/>
        <v>76756.02</v>
      </c>
      <c r="D49" s="62">
        <v>75251</v>
      </c>
      <c r="E49" s="22"/>
      <c r="F49" s="22"/>
      <c r="G49" s="24">
        <f t="shared" si="3"/>
        <v>-100</v>
      </c>
      <c r="H49" s="63">
        <v>2313</v>
      </c>
      <c r="I49" s="48"/>
      <c r="J49" s="48"/>
      <c r="K49" s="49">
        <f t="shared" si="2"/>
        <v>-100</v>
      </c>
      <c r="P49" s="62"/>
      <c r="Q49" s="58"/>
    </row>
    <row r="50" spans="1:17" x14ac:dyDescent="0.25">
      <c r="A50" t="s">
        <v>167</v>
      </c>
      <c r="B50" s="8">
        <f t="shared" si="7"/>
        <v>45985</v>
      </c>
      <c r="C50" s="22">
        <f t="shared" si="6"/>
        <v>69079.5</v>
      </c>
      <c r="D50" s="62">
        <v>67725</v>
      </c>
      <c r="E50" s="22"/>
      <c r="F50" s="22"/>
      <c r="G50" s="24">
        <f t="shared" si="3"/>
        <v>-100</v>
      </c>
      <c r="H50" s="63">
        <v>2013</v>
      </c>
      <c r="I50" s="48"/>
      <c r="J50" s="48"/>
      <c r="K50" s="49">
        <f t="shared" si="2"/>
        <v>-100</v>
      </c>
      <c r="P50" s="62"/>
      <c r="Q50" s="58"/>
    </row>
    <row r="51" spans="1:17" x14ac:dyDescent="0.25">
      <c r="A51" t="s">
        <v>168</v>
      </c>
      <c r="B51" s="8">
        <f t="shared" si="7"/>
        <v>45992</v>
      </c>
      <c r="C51" s="22">
        <f>D51+D51*$K$1</f>
        <v>71702.94</v>
      </c>
      <c r="D51" s="62">
        <v>70297</v>
      </c>
      <c r="E51" s="22"/>
      <c r="F51" s="22"/>
      <c r="G51" s="24">
        <f t="shared" si="3"/>
        <v>-100</v>
      </c>
      <c r="H51" s="63">
        <v>2153</v>
      </c>
      <c r="I51" s="48"/>
      <c r="J51" s="48"/>
      <c r="K51" s="49">
        <f t="shared" si="2"/>
        <v>-100</v>
      </c>
      <c r="P51" s="62"/>
      <c r="Q51" s="58"/>
    </row>
    <row r="52" spans="1:17" x14ac:dyDescent="0.25">
      <c r="A52" t="s">
        <v>169</v>
      </c>
      <c r="B52" s="8">
        <f t="shared" si="7"/>
        <v>45999</v>
      </c>
      <c r="C52" s="22">
        <f t="shared" si="6"/>
        <v>70656.42</v>
      </c>
      <c r="D52" s="62">
        <v>69271</v>
      </c>
      <c r="E52" s="22"/>
      <c r="F52" s="22"/>
      <c r="G52" s="24">
        <f t="shared" si="3"/>
        <v>-100</v>
      </c>
      <c r="H52" s="63">
        <v>2206</v>
      </c>
      <c r="I52" s="48"/>
      <c r="J52" s="48"/>
      <c r="K52" s="49">
        <f t="shared" si="2"/>
        <v>-100</v>
      </c>
      <c r="P52" s="62"/>
      <c r="Q52" s="58"/>
    </row>
    <row r="53" spans="1:17" x14ac:dyDescent="0.25">
      <c r="A53" t="s">
        <v>170</v>
      </c>
      <c r="B53" s="8">
        <f t="shared" si="7"/>
        <v>46006</v>
      </c>
      <c r="C53" s="22">
        <f t="shared" si="6"/>
        <v>74379.42</v>
      </c>
      <c r="D53" s="62">
        <v>72921</v>
      </c>
      <c r="E53" s="22"/>
      <c r="F53" s="22"/>
      <c r="G53" s="24">
        <f t="shared" si="3"/>
        <v>-100</v>
      </c>
      <c r="H53" s="63">
        <v>2367</v>
      </c>
      <c r="I53" s="48"/>
      <c r="J53" s="48"/>
      <c r="K53" s="49">
        <f t="shared" si="2"/>
        <v>-100</v>
      </c>
      <c r="P53" s="62"/>
      <c r="Q53" s="58"/>
    </row>
    <row r="54" spans="1:17" x14ac:dyDescent="0.25">
      <c r="A54" t="s">
        <v>171</v>
      </c>
      <c r="B54" s="8">
        <f t="shared" si="7"/>
        <v>46013</v>
      </c>
      <c r="C54" s="22">
        <f t="shared" si="6"/>
        <v>81949.86</v>
      </c>
      <c r="D54" s="62">
        <v>80343</v>
      </c>
      <c r="E54" s="22"/>
      <c r="F54" s="22"/>
      <c r="G54" s="24">
        <f t="shared" si="3"/>
        <v>-100</v>
      </c>
      <c r="H54" s="63">
        <v>2914</v>
      </c>
      <c r="I54" s="48"/>
      <c r="J54" s="48"/>
      <c r="K54" s="49">
        <f t="shared" si="2"/>
        <v>-100</v>
      </c>
      <c r="P54" s="62"/>
      <c r="Q54" s="58"/>
    </row>
    <row r="55" spans="1:17" x14ac:dyDescent="0.25">
      <c r="A55" s="1"/>
      <c r="B55" s="1"/>
      <c r="C55" s="26">
        <f>SUM(C3:C54)</f>
        <v>3640876.7399999998</v>
      </c>
      <c r="D55" s="72">
        <f>SUM(D3:D54)</f>
        <v>3569487</v>
      </c>
      <c r="E55" s="27">
        <f>SUM(E3:E54)</f>
        <v>1716324</v>
      </c>
      <c r="F55" s="27">
        <f>SUM(F3:F54)</f>
        <v>-127408</v>
      </c>
      <c r="G55" s="28">
        <f>100*(F55)/(E55-F55)</f>
        <v>-6.9103318703585987</v>
      </c>
      <c r="H55" s="1"/>
      <c r="I55" s="1">
        <f>SUM(I3:I54)</f>
        <v>52597</v>
      </c>
      <c r="J55" s="1">
        <f>SUM(J3:J54)</f>
        <v>-3956</v>
      </c>
      <c r="K55" s="29">
        <f>100*(J55)/(I55-J55)</f>
        <v>-6.9952080349406751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Active </vt:lpstr>
      <vt:lpstr>Sheet2</vt:lpstr>
      <vt:lpstr>Inactive</vt:lpstr>
      <vt:lpstr>Numbers 2026</vt:lpstr>
      <vt:lpstr>Numbers 2025</vt:lpstr>
      <vt:lpstr>Numbers 2024</vt:lpstr>
      <vt:lpstr>Numbers 2025 BEFORE CHANGES JUL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Jamil Juez</dc:creator>
  <cp:keywords/>
  <dc:description/>
  <cp:lastModifiedBy>Jamil Juez</cp:lastModifiedBy>
  <cp:revision/>
  <cp:lastPrinted>2026-02-12T07:26:25Z</cp:lastPrinted>
  <dcterms:created xsi:type="dcterms:W3CDTF">2023-01-08T06:37:18Z</dcterms:created>
  <dcterms:modified xsi:type="dcterms:W3CDTF">2026-04-12T17:06:10Z</dcterms:modified>
  <cp:category/>
  <cp:contentStatus/>
</cp:coreProperties>
</file>