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l\j-app\public\"/>
    </mc:Choice>
  </mc:AlternateContent>
  <xr:revisionPtr revIDLastSave="0" documentId="8_{C971C48B-D503-4FC1-815D-D8CDD5E2BB00}" xr6:coauthVersionLast="47" xr6:coauthVersionMax="47" xr10:uidLastSave="{00000000-0000-0000-0000-000000000000}"/>
  <bookViews>
    <workbookView xWindow="-120" yWindow="-120" windowWidth="38640" windowHeight="21120" xr2:uid="{55BB4BDA-9EF4-45BB-8459-F2BE00004C01}"/>
  </bookViews>
  <sheets>
    <sheet name="Sheet1" sheetId="1" r:id="rId1"/>
    <sheet name="Sheet4" sheetId="4" r:id="rId2"/>
    <sheet name="Sheet5" sheetId="5" r:id="rId3"/>
    <sheet name="Sheet2" sheetId="2" r:id="rId4"/>
    <sheet name="Sheet3" sheetId="3" r:id="rId5"/>
  </sheets>
  <externalReferences>
    <externalReference r:id="rId6"/>
  </externalReferences>
  <definedNames>
    <definedName name="_xlnm._FilterDatabase" localSheetId="0" hidden="1">Sheet1!$A$1:$K$1</definedName>
    <definedName name="_xlnm._FilterDatabase" localSheetId="3" hidden="1">Sheet2!$A$1:$I$1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1" l="1"/>
  <c r="I13" i="1"/>
  <c r="J13" i="1"/>
  <c r="K13" i="1"/>
  <c r="E3" i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18" i="1"/>
  <c r="E19" i="1"/>
  <c r="E20" i="1"/>
  <c r="E21" i="1"/>
  <c r="E22" i="1"/>
  <c r="E23" i="1"/>
  <c r="E24" i="1"/>
  <c r="J3" i="1"/>
  <c r="J4" i="1"/>
  <c r="J5" i="1"/>
  <c r="J6" i="1"/>
  <c r="J7" i="1"/>
  <c r="J8" i="1"/>
  <c r="J9" i="1"/>
  <c r="J10" i="1"/>
  <c r="J11" i="1"/>
  <c r="J12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I10" i="1"/>
  <c r="I11" i="1"/>
  <c r="I12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3" i="1"/>
  <c r="I4" i="1"/>
  <c r="I5" i="1"/>
  <c r="I6" i="1"/>
  <c r="I7" i="1"/>
  <c r="I8" i="1"/>
  <c r="I9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6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03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00" i="1"/>
  <c r="E1901" i="1"/>
  <c r="E1902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747" i="1"/>
  <c r="E1748" i="1"/>
  <c r="E1749" i="1"/>
  <c r="E1750" i="1"/>
  <c r="E1751" i="1"/>
  <c r="E1752" i="1"/>
  <c r="E1753" i="1"/>
  <c r="E1754" i="1"/>
  <c r="E1755" i="1"/>
  <c r="E1756" i="1"/>
  <c r="E1757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58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K3" i="1"/>
  <c r="K4" i="1"/>
  <c r="K5" i="1"/>
  <c r="K6" i="1"/>
  <c r="K7" i="1"/>
  <c r="K8" i="1"/>
  <c r="K9" i="1"/>
  <c r="K10" i="1"/>
  <c r="K11" i="1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F1421" i="1"/>
  <c r="H1421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146" i="1"/>
  <c r="E1147" i="1"/>
  <c r="E1148" i="1"/>
  <c r="E1149" i="1"/>
  <c r="E1150" i="1"/>
  <c r="E1151" i="1"/>
  <c r="E1152" i="1"/>
  <c r="E1153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18" i="1"/>
  <c r="E1119" i="1"/>
  <c r="E1120" i="1"/>
  <c r="E1121" i="1"/>
  <c r="E1122" i="1"/>
  <c r="E1117" i="1"/>
  <c r="K2" i="1"/>
  <c r="F1116" i="1"/>
  <c r="H1116" i="1"/>
  <c r="E1116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14" i="1"/>
  <c r="F814" i="1"/>
  <c r="H814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772" i="1"/>
  <c r="E773" i="1"/>
  <c r="E774" i="1"/>
  <c r="E775" i="1"/>
  <c r="E776" i="1"/>
  <c r="E777" i="1"/>
  <c r="E778" i="1"/>
  <c r="E779" i="1"/>
  <c r="E761" i="1"/>
  <c r="E762" i="1"/>
  <c r="E763" i="1"/>
  <c r="E764" i="1"/>
  <c r="E765" i="1"/>
  <c r="E766" i="1"/>
  <c r="E767" i="1"/>
  <c r="E768" i="1"/>
  <c r="E769" i="1"/>
  <c r="E770" i="1"/>
  <c r="E771" i="1"/>
  <c r="E759" i="1"/>
  <c r="E760" i="1"/>
  <c r="E757" i="1"/>
  <c r="E758" i="1"/>
  <c r="E755" i="1"/>
  <c r="E756" i="1"/>
  <c r="E36" i="1"/>
  <c r="E37" i="1"/>
  <c r="E38" i="1"/>
  <c r="E39" i="1"/>
  <c r="E40" i="1"/>
  <c r="E41" i="1"/>
  <c r="E42" i="1"/>
  <c r="E56" i="1"/>
  <c r="E57" i="1"/>
  <c r="E58" i="1"/>
  <c r="E59" i="1"/>
  <c r="E60" i="1"/>
  <c r="E61" i="1"/>
  <c r="E62" i="1"/>
  <c r="E76" i="1"/>
  <c r="E77" i="1"/>
  <c r="E78" i="1"/>
  <c r="E79" i="1"/>
  <c r="E80" i="1"/>
  <c r="E81" i="1"/>
  <c r="E82" i="1"/>
  <c r="E96" i="1"/>
  <c r="E97" i="1"/>
  <c r="E98" i="1"/>
  <c r="E99" i="1"/>
  <c r="E100" i="1"/>
  <c r="E101" i="1"/>
  <c r="E102" i="1"/>
  <c r="E116" i="1"/>
  <c r="E117" i="1"/>
  <c r="E118" i="1"/>
  <c r="E119" i="1"/>
  <c r="E120" i="1"/>
  <c r="E121" i="1"/>
  <c r="E122" i="1"/>
  <c r="E136" i="1"/>
  <c r="E137" i="1"/>
  <c r="E138" i="1"/>
  <c r="E139" i="1"/>
  <c r="E140" i="1"/>
  <c r="E141" i="1"/>
  <c r="E142" i="1"/>
  <c r="E156" i="1"/>
  <c r="E157" i="1"/>
  <c r="E158" i="1"/>
  <c r="E159" i="1"/>
  <c r="E160" i="1"/>
  <c r="E161" i="1"/>
  <c r="E162" i="1"/>
  <c r="E176" i="1"/>
  <c r="E177" i="1"/>
  <c r="E178" i="1"/>
  <c r="E179" i="1"/>
  <c r="E180" i="1"/>
  <c r="E181" i="1"/>
  <c r="E182" i="1"/>
  <c r="E198" i="1"/>
  <c r="E199" i="1"/>
  <c r="E200" i="1"/>
  <c r="E201" i="1"/>
  <c r="E202" i="1"/>
  <c r="E218" i="1"/>
  <c r="E219" i="1"/>
  <c r="E221" i="1"/>
  <c r="E222" i="1"/>
  <c r="E238" i="1"/>
  <c r="E239" i="1"/>
  <c r="E240" i="1"/>
  <c r="E241" i="1"/>
  <c r="E257" i="1"/>
  <c r="E258" i="1"/>
  <c r="E259" i="1"/>
  <c r="E260" i="1"/>
  <c r="E261" i="1"/>
  <c r="E276" i="1"/>
  <c r="E277" i="1"/>
  <c r="E278" i="1"/>
  <c r="E279" i="1"/>
  <c r="E280" i="1"/>
  <c r="E281" i="1"/>
  <c r="E282" i="1"/>
  <c r="E297" i="1"/>
  <c r="E298" i="1"/>
  <c r="E299" i="1"/>
  <c r="E300" i="1"/>
  <c r="E301" i="1"/>
  <c r="E302" i="1"/>
  <c r="E316" i="1"/>
  <c r="E317" i="1"/>
  <c r="E318" i="1"/>
  <c r="E319" i="1"/>
  <c r="E320" i="1"/>
  <c r="E321" i="1"/>
  <c r="E322" i="1"/>
  <c r="E336" i="1"/>
  <c r="E337" i="1"/>
  <c r="E338" i="1"/>
  <c r="E339" i="1"/>
  <c r="E340" i="1"/>
  <c r="E341" i="1"/>
  <c r="E342" i="1"/>
  <c r="E356" i="1"/>
  <c r="E357" i="1"/>
  <c r="E358" i="1"/>
  <c r="E359" i="1"/>
  <c r="E360" i="1"/>
  <c r="E361" i="1"/>
  <c r="E362" i="1"/>
  <c r="E376" i="1"/>
  <c r="E377" i="1"/>
  <c r="E378" i="1"/>
  <c r="E379" i="1"/>
  <c r="E380" i="1"/>
  <c r="E381" i="1"/>
  <c r="E382" i="1"/>
  <c r="E398" i="1"/>
  <c r="E399" i="1"/>
  <c r="E400" i="1"/>
  <c r="E401" i="1"/>
  <c r="E402" i="1"/>
  <c r="E418" i="1"/>
  <c r="E419" i="1"/>
  <c r="E421" i="1"/>
  <c r="E422" i="1"/>
  <c r="E438" i="1"/>
  <c r="E439" i="1"/>
  <c r="E440" i="1"/>
  <c r="E441" i="1"/>
  <c r="E457" i="1"/>
  <c r="E458" i="1"/>
  <c r="E459" i="1"/>
  <c r="E460" i="1"/>
  <c r="E461" i="1"/>
  <c r="E476" i="1"/>
  <c r="E477" i="1"/>
  <c r="E478" i="1"/>
  <c r="E479" i="1"/>
  <c r="E480" i="1"/>
  <c r="E481" i="1"/>
  <c r="E482" i="1"/>
  <c r="E497" i="1"/>
  <c r="E498" i="1"/>
  <c r="E499" i="1"/>
  <c r="E500" i="1"/>
  <c r="E501" i="1"/>
  <c r="E502" i="1"/>
  <c r="E516" i="1"/>
  <c r="E517" i="1"/>
  <c r="E518" i="1"/>
  <c r="E519" i="1"/>
  <c r="E520" i="1"/>
  <c r="E521" i="1"/>
  <c r="E522" i="1"/>
  <c r="E536" i="1"/>
  <c r="E537" i="1"/>
  <c r="E538" i="1"/>
  <c r="E539" i="1"/>
  <c r="E540" i="1"/>
  <c r="E541" i="1"/>
  <c r="E542" i="1"/>
  <c r="E556" i="1"/>
  <c r="E557" i="1"/>
  <c r="E558" i="1"/>
  <c r="E559" i="1"/>
  <c r="E560" i="1"/>
  <c r="E561" i="1"/>
  <c r="E562" i="1"/>
  <c r="E576" i="1"/>
  <c r="E577" i="1"/>
  <c r="E578" i="1"/>
  <c r="E579" i="1"/>
  <c r="E580" i="1"/>
  <c r="E581" i="1"/>
  <c r="E582" i="1"/>
  <c r="E598" i="1"/>
  <c r="E599" i="1"/>
  <c r="E600" i="1"/>
  <c r="E601" i="1"/>
  <c r="E602" i="1"/>
  <c r="E618" i="1"/>
  <c r="E619" i="1"/>
  <c r="E621" i="1"/>
  <c r="E622" i="1"/>
  <c r="E638" i="1"/>
  <c r="E639" i="1"/>
  <c r="E640" i="1"/>
  <c r="E641" i="1"/>
  <c r="E654" i="1"/>
  <c r="E657" i="1"/>
  <c r="E658" i="1"/>
  <c r="E659" i="1"/>
  <c r="E660" i="1"/>
  <c r="E661" i="1"/>
  <c r="E666" i="1"/>
  <c r="E667" i="1"/>
  <c r="E676" i="1"/>
  <c r="E677" i="1"/>
  <c r="E678" i="1"/>
  <c r="E679" i="1"/>
  <c r="E680" i="1"/>
  <c r="E681" i="1"/>
  <c r="E682" i="1"/>
  <c r="E691" i="1"/>
  <c r="E694" i="1"/>
  <c r="E697" i="1"/>
  <c r="E698" i="1"/>
  <c r="E699" i="1"/>
  <c r="E700" i="1"/>
  <c r="E701" i="1"/>
  <c r="E702" i="1"/>
  <c r="E711" i="1"/>
  <c r="E714" i="1"/>
  <c r="E716" i="1"/>
  <c r="E717" i="1"/>
  <c r="E718" i="1"/>
  <c r="E719" i="1"/>
  <c r="E720" i="1"/>
  <c r="E721" i="1"/>
  <c r="E722" i="1"/>
  <c r="E734" i="1"/>
  <c r="E736" i="1"/>
  <c r="E737" i="1"/>
  <c r="E738" i="1"/>
  <c r="E739" i="1"/>
  <c r="E740" i="1"/>
  <c r="E741" i="1"/>
  <c r="E742" i="1"/>
  <c r="E754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20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20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20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5" i="1"/>
  <c r="E656" i="1"/>
  <c r="E662" i="1"/>
  <c r="E663" i="1"/>
  <c r="E664" i="1"/>
  <c r="E665" i="1"/>
  <c r="E668" i="1"/>
  <c r="E669" i="1"/>
  <c r="E670" i="1"/>
  <c r="E671" i="1"/>
  <c r="E672" i="1"/>
  <c r="E673" i="1"/>
  <c r="E674" i="1"/>
  <c r="E675" i="1"/>
  <c r="E683" i="1"/>
  <c r="E684" i="1"/>
  <c r="E685" i="1"/>
  <c r="E686" i="1"/>
  <c r="E687" i="1"/>
  <c r="E688" i="1"/>
  <c r="E689" i="1"/>
  <c r="E690" i="1"/>
  <c r="E692" i="1"/>
  <c r="E693" i="1"/>
  <c r="E695" i="1"/>
  <c r="E696" i="1"/>
  <c r="E703" i="1"/>
  <c r="E704" i="1"/>
  <c r="E705" i="1"/>
  <c r="E706" i="1"/>
  <c r="E707" i="1"/>
  <c r="E708" i="1"/>
  <c r="E709" i="1"/>
  <c r="E710" i="1"/>
  <c r="E712" i="1"/>
  <c r="E713" i="1"/>
  <c r="E715" i="1"/>
  <c r="E723" i="1"/>
  <c r="E724" i="1"/>
  <c r="E725" i="1"/>
  <c r="E726" i="1"/>
  <c r="E727" i="1"/>
  <c r="E728" i="1"/>
  <c r="E729" i="1"/>
  <c r="E730" i="1"/>
  <c r="E731" i="1"/>
  <c r="E732" i="1"/>
  <c r="E733" i="1"/>
  <c r="E735" i="1"/>
  <c r="E743" i="1"/>
  <c r="E744" i="1"/>
  <c r="E745" i="1"/>
  <c r="E746" i="1"/>
  <c r="E747" i="1"/>
  <c r="E748" i="1"/>
  <c r="E749" i="1"/>
  <c r="E750" i="1"/>
  <c r="E751" i="1"/>
  <c r="E752" i="1"/>
  <c r="E753" i="1"/>
  <c r="F173" i="1"/>
  <c r="F172" i="1"/>
  <c r="F171" i="1"/>
  <c r="H172" i="1"/>
  <c r="H173" i="1"/>
  <c r="H171" i="1"/>
  <c r="E171" i="1"/>
  <c r="E172" i="1"/>
  <c r="E173" i="1"/>
  <c r="E174" i="1"/>
  <c r="E175" i="1"/>
  <c r="I2" i="1"/>
  <c r="E2" i="1"/>
  <c r="E25" i="1"/>
  <c r="E26" i="1"/>
  <c r="E27" i="1"/>
  <c r="E28" i="1"/>
  <c r="E29" i="1"/>
  <c r="E30" i="1"/>
  <c r="E31" i="1"/>
  <c r="E32" i="1"/>
  <c r="E33" i="1"/>
  <c r="E34" i="1"/>
  <c r="E35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63" i="1"/>
  <c r="E164" i="1"/>
  <c r="E165" i="1"/>
  <c r="E166" i="1"/>
  <c r="E167" i="1"/>
  <c r="E168" i="1"/>
  <c r="E169" i="1"/>
  <c r="E170" i="1"/>
  <c r="J2" i="1"/>
  <c r="L1224" i="1"/>
  <c r="L1239" i="1"/>
</calcChain>
</file>

<file path=xl/sharedStrings.xml><?xml version="1.0" encoding="utf-8"?>
<sst xmlns="http://schemas.openxmlformats.org/spreadsheetml/2006/main" count="31251" uniqueCount="7512">
  <si>
    <t>Precio</t>
  </si>
  <si>
    <t>Size</t>
  </si>
  <si>
    <t>Imagen</t>
  </si>
  <si>
    <t>Sku</t>
  </si>
  <si>
    <t>EXTRA VIRGIN OLIVE OIL  3 OZ</t>
  </si>
  <si>
    <t>EXTRA VIRGIN OLIVE OIL  8.5 OZ</t>
  </si>
  <si>
    <t>EXTRA VIRGIN OLIVE OIL 17 OZ</t>
  </si>
  <si>
    <t>EXTRA VIRGIN OLIVE OIL 25.4 OZ</t>
  </si>
  <si>
    <t>EXTRA VIRGIN OLIVE OIL 34 OZ</t>
  </si>
  <si>
    <t>EXTRA VIRGIN OLIVE OIL 50.7 OZ</t>
  </si>
  <si>
    <t>EXTRA VIRGIN OLIVE OIL 24 OZ</t>
  </si>
  <si>
    <t>EXTRA VIRGIN OLIVE OIL 3 LTS</t>
  </si>
  <si>
    <t>GOYA UNICO XTRA VIRGIN OLV OIL</t>
  </si>
  <si>
    <t>ORGANIC EXTRA VIRGIN OLIVE OIL</t>
  </si>
  <si>
    <t>PURO OLIVE OIL   8.5 OZ</t>
  </si>
  <si>
    <t>PURO OLIVE OIL   17 OZ</t>
  </si>
  <si>
    <t>PURO OLIVE OIL 25.4 OZ.</t>
  </si>
  <si>
    <t>LIGHT PURE OLIVE OIL  8.5 OZ</t>
  </si>
  <si>
    <t>LIGHT OLIVE OIL 25.4 OZ</t>
  </si>
  <si>
    <t>LIGHT PURE OLIVE OIL  17 OZ</t>
  </si>
  <si>
    <t>GOYA LIGHT OLIVE OIL 9/34 OZ.</t>
  </si>
  <si>
    <t>OLE-O OLIVE OIL BLEND</t>
  </si>
  <si>
    <t>EV OLIVE OIL TRUFFLE FLV</t>
  </si>
  <si>
    <t>VINEGAR BALSAMIC 8.50 OZ.</t>
  </si>
  <si>
    <t>SHERRY VINEGAR 8.50 OZ.</t>
  </si>
  <si>
    <t>SHERRY VINEGAR RESERVA 8.50 OZ</t>
  </si>
  <si>
    <t>GARLIC EXTRA VIRGIN OLIVE OIL</t>
  </si>
  <si>
    <t>EXTRA VIRGIN OLIVE OIL SPRAY</t>
  </si>
  <si>
    <t>PURE CORN OIL 280 OZ</t>
  </si>
  <si>
    <t>PURE CORN OIL   16 OZ</t>
  </si>
  <si>
    <t>PURE CORN OIL   24 OZ</t>
  </si>
  <si>
    <t>PURE CORN OIL  48 OZ</t>
  </si>
  <si>
    <t>PURE CORN OIL  1 GAL</t>
  </si>
  <si>
    <t>PURE CORN OIL  96 OZ</t>
  </si>
  <si>
    <t>VEGETABLE OIL  16 OZ</t>
  </si>
  <si>
    <t>VEGETABLE OIL  24 OZ</t>
  </si>
  <si>
    <t>VEGETABLE OIL  48 OZ</t>
  </si>
  <si>
    <t>VEGETABLE OIL  96 OZ</t>
  </si>
  <si>
    <t>VEGETABLE OIL  1 GAL</t>
  </si>
  <si>
    <t>CANOLA OIL   48 OZ</t>
  </si>
  <si>
    <t>CANOLA OIL   96 OZ</t>
  </si>
  <si>
    <t>GOYA AVOCADO OIL 25.4 OZ</t>
  </si>
  <si>
    <t>PERDIGON OLIVES    12/9.5 OZ</t>
  </si>
  <si>
    <t>MANZANILLA OLIVES</t>
  </si>
  <si>
    <t>MANZANILLA OLIVES  9.5 OZ</t>
  </si>
  <si>
    <t>PERDIGON OLIVES    20 OZ</t>
  </si>
  <si>
    <t>COCKTAIL PITTED OLIVES</t>
  </si>
  <si>
    <t>COCKTAIL PITTED OLIVES 5.5 OZ</t>
  </si>
  <si>
    <t>STUFF MANZANILLA OLIVES</t>
  </si>
  <si>
    <t>STUFF MANZANILLA OLIVES 9.5 OZ</t>
  </si>
  <si>
    <t>STUFF MANZANILLA OLIVES 20 OZ</t>
  </si>
  <si>
    <t>STUFFED QUEEN OLIVES</t>
  </si>
  <si>
    <t>STUFFED QUEEN OLIVES 9 OZ</t>
  </si>
  <si>
    <t>STUFF QUEEN OLIV W/MINCED PIM</t>
  </si>
  <si>
    <t>GOYA MANZANILLAS RELLENAS</t>
  </si>
  <si>
    <t>GOYA ORGANICS COCKTAIL OLIVES</t>
  </si>
  <si>
    <t>GOYA ORGANICS MANZANILLA OLIVE</t>
  </si>
  <si>
    <t>JUMBO OLIVES</t>
  </si>
  <si>
    <t>JUMBO OLIVES    9.5 OZ</t>
  </si>
  <si>
    <t>GOYA ORGANICS CAPERS 2.5 OZ</t>
  </si>
  <si>
    <t>GOYA ORGANICS CAPERS CAPOTES</t>
  </si>
  <si>
    <t>REDUCED SODIUM CAPERS CAPOTES</t>
  </si>
  <si>
    <t>SPAN NONPAREILS-CAPERS 2.5 OZ</t>
  </si>
  <si>
    <t>SPANISH CAPERS - ALCAPARR</t>
  </si>
  <si>
    <t>SPANISH CAPERS-ALCAPARR 3.25OZ</t>
  </si>
  <si>
    <t>SPANISH CAPERS-ALCAPARR 4.25OZ</t>
  </si>
  <si>
    <t>ALCAPARRADO PITTED  7 OZ</t>
  </si>
  <si>
    <t>ALCAPARRADO PITTED  9.5 OZ</t>
  </si>
  <si>
    <t>GOYA ALCAPARRADO PITTED</t>
  </si>
  <si>
    <t>CAPERS OLIVES W/PIM 3 1/4 OZ</t>
  </si>
  <si>
    <t>CAPERS OLIVES W/PIM 4 1/4 OZ</t>
  </si>
  <si>
    <t>CAPERS OLIVES W/PIM 10 OZ</t>
  </si>
  <si>
    <t>CAPERS OLIVES W/PIM 20 OZ</t>
  </si>
  <si>
    <t>SLICED GREEN OLIVES 24/5.75</t>
  </si>
  <si>
    <t>SLICED BLK RIPE OLIVES 24/5.75</t>
  </si>
  <si>
    <t>CAPERS OLIVES W/PIM 8 OZ</t>
  </si>
  <si>
    <t>MANZANILLA OLIVES 6 3/4 OZ</t>
  </si>
  <si>
    <t>STUFF MANZANILLA OLIVE 6.75 OZ</t>
  </si>
  <si>
    <t>JUMBO OLIVES 6 1/2 OZ</t>
  </si>
  <si>
    <t>STUFFED QUEEN OLIVES 6 1/2 OZ</t>
  </si>
  <si>
    <t>SALAD OLIVES 7 OZ</t>
  </si>
  <si>
    <t>SALAD OLIVES  20 OZ</t>
  </si>
  <si>
    <t>SALAD OLIVES 9.5 OZ</t>
  </si>
  <si>
    <t>GOYA JUMBO SALAD OLIVES 24/7OZ</t>
  </si>
  <si>
    <t>ACEITUNA BOTIJA PERUVIAN</t>
  </si>
  <si>
    <t>MANZANILLA STUFF SALMON 5.25OZ</t>
  </si>
  <si>
    <t>MANZANILLA STUFF TUNA 5 1/4 OZ</t>
  </si>
  <si>
    <t>MANZANILLA STUFF ACHOVY 5.25OZ</t>
  </si>
  <si>
    <t>MANZANI. STUFF HOT PMTO 5.25OZ</t>
  </si>
  <si>
    <t>BLACK SMALL PITTED OLIVES</t>
  </si>
  <si>
    <t>BLACK LARGE PITTED OLIVES</t>
  </si>
  <si>
    <t>MEDIUM RIPE BLK OLIVES PITTED</t>
  </si>
  <si>
    <t>SLICED BLACK OLIVES</t>
  </si>
  <si>
    <t>MANZANILLA STUFFED BLUE CHEESE</t>
  </si>
  <si>
    <t>RED. SOD. MANZANILLA OLIVES</t>
  </si>
  <si>
    <t>RED. SOD. STUFF OLIVE PIMIENTO</t>
  </si>
  <si>
    <t>RED. SOD. PITTED ALCAP. OLIVE</t>
  </si>
  <si>
    <t>RED SODIUM SALAD OLIVES</t>
  </si>
  <si>
    <t>RED. SOD. STUFF OLIVE JALAPENO</t>
  </si>
  <si>
    <t>STUFFED OLIVES MANCHEGO CHEESE</t>
  </si>
  <si>
    <t>STUFFED OLIVES SERRANO HAM</t>
  </si>
  <si>
    <t>STUFFED OLIVES SPICY CHORIZO</t>
  </si>
  <si>
    <t>JALAPENO PEPPERS 12 OZ</t>
  </si>
  <si>
    <t>NACHO SLICES 12 OZ</t>
  </si>
  <si>
    <t>GOYA RED KIDNEY BEANS IN SAUCE</t>
  </si>
  <si>
    <t>GOYA PINK BEANS IN SAUCE</t>
  </si>
  <si>
    <t>GOYA BLACK BEAN SOUP 10.5 OZ</t>
  </si>
  <si>
    <t>GOYA PINTO BEANS IN SAUCE</t>
  </si>
  <si>
    <t>GOYA SMALL REDS IN SAUCE</t>
  </si>
  <si>
    <t>GOYA CHICK PEAS IN SAUCE</t>
  </si>
  <si>
    <t>GREEN PIGEON PEAS 15 OZ</t>
  </si>
  <si>
    <t>GREEN PIGEON PEAS LOW SODIUM</t>
  </si>
  <si>
    <t>GREEN PIGEON PEAS 29 OZ</t>
  </si>
  <si>
    <t>GREEN PIGEON PEAS 6/100.7 OZ</t>
  </si>
  <si>
    <t>GANDULES CON COCO 15 OZ</t>
  </si>
  <si>
    <t>GANDULES VERDES CON COCO 12/30</t>
  </si>
  <si>
    <t>GOYA GANDULES QUARTER PALLET</t>
  </si>
  <si>
    <t>ORGANIC GREEN PIGEON PEAS</t>
  </si>
  <si>
    <t>GOYA DRY PIGEON PEAS W/COCONUT</t>
  </si>
  <si>
    <t>EL JIB DRY PIGEON PEAS 15.5 OZ</t>
  </si>
  <si>
    <t>EL JIB PIGEON PEAS  29 OZ</t>
  </si>
  <si>
    <t>JIBARITO GANDULES CON COCO</t>
  </si>
  <si>
    <t>DRY PIGEON PEAS 15.5 OZ</t>
  </si>
  <si>
    <t>DRY PIGEON PEAS 29 OZ</t>
  </si>
  <si>
    <t>REDUCED SODIUM BLACK BEAN SOUP</t>
  </si>
  <si>
    <t>RED KIDNEY BEANS GUISADAS 15OZ</t>
  </si>
  <si>
    <t>SMALL RED BEANS GUISADAS 15 OZ</t>
  </si>
  <si>
    <t>GANDULES GUISADOS 15 OZ</t>
  </si>
  <si>
    <t>PINK BEANS GUISADAS 15 OZ</t>
  </si>
  <si>
    <t>WHITE BEANS GUISADAS 15 OZ</t>
  </si>
  <si>
    <t>PINTO BEANS GUISADAS 15 OZ</t>
  </si>
  <si>
    <t>CHICK PEAS GUISADAS 15 OZ</t>
  </si>
  <si>
    <t>BLACK BEAN SOUP 15 OZ</t>
  </si>
  <si>
    <t>FRIJOLES ANTIOQUENOS</t>
  </si>
  <si>
    <t>FRIJOLES CHARROS</t>
  </si>
  <si>
    <t>FRIJOLES DE OLLA</t>
  </si>
  <si>
    <t>RED KIDNEY BEANS GUISADAS 29OZ</t>
  </si>
  <si>
    <t>GOYA PINK BEANS GUISADAS 29 OZ</t>
  </si>
  <si>
    <t>GOYA GUISADAS BLANCAS 29 OZ</t>
  </si>
  <si>
    <t>GOYA GUISADAS PINTAS 29 OZ</t>
  </si>
  <si>
    <t>GOYA CHICK PEAS GUISADAS 29 OZ</t>
  </si>
  <si>
    <t>GOYA BLACK BEANS GUISADAS 29OZ</t>
  </si>
  <si>
    <t>YUCA 28 OZ</t>
  </si>
  <si>
    <t>PANA DE PEPITA  8 OZ</t>
  </si>
  <si>
    <t>YUCA 14 OZ.</t>
  </si>
  <si>
    <t>GUAVA JELLY 17 OZ</t>
  </si>
  <si>
    <t>GOYA MANGO JAM 17 OZ</t>
  </si>
  <si>
    <t>PINEAPPLE PRESERVES 17 OZ</t>
  </si>
  <si>
    <t>SANCOCHO   15 OZ</t>
  </si>
  <si>
    <t>GOYA ORGANIC COCONUT MILK</t>
  </si>
  <si>
    <t>MONDONGO 15 OZ</t>
  </si>
  <si>
    <t>MONDONGO DOMINICANO 15 OZ</t>
  </si>
  <si>
    <t>CHIMICHURRI STEAK SAUCE 12/7.5</t>
  </si>
  <si>
    <t>SOFRITO 12 OZ</t>
  </si>
  <si>
    <t>SOFRITO 6 OZ</t>
  </si>
  <si>
    <t>SOFRITO  24 OZ</t>
  </si>
  <si>
    <t>RECAITO  24 OZ</t>
  </si>
  <si>
    <t>RECAITO  6 OZ</t>
  </si>
  <si>
    <t>RECAITO  12 OZ</t>
  </si>
  <si>
    <t>GOYA LIQUIDO SZN         15 OZ</t>
  </si>
  <si>
    <t>GOYA LIQUIDO SZN  30 OZ</t>
  </si>
  <si>
    <t>PINA COLADA MIX 12 OZ</t>
  </si>
  <si>
    <t>COCO GOYA 8 3/4 OZ</t>
  </si>
  <si>
    <t>COCO GOYA CREAM OF COCONUT</t>
  </si>
  <si>
    <t>COCONUT MILK 13.5 OZ</t>
  </si>
  <si>
    <t>GOYA COCONUT MILK LIGHT</t>
  </si>
  <si>
    <t>CREAM OF COCONUT SHIPPER</t>
  </si>
  <si>
    <t>COCONUT MILK 25.5 OZ</t>
  </si>
  <si>
    <t>HABICHUELAS CON DULCE 24/15.5</t>
  </si>
  <si>
    <t>REGULAR COCONUT MILK 1/4 PLT</t>
  </si>
  <si>
    <t>GOYA COCONUT MILK 8 OZ</t>
  </si>
  <si>
    <t>GOYA COCONUT WATER 13.5 OZ</t>
  </si>
  <si>
    <t>ORGANIC WHOLE KERNEL GLDN CORN</t>
  </si>
  <si>
    <t>ORGANIC TENDER SWEET PEAS</t>
  </si>
  <si>
    <t>ORGANIC CUT GREEN BEANS</t>
  </si>
  <si>
    <t>ORGANIC PUMPKIN PUREE</t>
  </si>
  <si>
    <t>GOYA WHOLE KERNEL GOLDEN CORN</t>
  </si>
  <si>
    <t>CHICK PEAS 50 LBS</t>
  </si>
  <si>
    <t>LOW-SODIUM ROMAN BEANS</t>
  </si>
  <si>
    <t>LOW-SODIUM SMALL RED BEANS</t>
  </si>
  <si>
    <t>FRENCH LENTILS 16 OZ</t>
  </si>
  <si>
    <t>BLACK-PINK BL 1/4 PLT 15.5 OZ</t>
  </si>
  <si>
    <t>RED KIDNEY LOW SODIUM 15.5 OZ</t>
  </si>
  <si>
    <t>PINK BEANS LOW SODIUM 15.5 OZ</t>
  </si>
  <si>
    <t>BLACK BEANS LOW SODIUM 15.5 OZ</t>
  </si>
  <si>
    <t>CHICK PEAS LOW SODIUM 15.5 OZ</t>
  </si>
  <si>
    <t>PINTO BEANS LOW SODIUM 15.5 OZ</t>
  </si>
  <si>
    <t>SMALL WHT BNS LOW SODIUM 15.5</t>
  </si>
  <si>
    <t>ORGANIC RED KIDNEY 24/15.5 OZ</t>
  </si>
  <si>
    <t>ORGANIC PINTO BEANS</t>
  </si>
  <si>
    <t>ORGANIC BLACK BEANS 24/15.5 OZ</t>
  </si>
  <si>
    <t>ORGANIC DARK RED KIDNEY BEANS</t>
  </si>
  <si>
    <t>ORGANIC CHICK PEAS 24/15.5 OZ</t>
  </si>
  <si>
    <t>GOYA DK RED KIDNY LOW SODIUM</t>
  </si>
  <si>
    <t>CANNED PINTO BEANS 46 OZ</t>
  </si>
  <si>
    <t>CANNED RED KIDNEY BEANS 46 OZ</t>
  </si>
  <si>
    <t>CANNED CHICK PEAS BEANS 46 OZ</t>
  </si>
  <si>
    <t>CANNED PINK BEANS 46 OZ</t>
  </si>
  <si>
    <t>CANNED SMALL WHITE BEANS 46 OZ</t>
  </si>
  <si>
    <t>CANNED SMALL RED BEANS 46 OZ.</t>
  </si>
  <si>
    <t>CANNED BLACK BEANS 46 OZ</t>
  </si>
  <si>
    <t>ORGANIC CANNELLINI BEANS</t>
  </si>
  <si>
    <t>LENTILS 50 LBS.</t>
  </si>
  <si>
    <t>BLACK BEANS 50 LBS.</t>
  </si>
  <si>
    <t>PINTO BEANS 50 LBS.</t>
  </si>
  <si>
    <t>ROMAN BEANS 50 LBS</t>
  </si>
  <si>
    <t>HAB COLORADAS-LOW SODIUM</t>
  </si>
  <si>
    <t>HAB ROSADAS-LOW SODIUM</t>
  </si>
  <si>
    <t>GARBANZOS-LOW SODIUM 12/29 OZ</t>
  </si>
  <si>
    <t>HAB PINTAS-LOW SODIUM</t>
  </si>
  <si>
    <t>FRIJOLES NEGROS - LOW SODIUM</t>
  </si>
  <si>
    <t>HAB BLANCAS-LOW SODIUM</t>
  </si>
  <si>
    <t>ORGANIC PINK BEANS</t>
  </si>
  <si>
    <t>BLACKEYE PEAS LOW SODIUM</t>
  </si>
  <si>
    <t>BLK BEAN &amp; CHK PEA 1/4 PLT BL</t>
  </si>
  <si>
    <t>ROMAN BEANS 46 OZ</t>
  </si>
  <si>
    <t>GOYA ORGANIC YELLOW POP CORN</t>
  </si>
  <si>
    <t>RED KIDNEY 12/29 OZ</t>
  </si>
  <si>
    <t>RED KIDNEY BEANS 15.5 OZ</t>
  </si>
  <si>
    <t>RED KIDNEY BEANS 10.5 OZ</t>
  </si>
  <si>
    <t>PINK BEANS 15.5 OZ</t>
  </si>
  <si>
    <t>PINK BEANS 10.5 OZ</t>
  </si>
  <si>
    <t>DARK RED KIDNEY BEANS 12/29 OZ</t>
  </si>
  <si>
    <t>PINK BEANS 12/29 OZ</t>
  </si>
  <si>
    <t>SMALL WHITE BEANS 15.5 OZ</t>
  </si>
  <si>
    <t>WHITE BEANS 10.5 OZ</t>
  </si>
  <si>
    <t>GOYA RED CARGAMANTO BEANS 15.5</t>
  </si>
  <si>
    <t>ROMAN BEANS 12/29 OZ</t>
  </si>
  <si>
    <t>ROMAN BEANS 15.5</t>
  </si>
  <si>
    <t>SMALL REDS 12/29 OZ</t>
  </si>
  <si>
    <t>GOYA WHITE CARGAMANTO 15.5 OZ</t>
  </si>
  <si>
    <t>CHICK PEAS  12/29 OZ</t>
  </si>
  <si>
    <t>SMALL RED BEANS 15.5 OZ</t>
  </si>
  <si>
    <t>FAVA BEANS</t>
  </si>
  <si>
    <t>CHICK PEAS 15.5 OZ</t>
  </si>
  <si>
    <t>CHICK PEAS 10.5 OZ</t>
  </si>
  <si>
    <t>FEIJAO PEDRA VERDE</t>
  </si>
  <si>
    <t>BLACKEYE PEAS 15.5 OZ</t>
  </si>
  <si>
    <t>BLACKEYE PEAS</t>
  </si>
  <si>
    <t>GIANT WHITE CORN 4/6LBS</t>
  </si>
  <si>
    <t>BLACKEYE PEAS 29 OZ</t>
  </si>
  <si>
    <t>GREAT NORTHERN BEANS 15.5 OZ</t>
  </si>
  <si>
    <t>GOYA DOMINICAN RED BEANS</t>
  </si>
  <si>
    <t>DARK RED KIDNEY BEANS 15.5 OZ</t>
  </si>
  <si>
    <t>PINTO BEANS 15.5 OZ</t>
  </si>
  <si>
    <t>GOYA PERUVIAN/MAYOCOBA BEANS</t>
  </si>
  <si>
    <t>PINTO BEANS 10.5 OZ</t>
  </si>
  <si>
    <t>PINTO BEANS  29 OZ</t>
  </si>
  <si>
    <t>BUTTER BEANS 15.5 OZ</t>
  </si>
  <si>
    <t>BUTTER BEANS 29 OZ</t>
  </si>
  <si>
    <t>CANNELLINI 15.5 OZ</t>
  </si>
  <si>
    <t>CANNELLINI 29 OZ</t>
  </si>
  <si>
    <t>GOYA CANARY BEANS 15.5 OZ</t>
  </si>
  <si>
    <t>SMALL WHITE BEANS 29 OZ</t>
  </si>
  <si>
    <t>GOYA DARK KIDNEY BEANS 110 OZ</t>
  </si>
  <si>
    <t>GOYA PINTO BEANS 110 OZ</t>
  </si>
  <si>
    <t>GOYA PINK BEANS 110 OZ</t>
  </si>
  <si>
    <t>GOYA LENTIL BEANS 15.5 OZ</t>
  </si>
  <si>
    <t>GOYA RED KIDNEY BEANS 110 OZ</t>
  </si>
  <si>
    <t>NAVY BEANS 15.5 OZ</t>
  </si>
  <si>
    <t>GOYA BLACK BEANS 110 OZ</t>
  </si>
  <si>
    <t>GOYA CHICK PEAS 110 OZ</t>
  </si>
  <si>
    <t>GREEN PEAS 15.5 OZ</t>
  </si>
  <si>
    <t>FRIJOL DE SEDA 24/15.5 OZ</t>
  </si>
  <si>
    <t>BLACK BEANS 29 OZ (1 LB 13 OZ)</t>
  </si>
  <si>
    <t>BLACK BEANS 15.5 OZ</t>
  </si>
  <si>
    <t>GREEN PEAS 10.5 OZ</t>
  </si>
  <si>
    <t>CARIOCA BEANS 1 LB</t>
  </si>
  <si>
    <t>BLACK BEANS 10.5 OZ</t>
  </si>
  <si>
    <t>SMALL WHITE 1 LB</t>
  </si>
  <si>
    <t>RED KIDNEY BEANS  1 LB</t>
  </si>
  <si>
    <t>PINTO BEANS 1 LB</t>
  </si>
  <si>
    <t>BABY LIMA BEANS 1 LB</t>
  </si>
  <si>
    <t>BLACKEYE PEAS  1 LB</t>
  </si>
  <si>
    <t>WHOLE GREEN PEAS 1 LB</t>
  </si>
  <si>
    <t>LENTILS 1 LB</t>
  </si>
  <si>
    <t>PINK BEANS 1 LB</t>
  </si>
  <si>
    <t>CHICK PEAS 1 LB</t>
  </si>
  <si>
    <t>BLACK BEANS 1 LB</t>
  </si>
  <si>
    <t>DOMINICAN RED BEANS 1 LB</t>
  </si>
  <si>
    <t>LARGE LIMA BEANS 1 LB</t>
  </si>
  <si>
    <t>PIGEON PEAS 1 LB</t>
  </si>
  <si>
    <t>ROMAN BEANS 1 LB</t>
  </si>
  <si>
    <t>FAVA BEANS 1 LB</t>
  </si>
  <si>
    <t>GREAT NORTHERN BEANS 1 LB</t>
  </si>
  <si>
    <t>SMALL RED BEANS 1 LB</t>
  </si>
  <si>
    <t>GREEN SPLIT PEAS 1 LB</t>
  </si>
  <si>
    <t>CANNELLINI ALUBIAS 1 LB.</t>
  </si>
  <si>
    <t>COW PEAS 1 LB</t>
  </si>
  <si>
    <t>NAVY BEANS 1 LB</t>
  </si>
  <si>
    <t>YELLOW SPLIT PEAS 1 LB</t>
  </si>
  <si>
    <t>YELLOW POPCORN 1 LB</t>
  </si>
  <si>
    <t>WHOLE YELLOW PEAS 1 LB</t>
  </si>
  <si>
    <t>BARLEY 1 LB</t>
  </si>
  <si>
    <t>CANARY BEAN FRIJOL CANARIO 1LB</t>
  </si>
  <si>
    <t>RED LENTILS 1 LB</t>
  </si>
  <si>
    <t>MAIZ TRILLADO/WHITE HOMNY 1 LB</t>
  </si>
  <si>
    <t>MAIZ TRILLADO/GOLD HOMINY 1 LB</t>
  </si>
  <si>
    <t>GIANT WHITE CORN / MAIZ 14 OZ</t>
  </si>
  <si>
    <t>CHULPE CORN   1 LB</t>
  </si>
  <si>
    <t>PARDINA LENTILS  1 LB</t>
  </si>
  <si>
    <t>BEAN SOUP MIX 1 LB</t>
  </si>
  <si>
    <t>FRIJOL DE SEDA 1 LB</t>
  </si>
  <si>
    <t>GOYA PEELED FAVA 1 LB.</t>
  </si>
  <si>
    <t>GOYA RED CARGAMANTO BEANS 1 LB</t>
  </si>
  <si>
    <t>GOYA WH CARGAMANTO BEANS 1 LB</t>
  </si>
  <si>
    <t>GOYA BOLA ROJA 1 LB</t>
  </si>
  <si>
    <t>BLACK LENTILS 1 LB</t>
  </si>
  <si>
    <t>BLACK EYE PEAS 4 LB.</t>
  </si>
  <si>
    <t>PINK BEANS 4 LB</t>
  </si>
  <si>
    <t>LENTILS 4 LB</t>
  </si>
  <si>
    <t>CENTRAL AMERICAN RED BEANS 4LB</t>
  </si>
  <si>
    <t>CANARY BEANS 4 LB</t>
  </si>
  <si>
    <t>RED KIDNEY 4 LBS</t>
  </si>
  <si>
    <t>CHICK PEAS 4 LB</t>
  </si>
  <si>
    <t>SMALL RED BEANS  4 LB</t>
  </si>
  <si>
    <t>GOYA GIANT WHITE CORN  3 LB</t>
  </si>
  <si>
    <t>BLACK BEANS  4 LB</t>
  </si>
  <si>
    <t>ROMAN BEANS 4 LB</t>
  </si>
  <si>
    <t>YELLOW SPLIT PEAS</t>
  </si>
  <si>
    <t>PINTO BEANS  4 LB</t>
  </si>
  <si>
    <t>BLACK BEANS 10 LB</t>
  </si>
  <si>
    <t>PINTO BEANS 10 LB</t>
  </si>
  <si>
    <t>ROMAN BEANS 10 LB</t>
  </si>
  <si>
    <t>TENDER SWEET PEAS 15 OZ</t>
  </si>
  <si>
    <t>TENDER SWEET PEAS 8.50 OZ</t>
  </si>
  <si>
    <t>ADZUKI BEANS 1 LB</t>
  </si>
  <si>
    <t>FRENCH STYLE GRN BEANS 14.5 OZ</t>
  </si>
  <si>
    <t>FRENCH STYLE GREEN BEANS 8 OZ</t>
  </si>
  <si>
    <t>CUT GREEN BEANS 8 OZ</t>
  </si>
  <si>
    <t>JAMBALAYA RICE MIX</t>
  </si>
  <si>
    <t>CUT GREEN BEANS 24/14.5 OZ</t>
  </si>
  <si>
    <t>PAELLA KIT</t>
  </si>
  <si>
    <t>LENTILS 10 LB</t>
  </si>
  <si>
    <t>GOYA PAELLA 8 OZ</t>
  </si>
  <si>
    <t>FIELD PEAS WITH SNAPS 15 OZ</t>
  </si>
  <si>
    <t>GOYA CANARY BEANS</t>
  </si>
  <si>
    <t>CENTRAL AMERICAN RED BEAN 24OZ</t>
  </si>
  <si>
    <t>GREEN SPLIT PEAS 4 LBS</t>
  </si>
  <si>
    <t>RED LENTILS 4 LBS.</t>
  </si>
  <si>
    <t>PEAS AND CARROTS 8.50 OZ</t>
  </si>
  <si>
    <t>PEAS AND CARROTS 15 OZ</t>
  </si>
  <si>
    <t>WHOLE KERNEL CORN 8.75 OZ</t>
  </si>
  <si>
    <t>WHOLE KERNEL CORN 15.25 OZ</t>
  </si>
  <si>
    <t>GOLDEN CANILLA PARBOILED RICE</t>
  </si>
  <si>
    <t>MIXED VEGETABLES 15 OZ</t>
  </si>
  <si>
    <t>MIXED VEGETABLES 8.5 OZ</t>
  </si>
  <si>
    <t>SLICED BEETS 15 OZ</t>
  </si>
  <si>
    <t>LOW SODIUM WHOLE KERNEL CORN</t>
  </si>
  <si>
    <t>SLICED BEETS 8.25 OZ</t>
  </si>
  <si>
    <t>SLICED CARROTS 14.5 OZ</t>
  </si>
  <si>
    <t>WHOLE MUSHROOMS</t>
  </si>
  <si>
    <t>SLICED MUSHROOMS</t>
  </si>
  <si>
    <t>GREEN LIMA BEANS 15 OZ</t>
  </si>
  <si>
    <t>GOYA WHITE ASPARAGUS 11.6 OZ</t>
  </si>
  <si>
    <t>LOW SODIUM SLICED BEETS</t>
  </si>
  <si>
    <t>GOYA GREEN ASPARAGUS 11.6 OZ</t>
  </si>
  <si>
    <t>LOW SODIUM MIXED VEGETABLES</t>
  </si>
  <si>
    <t>MULTI PK YEL RICE 1/4 PLT DISP</t>
  </si>
  <si>
    <t>GALLO PINTO/CENT AMER STYLE</t>
  </si>
  <si>
    <t>CONGRI-STYL BLCK BEAN AND RICE</t>
  </si>
  <si>
    <t>WHITE HOMINY 15.5 OZ</t>
  </si>
  <si>
    <t>GOLDEN HOMINY 15 OZ</t>
  </si>
  <si>
    <t>GOYA WHITE HOMINY 29 OZ</t>
  </si>
  <si>
    <t>GOYA WHITE HOMINY 111 OZ</t>
  </si>
  <si>
    <t>FANCY BLUE ROSE RICE 1 LB</t>
  </si>
  <si>
    <t>FANCY BLUE ROSE RICE 3 LB</t>
  </si>
  <si>
    <t>FANCY BLUE ROSE RICE 5 LB</t>
  </si>
  <si>
    <t>MAIZ CANCHA MONTANA</t>
  </si>
  <si>
    <t>FANCY BLUE ROSE RICE 10 LB</t>
  </si>
  <si>
    <t>GOYA 20 LB POLY BAG - MEDIUM G</t>
  </si>
  <si>
    <t>FANCY BLUE ROSE RICE 20 LB</t>
  </si>
  <si>
    <t>FANCY BLUE ROSE RICE 50 LB</t>
  </si>
  <si>
    <t>FANCY BLUE ROSE RICE 100 LB</t>
  </si>
  <si>
    <t>GOYA MEDIUM GRAIN GAYLORD</t>
  </si>
  <si>
    <t>LONG GRAIN ORGANIC BROWN RICE</t>
  </si>
  <si>
    <t>GOYA BROWN RICE 14/32 OZ</t>
  </si>
  <si>
    <t>GOYA BROWN RICE 16 OZ</t>
  </si>
  <si>
    <t>LONG GRAIN ORGANIC WHITE RICE</t>
  </si>
  <si>
    <t>GOYA JASMINE BROWN RICE</t>
  </si>
  <si>
    <t>GOYA BASMATI RICE 11 LB</t>
  </si>
  <si>
    <t>GOYA JASMINE RICE 20 LB</t>
  </si>
  <si>
    <t>JASMINE RICE  20 LB</t>
  </si>
  <si>
    <t>JASMINE RICE   10 LB</t>
  </si>
  <si>
    <t>JASMINE RICE 5 LB</t>
  </si>
  <si>
    <t>GOYA 5 LB. BROWN RICE</t>
  </si>
  <si>
    <t>JASMINE RICE</t>
  </si>
  <si>
    <t>GOLDEN CANILLA GAYLORD</t>
  </si>
  <si>
    <t>PILAF RICE MIX</t>
  </si>
  <si>
    <t>VALENCIA RICE 14 OZ</t>
  </si>
  <si>
    <t>GOLDEN CANILLA PARBOILED 1 LB</t>
  </si>
  <si>
    <t>GOLDEN CANILLA PARBOILED 100LB</t>
  </si>
  <si>
    <t>GOLDEN CANILLA PARBOILED 3 LB</t>
  </si>
  <si>
    <t>GOLDEN CANILLA PARBOILED 5 LB</t>
  </si>
  <si>
    <t>GOLDEN CANILLA PARBOILED 10 LB</t>
  </si>
  <si>
    <t>GOLDEN CANILLA PARBOILED 20 LB</t>
  </si>
  <si>
    <t>CANILLA LONG GRAIN RICE 1 LB</t>
  </si>
  <si>
    <t>CANILLA LONG GRAIN RICE 3 LB</t>
  </si>
  <si>
    <t>CANILLA LONG GRAIN RICE 2LB</t>
  </si>
  <si>
    <t>CANILLA LONG GRAIN RICE 5 LB</t>
  </si>
  <si>
    <t>DIRTY RICE MIX</t>
  </si>
  <si>
    <t>CANILLA LONG GRAIN RICE 10 LB</t>
  </si>
  <si>
    <t>CANILLA LG RICE 20 LB POLY BAG</t>
  </si>
  <si>
    <t>CANILLA LONG GRAIN RICE 20 LB</t>
  </si>
  <si>
    <t>CANILLA LONG GRAIN RICE 50 LB</t>
  </si>
  <si>
    <t>K-NILLA LONG GRAIN RICE 100 LB</t>
  </si>
  <si>
    <t>CANILLA GAYLORD   20 LB</t>
  </si>
  <si>
    <t>GOYA INSTANT YELLOW RICE 6 OZ.</t>
  </si>
  <si>
    <t>GOYA INSTANT MEXICAN RICE 6 OZ</t>
  </si>
  <si>
    <t>GOYA INSTANT BROWN RICE 6 OZ.</t>
  </si>
  <si>
    <t>CANILLA RICE 35 LB</t>
  </si>
  <si>
    <t>GOYA COCONUT RICE 7 OZ</t>
  </si>
  <si>
    <t>GOYA JASMINE BOX RICE 12 OZ</t>
  </si>
  <si>
    <t>GOYA BASMATI BOX RICE 12 OZ</t>
  </si>
  <si>
    <t>GOYA VALENCIA BOX RICE 12 OZ</t>
  </si>
  <si>
    <t>GOYA ARBORIO BOX RICE 12 OZ</t>
  </si>
  <si>
    <t>RICE AND PINTO BEANS SW 7 OZ</t>
  </si>
  <si>
    <t>HOPPIN'JOHN-RICE/BLACKEYE PEAS</t>
  </si>
  <si>
    <t>CHICKEN FLAVORED RICE 7 OZ</t>
  </si>
  <si>
    <t>FIESTA RICE 7 OZ</t>
  </si>
  <si>
    <t>ARROZ CON GANDULES 7 OZ</t>
  </si>
  <si>
    <t>YELLOW RICE MIX 7 OZ</t>
  </si>
  <si>
    <t>MEXICAN RICE MIX 7 OZ</t>
  </si>
  <si>
    <t>RICE PRIMAVERA 7 OZ</t>
  </si>
  <si>
    <t>RICE AND BLACK BEANS 7 OZ</t>
  </si>
  <si>
    <t>RICE AND RED BEANS 7 OZ</t>
  </si>
  <si>
    <t>BROCCOLI &amp; CHEESE 7 OZ</t>
  </si>
  <si>
    <t>CURRY RICE 7 OZ</t>
  </si>
  <si>
    <t>CHICKEN &amp; RICE MIX 7 OZ</t>
  </si>
  <si>
    <t>YELLOW RICE DISPLAY 7 OZ</t>
  </si>
  <si>
    <t>QUINOA BLEND BR RICE RBP &amp; G</t>
  </si>
  <si>
    <t>QUINOA BLEND BR RICE BLK BEANS</t>
  </si>
  <si>
    <t>SPANISH RICE  7 OZ</t>
  </si>
  <si>
    <t>GOYA YELLOW RICE &amp; RED BNS</t>
  </si>
  <si>
    <t>YELLOW RICE AND CORN 7 OZ</t>
  </si>
  <si>
    <t>QUINOA BLEND WILD RICE C&amp;M</t>
  </si>
  <si>
    <t>GOYA YELLOW RICE MULTIPACK</t>
  </si>
  <si>
    <t>YELLOW RICE MIX DISP. 384/7 OZ</t>
  </si>
  <si>
    <t>3 MULTIPAK YELLOW RICE DISPLAY</t>
  </si>
  <si>
    <t>YELLOW RICE 14 OZ</t>
  </si>
  <si>
    <t>RICE MIX SHIPPER/MX-BLK-RD</t>
  </si>
  <si>
    <t>8PK/5 LB CANILLA LG RICE</t>
  </si>
  <si>
    <t>GOYA STRW/BANANA SMOOTHIE</t>
  </si>
  <si>
    <t>LOW SODIUM YELLOW RICE 12/7 OZ</t>
  </si>
  <si>
    <t>GOYA DIET PEACH NECTAR</t>
  </si>
  <si>
    <t>GOYA MANGO SMOOTHIE</t>
  </si>
  <si>
    <t>GOYA DIET APRICOT NECTAR</t>
  </si>
  <si>
    <t>RICE MIX SHIPPER (2) 48/7 OZ</t>
  </si>
  <si>
    <t>PEAR NECTAR 33.8 OZ</t>
  </si>
  <si>
    <t>MELOCOTON NECTAR 33.8 OZ</t>
  </si>
  <si>
    <t>ALBARICOQUE NECTAR 33.8 OZ</t>
  </si>
  <si>
    <t>MANZANA NECTAR 33.8 OZ</t>
  </si>
  <si>
    <t>DIET PEAR NECTAR</t>
  </si>
  <si>
    <t>GUAVA NECTAR 33.8 OZ</t>
  </si>
  <si>
    <t>MANGO NECTAR 33.8 OZ</t>
  </si>
  <si>
    <t>PEAR NECTAR 5 OZ</t>
  </si>
  <si>
    <t>DIET PEACH NECTAR</t>
  </si>
  <si>
    <t>PEACH NECTAR 5 OZ</t>
  </si>
  <si>
    <t>DIET APRICOT NECTAR</t>
  </si>
  <si>
    <t>DIET TAMARIND NECTAR</t>
  </si>
  <si>
    <t>PEAR NECTAR</t>
  </si>
  <si>
    <t>PEACH NECTAR</t>
  </si>
  <si>
    <t>APRICOT NECTAR</t>
  </si>
  <si>
    <t>GOYA DIET TAMRIND NECTAR</t>
  </si>
  <si>
    <t>DIET GUANABANA NECTAR</t>
  </si>
  <si>
    <t>DIET GUAVA NECTAR</t>
  </si>
  <si>
    <t>PINEAPPLE/GUAVA NECTAR 42 OZ</t>
  </si>
  <si>
    <t>MIXED COCONUT WATER 1/4 PLT</t>
  </si>
  <si>
    <t>PASSION FRUIT COCKTAIL</t>
  </si>
  <si>
    <t>DIET MANGO NECTAR</t>
  </si>
  <si>
    <t>PEAR NECTAR 42 OZ</t>
  </si>
  <si>
    <t>PEACH NECTAR 42 OZ</t>
  </si>
  <si>
    <t>APRICOT NECTAR 42 OZ</t>
  </si>
  <si>
    <t>PEAR/PASSION NECTAR</t>
  </si>
  <si>
    <t>PINEAPPLE / PASSION NECTAR</t>
  </si>
  <si>
    <t>PINEAPPLE/GUAVA NECTAR</t>
  </si>
  <si>
    <t>GOYA DIET GUAVA NECTAR</t>
  </si>
  <si>
    <t>GOYA ORGANIC COCONUT WATER</t>
  </si>
  <si>
    <t>TAMARIND NECTAR</t>
  </si>
  <si>
    <t>ORANGE CARROT NECTAR 33.8 OZ</t>
  </si>
  <si>
    <t>GUANABANA NECTAR</t>
  </si>
  <si>
    <t>PAPAYA NECTAR</t>
  </si>
  <si>
    <t>GUAVA NECTAR</t>
  </si>
  <si>
    <t>MANGO NECTAR</t>
  </si>
  <si>
    <t>TAMARIND NECTAR 42 OZ</t>
  </si>
  <si>
    <t>GUANABANA NECTAR 42 OZ</t>
  </si>
  <si>
    <t>GUAVA NECTAR 42 OZ</t>
  </si>
  <si>
    <t>MANGO NECTAR 42 OZ</t>
  </si>
  <si>
    <t>TAMARIND NECTAR 5 OZ</t>
  </si>
  <si>
    <t>MANGO NECTAR 5 OZ</t>
  </si>
  <si>
    <t>GUANABANA NECTAR 5 OZ</t>
  </si>
  <si>
    <t>GUAVA NECTAR 5 OZ</t>
  </si>
  <si>
    <t>PAPAYA NECTAR 42 OZ</t>
  </si>
  <si>
    <t>GOYA STRAWBERRY NECTAR</t>
  </si>
  <si>
    <t>BANANA NECTAR</t>
  </si>
  <si>
    <t>GOYA STRAW / BANANA NECTAR</t>
  </si>
  <si>
    <t>GOYA PRISMA APPLE JUICE</t>
  </si>
  <si>
    <t>GOYA PRISMA PINEAPPLE GUAVA</t>
  </si>
  <si>
    <t>GOYA COCONUT WATER ROASTED UHT</t>
  </si>
  <si>
    <t>GOYA PRISMA FRUIT PUNCH</t>
  </si>
  <si>
    <t>GOYA DIET MANGO NECTAR</t>
  </si>
  <si>
    <t>GOYA PASSION FRUIT COCKTAIL</t>
  </si>
  <si>
    <t>COCONUT MILK DRINK</t>
  </si>
  <si>
    <t>GOYA COCONUT WATER DISPLAY</t>
  </si>
  <si>
    <t>GOYA PURE COCONUT WATER</t>
  </si>
  <si>
    <t>GOYA COCONUT WATER</t>
  </si>
  <si>
    <t>PINEAPPLE JUICE  5 OZ</t>
  </si>
  <si>
    <t>GOYA ROASTED COCONUT JUICE</t>
  </si>
  <si>
    <t>PINEAPPLE JUICE 42 OZ</t>
  </si>
  <si>
    <t>PINEAPPLE JUICE</t>
  </si>
  <si>
    <t>GOYA SUGAR CANE JUICE 11.8 OZ</t>
  </si>
  <si>
    <t>GOYA COCONUT WATER W/PIECE</t>
  </si>
  <si>
    <t>COCONUT WATER REDUCED SUGAR</t>
  </si>
  <si>
    <t>GOYA CANS COCONUT WATER TALL</t>
  </si>
  <si>
    <t>GOYA COCONUT WATER 11.2 FL OZ</t>
  </si>
  <si>
    <t>GOYA COCONUT WATER 5 / 6 PK</t>
  </si>
  <si>
    <t>GOYA ROASTED COCONUT WATER17.6</t>
  </si>
  <si>
    <t>GOYA TROPICAL FRUIT PUNCH</t>
  </si>
  <si>
    <t>GOYA TROPICAL FRUIT PUNCH 42 O</t>
  </si>
  <si>
    <t>GOYA PRISMA TAMARIND 33.8 OZ</t>
  </si>
  <si>
    <t>GOYA PRISMA PINEAPPLE 33.8 OZ.</t>
  </si>
  <si>
    <t>PERAS MITADES GOYA 15.25 OZ</t>
  </si>
  <si>
    <t>GOYA PRISMA PASSION FRUIT CKTL</t>
  </si>
  <si>
    <t>GOYA PRISMA PERA NECTAR 33.8OZ</t>
  </si>
  <si>
    <t>GOYA PRISMA PEACH NECTAR 33.8</t>
  </si>
  <si>
    <t>GOYA PRISMA GUAVA NECTAR 33.8</t>
  </si>
  <si>
    <t>GOYA PRISMA MANGO NECTAR 33.8</t>
  </si>
  <si>
    <t>GOYA LIGHT MANGO NECTAR</t>
  </si>
  <si>
    <t>MELOCOTONES REB GOYA 29 OZ</t>
  </si>
  <si>
    <t>MELOCOTONES MITADES GOYA 29 OZ</t>
  </si>
  <si>
    <t>MEXICAN CINNAMON STICK .75 OZ</t>
  </si>
  <si>
    <t>MELOCOTONES REB GOYA 15.25 OZ</t>
  </si>
  <si>
    <t>MELOCOTONES MITADES GOYA 15.25</t>
  </si>
  <si>
    <t>GOYA LIGHT GUAVA NECTAR</t>
  </si>
  <si>
    <t>BROWN RICE LONG GRAIN 10LBS</t>
  </si>
  <si>
    <t>PRISMA NECTARS 1/4 PALLET</t>
  </si>
  <si>
    <t>COCTEL DE FRUTAS GOYA 15.25 OZ</t>
  </si>
  <si>
    <t>COCTEL DE FRUTAS GOYA 30 OZ</t>
  </si>
  <si>
    <t>GOYA AGED BASMATI RICE 2 LB</t>
  </si>
  <si>
    <t>GOYA AGED BASMATI RICE  5 LB</t>
  </si>
  <si>
    <t>LOW SODIUM RICE &amp; BLACK BEANS</t>
  </si>
  <si>
    <t>LOW SODIUM RICE &amp; RED BEANS</t>
  </si>
  <si>
    <t>VEGAN YELLOW RICE</t>
  </si>
  <si>
    <t>GOYA WHOLE YELLOW GUAVAS 30 OZ</t>
  </si>
  <si>
    <t>SLICE PINEAPPLE 20 OZ</t>
  </si>
  <si>
    <t>CHUNK PINEAPPLE 20 OZ</t>
  </si>
  <si>
    <t>CRUSHED PINAPPLE 20 OZ</t>
  </si>
  <si>
    <t>CHILE PULLA 12/3 OZ</t>
  </si>
  <si>
    <t>CHILE ANCHO 12/3 OZ</t>
  </si>
  <si>
    <t>DICED GREEN CHILES 4 OZ.</t>
  </si>
  <si>
    <t>CHILE GUAJILLO 12/3 OZ</t>
  </si>
  <si>
    <t>CHILE MULATO 3 OZ</t>
  </si>
  <si>
    <t>CHILE ARBOL 12/3 OZ</t>
  </si>
  <si>
    <t>CHILE PASILLA 12/3 OZ</t>
  </si>
  <si>
    <t>CHIPOTLES 3 OZ</t>
  </si>
  <si>
    <t>JALAPENO PEPPERS WHOLE 11 OZ</t>
  </si>
  <si>
    <t>JALAPENO PEPPERS WHOLE 26 OZ</t>
  </si>
  <si>
    <t>JALAPENO PEPPERS WHOLE 6LB 4OZ</t>
  </si>
  <si>
    <t>DICED GREEN CHILES 7 OZ</t>
  </si>
  <si>
    <t>PONCHE DRIED FRUIT MIX 8 OZ</t>
  </si>
  <si>
    <t>JALAPENO SLICED GREENS 11 OZ</t>
  </si>
  <si>
    <t>JALAPENO SLICED GREEN 26 OZ</t>
  </si>
  <si>
    <t>CHIPOTLE SHIPPER DISPLAY</t>
  </si>
  <si>
    <t>SERRANO PEPPERS 11 OZ</t>
  </si>
  <si>
    <t>SERRANO PEPPERS 26 OZ</t>
  </si>
  <si>
    <t>CHILES CHIPOTLE 28 OZ</t>
  </si>
  <si>
    <t>PICKLED NACHOS 26 OZ</t>
  </si>
  <si>
    <t>PICKLED NACHOS 11 OZ</t>
  </si>
  <si>
    <t>WHOLE TOMATILLO 26 OZ</t>
  </si>
  <si>
    <t>CRUSHED TOMATILLO 26 OZ</t>
  </si>
  <si>
    <t>CHILES CHIPOTLES 12/12 OZ</t>
  </si>
  <si>
    <t>NOPALITOS 30 OZ</t>
  </si>
  <si>
    <t>GOYA FLOR DE CALABAZA 7 OZ</t>
  </si>
  <si>
    <t>CHILES CHIPOTLES 7 OZ</t>
  </si>
  <si>
    <t>GOYA HUITLACOCHE</t>
  </si>
  <si>
    <t>SALSA ROJA CASERA MEXICANA</t>
  </si>
  <si>
    <t>SALSA VERDE MEX. 7 OZ</t>
  </si>
  <si>
    <t>ORGANIC TRDTNL REFRIED BEANS</t>
  </si>
  <si>
    <t>ORGANIC BLACK REFRIED BEANS</t>
  </si>
  <si>
    <t>SALSITA CHIPOTLE  8 OZ</t>
  </si>
  <si>
    <t>HOJA TAMAL ENCONCHADA 6 OZ</t>
  </si>
  <si>
    <t>SALSITA JALAPENO 8 OZ</t>
  </si>
  <si>
    <t>SALSITA ARBOL 8 OZ</t>
  </si>
  <si>
    <t>SALSITA ANCHO 8 OZ</t>
  </si>
  <si>
    <t>SALSITA HABANERO 8 OZ</t>
  </si>
  <si>
    <t>GOYA SALSA VERDE 17.6 OZ</t>
  </si>
  <si>
    <t>GOYA SALSA TAQUERA 17.6 OZ</t>
  </si>
  <si>
    <t>PICO DE GALLO SALSA 17.6 OZ</t>
  </si>
  <si>
    <t>PICO DE GALLO HOT SALSA 17.6OZ</t>
  </si>
  <si>
    <t>LA MODERNA PEARL MUNICION</t>
  </si>
  <si>
    <t>BOTANITA HOT SAUCE LIME</t>
  </si>
  <si>
    <t>ZANAHORIAS EN ESCABECHE 12 OZ</t>
  </si>
  <si>
    <t>LA MODERNA SURTIDO  10/24 OZ</t>
  </si>
  <si>
    <t>LA MODERNA ROTINI TRICOLOR</t>
  </si>
  <si>
    <t>REFRIED BEANS MAYOCOBAS 16 OZ</t>
  </si>
  <si>
    <t>REFRIED BEANS CHORIZO 16 OZ</t>
  </si>
  <si>
    <t>REFRIED BEANS TRADITIONAL 16 O</t>
  </si>
  <si>
    <t>REFRIED BEANS CHIPOTLE  16 OZ</t>
  </si>
  <si>
    <t>REFRIED RANCHEROS   16 OZ</t>
  </si>
  <si>
    <t>GOYA BLACK REFRIED BEANS 16 OZ</t>
  </si>
  <si>
    <t>GOYA MOLE ROJO 12/9 OZ</t>
  </si>
  <si>
    <t>REFRIED BEANS BLACK FAT FREE</t>
  </si>
  <si>
    <t>REFRIED BEANS PINTO FAT FREE</t>
  </si>
  <si>
    <t>BLK BEANS RF REDUCED SODIUM</t>
  </si>
  <si>
    <t>PINTO BEANS RF RED. SODIUM</t>
  </si>
  <si>
    <t>LA MODERNA NIDO FIDEOS</t>
  </si>
  <si>
    <t>LA MODERNA GEARS   7.05 OZ</t>
  </si>
  <si>
    <t>LA MODERNA MACARONI  7.05 OZ</t>
  </si>
  <si>
    <t>LA MODERNA VERMICELLI  7.05 OZ</t>
  </si>
  <si>
    <t>LA MODERNA FIDEO   7.05 OZ</t>
  </si>
  <si>
    <t>LA MODERNA SPAGHETTI 7.05 OZ</t>
  </si>
  <si>
    <t>LA MODERNA MELON SEED  7.05 OZ</t>
  </si>
  <si>
    <t>LA MODERNA STARS   7.05 OZ</t>
  </si>
  <si>
    <t>LA MODERNA ALPHABETS  7.05 OZ</t>
  </si>
  <si>
    <t>LA MODERNA SMALL ELBOWS 7.05 O</t>
  </si>
  <si>
    <t>LA MODERNA MEDIUM ELBOW 7.05 O</t>
  </si>
  <si>
    <t>LA MODERNA SHELLS      7.05 OZ</t>
  </si>
  <si>
    <t>LA MODERNA COIL VERMICELLI</t>
  </si>
  <si>
    <t>LA MODERNA BOWTIE   7.05 OZ</t>
  </si>
  <si>
    <t>LA MODERNA SPAGHETTI  16 OZ</t>
  </si>
  <si>
    <t>LA MODERNA ELBOW      16 OZ</t>
  </si>
  <si>
    <t>LA MODERNA SHELLS     16 OZ</t>
  </si>
  <si>
    <t>LA MODERNA VERMICELLI 16 OZ</t>
  </si>
  <si>
    <t>LA MDERNA VERMICELLI SOUP</t>
  </si>
  <si>
    <t>LA MODERNA ELBOW SOUP</t>
  </si>
  <si>
    <t>LA MODERNA MARIA COOKIES</t>
  </si>
  <si>
    <t>LA MODERNA ASSORTED CKES 16 OZ</t>
  </si>
  <si>
    <t>LA MODERNA ANIMAL CRACKERS</t>
  </si>
  <si>
    <t>GRAGEAS CKIES LA MODERNA</t>
  </si>
  <si>
    <t>LA MDRNA MRSHMLW CRKER</t>
  </si>
  <si>
    <t>LA MODERNA ALPHABET SOUP 3 OZ</t>
  </si>
  <si>
    <t>LA MODERNA STAR SOUP 3 OZ</t>
  </si>
  <si>
    <t>LA MODERNA TOSTADA CKIES 14 OZ</t>
  </si>
  <si>
    <t>MARIANITA COOKIE</t>
  </si>
  <si>
    <t>LA MODERNA VERMICELLI SOUP TOM</t>
  </si>
  <si>
    <t>PINTO BEANS RF TRADITIONAL</t>
  </si>
  <si>
    <t>GOYA FLOR DE IZOTE 12/32 OZ</t>
  </si>
  <si>
    <t>GOYA PONCHE ALMIBAR 32 OZ</t>
  </si>
  <si>
    <t>MARIANITA COOKIE - COCONUT</t>
  </si>
  <si>
    <t>PANELA CUADRADA  16 OZ</t>
  </si>
  <si>
    <t>PANELA REDONDA  16 OZ</t>
  </si>
  <si>
    <t>PILONCILLO CONO-PANELA 8 OZ</t>
  </si>
  <si>
    <t>REFRIED PINTO BEANS POUCH 15OZ</t>
  </si>
  <si>
    <t>NANCE 32 OZ</t>
  </si>
  <si>
    <t>JOCOTE 32 OZ</t>
  </si>
  <si>
    <t>GOYA ENSALADA ENCURTIDO 32 OZ.</t>
  </si>
  <si>
    <t>CURTIDO SALVADORENO 32 OZ</t>
  </si>
  <si>
    <t>TEJOCOTE-MANZANILLA 32 OZ</t>
  </si>
  <si>
    <t>LOROCO 32 OZ</t>
  </si>
  <si>
    <t>PACAYA 32 OZ</t>
  </si>
  <si>
    <t>LA MODERNA FIDEO SOUP CKN 3 OZ</t>
  </si>
  <si>
    <t>FRIJOLES VOLTEADOS BLACK 16 OZ</t>
  </si>
  <si>
    <t>FRIJOLES VOLTEADOS RED  16 OZ</t>
  </si>
  <si>
    <t>DUCAL RED REFRIED BEANS</t>
  </si>
  <si>
    <t>DUCAL BLACK REFRIED BEANS</t>
  </si>
  <si>
    <t>CHAO MEIN CANTONESA 12 OZ</t>
  </si>
  <si>
    <t>KIRBY BLACK BEANS  15 OZ</t>
  </si>
  <si>
    <t>WHOLE BLACK BEANS DUCAL 29 OZ</t>
  </si>
  <si>
    <t>WHOLE RED BEANS DUCAL 29 OZ</t>
  </si>
  <si>
    <t>GOYA MARINADES-SAZON 1/4 PLT</t>
  </si>
  <si>
    <t>MOJO CRIOLLO 6/ 1/2 GAL</t>
  </si>
  <si>
    <t>MOJO PICANTE 12/24.5 OZ</t>
  </si>
  <si>
    <t>NARANJA AGRIA 6/1 GAL</t>
  </si>
  <si>
    <t>CHIPOTLE MOJO   12 OZ</t>
  </si>
  <si>
    <t>LEMON JUICE  32 OZ</t>
  </si>
  <si>
    <t>CHIPOTLE MOJO   24.5 OZ</t>
  </si>
  <si>
    <t>MOJO CRIOLLO  12 OZ</t>
  </si>
  <si>
    <t>MOJO CRIOLLO 12/24.5 OZ</t>
  </si>
  <si>
    <t>MOJO CRIOLLO  1 GAL</t>
  </si>
  <si>
    <t>NARANJA AGRIA 12 OZ</t>
  </si>
  <si>
    <t>NARANJA AGRIA 24.5 OZ</t>
  </si>
  <si>
    <t>GUAVA PASTE 16 OZ</t>
  </si>
  <si>
    <t>LIME JUICE 12/32 FL. OZ.</t>
  </si>
  <si>
    <t>GOYA GUAVA SHELLS 17 OZ.</t>
  </si>
  <si>
    <t>GOYA GUAVA SHELLS 34 OZ.</t>
  </si>
  <si>
    <t>GUAVA PASTE 21 OZ</t>
  </si>
  <si>
    <t>GOYA GUAVA PASTE  11 OZ</t>
  </si>
  <si>
    <t>GOYA GUAVA PASTE  12/14 OZ</t>
  </si>
  <si>
    <t>GOYA MANGO SLICES WITH PULP</t>
  </si>
  <si>
    <t>DULCE DE PAPAYA SLICES 17 OZ</t>
  </si>
  <si>
    <t>DULCE PAPAYA/PAPAYA SLICES 34</t>
  </si>
  <si>
    <t>LA MODERNA KIDS PASTA-ANIMALS</t>
  </si>
  <si>
    <t>MOJO CEVICHE 24.5 OZ.</t>
  </si>
  <si>
    <t>MOJO PINA 24.5 OZ</t>
  </si>
  <si>
    <t>LA MODERNA COCONUT BAR</t>
  </si>
  <si>
    <t>LA MODERNA KIDS PASTA-DINOS</t>
  </si>
  <si>
    <t>LA MODERNA KIDS SOUP-DINOS</t>
  </si>
  <si>
    <t>LA MODERNA KIDS SOUP-SPORTS</t>
  </si>
  <si>
    <t>DUCAL  MANGO JUICE DRINK</t>
  </si>
  <si>
    <t>GOYA SUGAR FREE GUAVA PASTE</t>
  </si>
  <si>
    <t>ANCEL PAPAYA CHUNKS 34 OZ</t>
  </si>
  <si>
    <t>ANCEL GRATED COCONUT 34 OZ</t>
  </si>
  <si>
    <t>ANCEL GUAVA SHELLS  34 OZ.</t>
  </si>
  <si>
    <t>ANCEL ORANGE SHELLS 34 OZ</t>
  </si>
  <si>
    <t>ANCEL GRATED COCONUT 17 OZ</t>
  </si>
  <si>
    <t>ANCEL GUAVA MARMALADE 17 OZ</t>
  </si>
  <si>
    <t>ANCEL PAPAYA CHUNKS 17 OZ</t>
  </si>
  <si>
    <t>ANCEL GUAVA SHELLS  17 OZ.</t>
  </si>
  <si>
    <t>MINI PILONCILLO PANELA 2 PACK</t>
  </si>
  <si>
    <t>ANCEL GUAVA PASTE 16 OZ</t>
  </si>
  <si>
    <t>GOYA LEMON JUICE</t>
  </si>
  <si>
    <t>PASTA GUAVA C/JALEA ANCEL 18OZ</t>
  </si>
  <si>
    <t>ANCEL ORANGE SHELLS  17 OZ</t>
  </si>
  <si>
    <t>MANGO MARMALADE 24/16.5 OZ.</t>
  </si>
  <si>
    <t>PASTA DE AJI MIRASOL 12/7.5 OZ</t>
  </si>
  <si>
    <t>PASTA DE HUACATAY 12/7.5 OZ</t>
  </si>
  <si>
    <t>PASTA DE ROCOTO 12/7.5 OZ.</t>
  </si>
  <si>
    <t>PASTA DE AJI AMARILLO 12/7.5OZ</t>
  </si>
  <si>
    <t>PASTA DE AJI PANCA 12/7.5 OZ.</t>
  </si>
  <si>
    <t>RICE MAJARETE PUDDING</t>
  </si>
  <si>
    <t>ARROZ CON LECHE 4.25 OZ</t>
  </si>
  <si>
    <t>CORN MAJARETE PUDDING 3 1/2 OZ</t>
  </si>
  <si>
    <t>LIME JUICE 8 FL.OZ</t>
  </si>
  <si>
    <t>TEMBLEQUE 3 1/2 OZ</t>
  </si>
  <si>
    <t>NATILLA 3.25 OZ</t>
  </si>
  <si>
    <t>FLAN 2 OZ</t>
  </si>
  <si>
    <t>FLAN 4 OZ</t>
  </si>
  <si>
    <t>FLAN WITH CARAMEL 2 3/4 OZ</t>
  </si>
  <si>
    <t>FLAN WITH CARAMEL 5 1/2 OZ</t>
  </si>
  <si>
    <t>GOYA PAN DE BONO 20/14.1 OZ</t>
  </si>
  <si>
    <t>GOYA BUNUELOS 20/14.11 OZ</t>
  </si>
  <si>
    <t>GOYA NATILLA 20/14.1 OZ</t>
  </si>
  <si>
    <t>PLAIN HONEY 16 OZ</t>
  </si>
  <si>
    <t>ELOTITOS TIERNOS 8 OZ.</t>
  </si>
  <si>
    <t>PLAIN HONEY 8 OZ</t>
  </si>
  <si>
    <t>PLAIN HONEY 5 OZ</t>
  </si>
  <si>
    <t>BLUE AGAVE ORGANIC SWEETENER</t>
  </si>
  <si>
    <t>COMB HONEY 8 OZ</t>
  </si>
  <si>
    <t>COMB HONEY 16 OZ</t>
  </si>
  <si>
    <t>PANELA FRACCIONADA</t>
  </si>
  <si>
    <t>GOYA ORGANIC GRANULATED PANELA</t>
  </si>
  <si>
    <t>GOYA RED ENCHILADA SAUCE 8 OZ</t>
  </si>
  <si>
    <t>GOYA RED ENCHILADA SAUCE 28 OZ</t>
  </si>
  <si>
    <t>POWDERED VEG FLAVORED BOUILLON</t>
  </si>
  <si>
    <t>CUBITOS CHICKEN REDUCED SODIUM</t>
  </si>
  <si>
    <t>CUBITOS BEEF REDUCED SODIUM</t>
  </si>
  <si>
    <t>CUBITOS POLVO-CHICKEN 2.82 OZ</t>
  </si>
  <si>
    <t>GOYA CONSUME / CUBITOS 2.82 OZ</t>
  </si>
  <si>
    <t>CUBITOS POLVO-BEEF 8/ 2.82 OZ</t>
  </si>
  <si>
    <t>CUBITOS POLVO-CKN/TOM 8/ 2.25</t>
  </si>
  <si>
    <t>ECONO SHIPPER CUBITOS POLLO</t>
  </si>
  <si>
    <t>CUBITOS POLVO ECONO  7.05 OZ</t>
  </si>
  <si>
    <t>FANCY FAJITA SEASONING</t>
  </si>
  <si>
    <t>MESQUITE FAJITA SEASONING</t>
  </si>
  <si>
    <t>EL MINO CHORIZOS 7 OZ</t>
  </si>
  <si>
    <t>EL MINO CHORIZOS 3.5 OZ</t>
  </si>
  <si>
    <t>CHORIZOS</t>
  </si>
  <si>
    <t>CHORIZOS-4PK  7 OZ</t>
  </si>
  <si>
    <t>VIENNA SAUSAGE 4.6 OZ</t>
  </si>
  <si>
    <t>VIENNA SAUSAGE 9 OZ</t>
  </si>
  <si>
    <t>VIENNA SAUSAGE HOT SAUCE 4.6</t>
  </si>
  <si>
    <t>GOYA CHICKEN VIENNA 4.6 OZ</t>
  </si>
  <si>
    <t>GOYA CHICKEN VIENNA 9 OZ</t>
  </si>
  <si>
    <t>DUCAL BLACK BEANS DOY-PACK</t>
  </si>
  <si>
    <t>DUCAL RED BEANS DOY PACK</t>
  </si>
  <si>
    <t>CAMPOFRIO MALLITA SALAMI 2.5LB</t>
  </si>
  <si>
    <t>CAMPOFRIO MALLITA SALAMI 1 LB</t>
  </si>
  <si>
    <t>SALAMI HIGUERAL POPULAR 1 LB</t>
  </si>
  <si>
    <t>SALAMI HIGUERAL POPULAR 2.5 LB</t>
  </si>
  <si>
    <t>CAMPOFRIO HIGUERAL SALCHIC2.5L</t>
  </si>
  <si>
    <t>CAMPOFRIO HIGUERAL SALCHIC 1LB</t>
  </si>
  <si>
    <t>JAMONADA HIGUERAL</t>
  </si>
  <si>
    <t>GOYA COOKED HAM 16 OZ.</t>
  </si>
  <si>
    <t>DULCE DE MANGO</t>
  </si>
  <si>
    <t>DULCE DE MEMBRILLO</t>
  </si>
  <si>
    <t>CORNED BEEF</t>
  </si>
  <si>
    <t>DULCE DE LECHE</t>
  </si>
  <si>
    <t>CORNED BEEF REDUCED SODIUM 25%</t>
  </si>
  <si>
    <t>DULCE DE GUAYABA</t>
  </si>
  <si>
    <t>NAPOLITANO</t>
  </si>
  <si>
    <t>SALAMI-SALCHICHON  8 OZ</t>
  </si>
  <si>
    <t>SALAMI-SALCHICHON  12 OZ</t>
  </si>
  <si>
    <t>LUNCHEON MEAT  12 OZ</t>
  </si>
  <si>
    <t>POTTED MEAT  3 OZ</t>
  </si>
  <si>
    <t>POTTED MEAT  5 1/2 OZ</t>
  </si>
  <si>
    <t>LARD-MANTECA  1 LB</t>
  </si>
  <si>
    <t>LARD-MANTECA  2 1/2 LB</t>
  </si>
  <si>
    <t>LARD-MANTECA  4 LB</t>
  </si>
  <si>
    <t>BONITO &amp; VEG. W/ MAYO SALAD</t>
  </si>
  <si>
    <t>BONITO &amp; VEG.- MEDITERAN SALAD</t>
  </si>
  <si>
    <t>BONITO &amp; VEG.- CALI SALAD</t>
  </si>
  <si>
    <t>COD IN BAG  1 LB</t>
  </si>
  <si>
    <t>GOYA COD LOMO 24 X 1LB</t>
  </si>
  <si>
    <t>GOYA POLLACK LOMO 24 X 1LB</t>
  </si>
  <si>
    <t>GOYA ALASKAN POLLOCK FILLETS</t>
  </si>
  <si>
    <t>SMOKED HERRING FILLET 12 OZ</t>
  </si>
  <si>
    <t>DUCAL REFRIED BLK BEANS DOY PK</t>
  </si>
  <si>
    <t>DUCAL RED SILK RFRD BEANS 28OZ</t>
  </si>
  <si>
    <t>DUCAL BLK/RFRD BEAN W/JALAPENO</t>
  </si>
  <si>
    <t>DUCAL RED SILK RFRD BEANS 14.1</t>
  </si>
  <si>
    <t>DUCAL BLACK BEANS WITH CHEESE</t>
  </si>
  <si>
    <t>DUCAL RED BEANS CHORIZO FLAV.</t>
  </si>
  <si>
    <t>DUCAL RFRD RED BEANS DOY PACK</t>
  </si>
  <si>
    <t>DUCAL BLACK BEANS 14 OZ + 15%</t>
  </si>
  <si>
    <t>DUCAL RED BEANS 14 OZ + 15% DP</t>
  </si>
  <si>
    <t>GOYA PAELLA</t>
  </si>
  <si>
    <t>GOYA VEGAN PAELLA 19 OZ</t>
  </si>
  <si>
    <t>GOYA BLK SQUID INK PAELLA KIT</t>
  </si>
  <si>
    <t>CONDENSED MILK SQUEEZE BOTTLE</t>
  </si>
  <si>
    <t>SARDINES SUNFLOWER OIL</t>
  </si>
  <si>
    <t>JUMBO SQUID IN VEGETABLE OIL</t>
  </si>
  <si>
    <t>SARDINES LEMON  4 1/4 OZ</t>
  </si>
  <si>
    <t>SARDINES OLIVE OIL  4 1/4 OZ</t>
  </si>
  <si>
    <t>SARDINES SPICE  4 1/4 OZ</t>
  </si>
  <si>
    <t>SARDINES TMTO SAUCE  4 1/4 OZ</t>
  </si>
  <si>
    <t>OVAL SARDINE TMTO SAUCE  15 OZ</t>
  </si>
  <si>
    <t>SARDINE TMTO SCE-TINAPA 5.5 OZ</t>
  </si>
  <si>
    <t>OVAL SARDINE HOT SAUCE 15 OZ</t>
  </si>
  <si>
    <t>SARDINE TMTO HOT-TINAPA 5.5 OZ</t>
  </si>
  <si>
    <t>OVAL SARDINES IN VEG OIL 15 OZ</t>
  </si>
  <si>
    <t>JACK MACKEREL  15 OZ</t>
  </si>
  <si>
    <t>GOYA ANGULAS SURIMI 3.88 OZ</t>
  </si>
  <si>
    <t>BACALAO VIZCAINA  4 OZ</t>
  </si>
  <si>
    <t>WHITE TUNA IN OLIVE OIL 4 OZ</t>
  </si>
  <si>
    <t>WHITE TUNA IN TOMATE SAUCE</t>
  </si>
  <si>
    <t>SARDINILLA  4 1/4 OZ</t>
  </si>
  <si>
    <t>MEJILLONES ESCABECHE  4 OZ</t>
  </si>
  <si>
    <t>JACK MACKEREL IN TOMATO SAUCE</t>
  </si>
  <si>
    <t>CALAMARES EN SU TINTA  4 OZ</t>
  </si>
  <si>
    <t>GOYA SQUID IN INK 4 OZ.</t>
  </si>
  <si>
    <t>CALAMARES EN TINTA PICANTE 4OZ</t>
  </si>
  <si>
    <t>SQUID/OCTOPUS STYLE OLIVE OIL</t>
  </si>
  <si>
    <t>SQUID/OCTOPUS STYLE MARINERA</t>
  </si>
  <si>
    <t>SQUID/OCTOPUS STYLE AJILLO</t>
  </si>
  <si>
    <t>SQUID/OCTOPUS STYLE PICANTE</t>
  </si>
  <si>
    <t>GOYA BONITO IN OLIVE OIL 4 OZ</t>
  </si>
  <si>
    <t>GOYA BONITO IN TOMATO SAUCE</t>
  </si>
  <si>
    <t>GOYA TUNA/CORN-ATUN/ELOTE 4.94</t>
  </si>
  <si>
    <t>TUNA/MX VEG-ATUN/MX VEG 4.94</t>
  </si>
  <si>
    <t>TUNA/JLPNO-ATUN/JLPNO  4.94 OZ</t>
  </si>
  <si>
    <t>PINK SALMON  14.75 OZ.</t>
  </si>
  <si>
    <t>GOYA BONITO SHIPPERS</t>
  </si>
  <si>
    <t>PULPO IN OLIVE OIL 4 OZ.</t>
  </si>
  <si>
    <t>SQUID/OCTOPUS STYL OO SHPR</t>
  </si>
  <si>
    <t>SQUID/OCTOPUS STYL GR SHPR</t>
  </si>
  <si>
    <t>GOYA OCTOPUS IN MARINERA SAUCE</t>
  </si>
  <si>
    <t>GOYA OCTOPUS IN GARLIC SAUCE</t>
  </si>
  <si>
    <t>YELLOWFIN TUNA SPREAD W/ VEG.</t>
  </si>
  <si>
    <t>YELLOWFINTUNA GALICIAN SAU HOT</t>
  </si>
  <si>
    <t>JUMBO SQUID IN VEG.OIL SHIPPER</t>
  </si>
  <si>
    <t>GOYA DULCE DE LECHE  15 OZ</t>
  </si>
  <si>
    <t>GOYA SQUEEZE DULCE LECHE 14 OZ</t>
  </si>
  <si>
    <t>GOYA CONDENSED MILK EASY OPEN</t>
  </si>
  <si>
    <t>GOYA BONITO SALAD SHIPPER</t>
  </si>
  <si>
    <t>SWEETENED CONDENSED MILK 14 OZ</t>
  </si>
  <si>
    <t>GOYA EVAPORATED MILK</t>
  </si>
  <si>
    <t>COQUITO QUARTER PALLET</t>
  </si>
  <si>
    <t>NELA SWTENED CONDENS FILL MILK</t>
  </si>
  <si>
    <t>NELA EVAPORATED FILLED MILK 12</t>
  </si>
  <si>
    <t>GOYA ADOBO W/MDTRRNN SEA SALT</t>
  </si>
  <si>
    <t>GOYA NACHO CHEESE SAUCE MILD</t>
  </si>
  <si>
    <t>GOYA NACHO CHEESE SAUCE ZESTY</t>
  </si>
  <si>
    <t>SAZONADOR TOTAL WITH PEPPER</t>
  </si>
  <si>
    <t>GOYA CHILIN 5 OZ</t>
  </si>
  <si>
    <t>CORTES MOLIDO POUCH LITE 5 OZ</t>
  </si>
  <si>
    <t>TILO/LINDEN FLOWER .2 OZ</t>
  </si>
  <si>
    <t>GROUND OREGANO  1.25OZ</t>
  </si>
  <si>
    <t>ALL SPICE  1.5 OZ</t>
  </si>
  <si>
    <t>ANIS SEED  1.8 OZ</t>
  </si>
  <si>
    <t>WHOLE CLOVES  1.2 OZ</t>
  </si>
  <si>
    <t>WHOLE BLACK PEPPER  1.8 OZ</t>
  </si>
  <si>
    <t>GARLIC SALT  4.2 OZ</t>
  </si>
  <si>
    <t>GOYA KOSHER SEA SALT 23 OZ</t>
  </si>
  <si>
    <t>STAR ANIS  .75 OZ</t>
  </si>
  <si>
    <t>BAY LEAF  .20 OZ</t>
  </si>
  <si>
    <t>STICK CINNAMON  1.2 OZ</t>
  </si>
  <si>
    <t>CHILI POWDER  2.5 OZ</t>
  </si>
  <si>
    <t>JAMAICAN CURRY POWDER 1.76 OZ</t>
  </si>
  <si>
    <t>CUMMIN SEED  1.5 OZ</t>
  </si>
  <si>
    <t>GROUND CUMMIN  1.8 OZ</t>
  </si>
  <si>
    <t>GARLIC POWDER  2.6 OZ</t>
  </si>
  <si>
    <t>GROUND CINNAMON  2.1 OZ</t>
  </si>
  <si>
    <t>ONION POWDER  2.5 OZ</t>
  </si>
  <si>
    <t>MANZANILLA / CAMOMILE .40 OZ</t>
  </si>
  <si>
    <t>CRUSHED RED PEPPER  1.2 OZ</t>
  </si>
  <si>
    <t>PAPRIKA  2.17 OZ</t>
  </si>
  <si>
    <t>GROUND BLACK PEPPER 1.8 OZ</t>
  </si>
  <si>
    <t>SAZON GOYA OREGANO LOW SODIUM</t>
  </si>
  <si>
    <t>SAZON GOYA ECONO SHIPPER CUL/A</t>
  </si>
  <si>
    <t>SAZON CLNTRO/ACHTE 36 ENV/6.33</t>
  </si>
  <si>
    <t>SAZON AJO Y CEBOLLA 3.52 OZ</t>
  </si>
  <si>
    <t>SAZON CLNTRO/ACHTE JUMB 6.33OZ</t>
  </si>
  <si>
    <t>SAZON AZAFRAN ECONOPAK 3.52 OZ</t>
  </si>
  <si>
    <t>20/SAZON GOYA ECONOPAK 3.52 OZ</t>
  </si>
  <si>
    <t>SAZON CLNTRO/ACHTE ECON 3.52OZ</t>
  </si>
  <si>
    <t>SAZON GOYA FAMILY 12ENV/2.11OZ</t>
  </si>
  <si>
    <t>SAZON CLNTRO / ACHTE</t>
  </si>
  <si>
    <t>SAZON CUL/ACHIOTE</t>
  </si>
  <si>
    <t>SAZON GOYA AZAFRAN 8ENV</t>
  </si>
  <si>
    <t>LA VINA GOLD COOK WINE</t>
  </si>
  <si>
    <t>SAZON CILANTRO Y TOMATE 8 ENV</t>
  </si>
  <si>
    <t>LA VINA RED COOK WINE 25.4 OZ</t>
  </si>
  <si>
    <t>LA VINA WHITE COOK WINE 25.4OZ</t>
  </si>
  <si>
    <t>SAZON CULANTRO Y ACHIOTE L SOD</t>
  </si>
  <si>
    <t>TACO SEASONING MIX</t>
  </si>
  <si>
    <t>PICADILLO SEASONING MIX</t>
  </si>
  <si>
    <t>FAJITA SEASONING MIX</t>
  </si>
  <si>
    <t>SAZ CULANT/ACHIOTE JUM LOW SOD</t>
  </si>
  <si>
    <t>GOYA SALT 33% LESS SODIUM</t>
  </si>
  <si>
    <t>SAZONADOR TOTL CON PMENTA GOYA</t>
  </si>
  <si>
    <t>WHITE COOKING WINE 25.4 OZ</t>
  </si>
  <si>
    <t>RED COOKING WINE 25.4 OZ</t>
  </si>
  <si>
    <t>OREGANO LEAF 1.5 OZ.</t>
  </si>
  <si>
    <t>OREGANO LEAF  .40 OZ</t>
  </si>
  <si>
    <t>GOLDEN COOKING WINE 25.4 OZ</t>
  </si>
  <si>
    <t>GARLIC POWDER  8 OZ</t>
  </si>
  <si>
    <t>GROUND CUMMIN  5.5 OZ</t>
  </si>
  <si>
    <t>ONION POWDER   6.75 OZ</t>
  </si>
  <si>
    <t>BAY LEAF .75 OZ.</t>
  </si>
  <si>
    <t>GROUND PEPPER  6 OZ</t>
  </si>
  <si>
    <t>SALT  26 OZ</t>
  </si>
  <si>
    <t>ADOBO W/ LEMON &amp; PEPPER  8 OZ</t>
  </si>
  <si>
    <t>ADOBO CON NARANJA AGRIA 8 OZ</t>
  </si>
  <si>
    <t>ADOBO CON PIQUE 8 OZ</t>
  </si>
  <si>
    <t>ADOBO WITH CUMMIN  8 OZ</t>
  </si>
  <si>
    <t>ADOBO WITH CUMMIN  12 OZ</t>
  </si>
  <si>
    <t>ADOBO WITH CUMMIN  16.5 OZ</t>
  </si>
  <si>
    <t>ADOBO WITHOUT PEPPER 12 OZ</t>
  </si>
  <si>
    <t>ADOBO WITH PEPPER 12 OZ</t>
  </si>
  <si>
    <t>ADOBO WITHOUT PEPPER 5.5 OZ.</t>
  </si>
  <si>
    <t>ADOBO WITH PEPPER</t>
  </si>
  <si>
    <t>ADOBO WITH PEPPER 16.5 OZ</t>
  </si>
  <si>
    <t>ADOBO WITH PEPPER  8 OZ</t>
  </si>
  <si>
    <t>ADOBO WITHOUT PEPPER  8 OZ</t>
  </si>
  <si>
    <t>ADOBO WITHOUT PEPPER 16.5 OZ</t>
  </si>
  <si>
    <t>ACHIOTE/ANNATTO SEED  2.6 OZ</t>
  </si>
  <si>
    <t>ACHIOTE/ANNATTO SEED  7 OZ</t>
  </si>
  <si>
    <t>ADOBO NARANJA AGRIA  16.5 OZ</t>
  </si>
  <si>
    <t>ADOBO W/ LEMON &amp; PEPPER</t>
  </si>
  <si>
    <t>ADOBO LIGHT WITH PEPPER 8 OZ</t>
  </si>
  <si>
    <t>HAM FLAVORED CONC  8 ENV.</t>
  </si>
  <si>
    <t>HAM FLAVOR CONCENTRATE 20 PKTS</t>
  </si>
  <si>
    <t>ADOBO LIGHT WITHOUT PEPPER 8OZ</t>
  </si>
  <si>
    <t>SALAD AND VEG. SEASONING 8 ENV</t>
  </si>
  <si>
    <t>GOYA SALAD &amp; VEGETABLE SEASONI</t>
  </si>
  <si>
    <t>ADOBO CON PMTA  28 OZ</t>
  </si>
  <si>
    <t>ADOBO SIN PMTA  28 OZ</t>
  </si>
  <si>
    <t>ADOBO CON COMINO  28 OZ</t>
  </si>
  <si>
    <t>CRUZ MALTA YERBA MATE</t>
  </si>
  <si>
    <t>CRUZ MALTA YERBA MATE  17.6 OZ</t>
  </si>
  <si>
    <t>RED HOT TAB PEP 6 OZ</t>
  </si>
  <si>
    <t>GR HOT TAB PEPPER 6 OZ</t>
  </si>
  <si>
    <t>RED HOT SAUCE 3 OZ</t>
  </si>
  <si>
    <t>ADOBO CON AZAFRAN  8 OZ</t>
  </si>
  <si>
    <t>GOYA RED HOT SAUCE  6 OZ</t>
  </si>
  <si>
    <t>ADOBO CON AZAFRAN  16.5 OZ</t>
  </si>
  <si>
    <t>RED HOT SAUCE 12 OZ</t>
  </si>
  <si>
    <t>ADOBO LIGHT WITH PEPPER 28 OZ</t>
  </si>
  <si>
    <t>ADOBO LIGHT WITHOUT PEPPER 28</t>
  </si>
  <si>
    <t>GOYA KETCHUP   16/20 OZ</t>
  </si>
  <si>
    <t>SALSA DE ESPEGUITI TRADITIONAL</t>
  </si>
  <si>
    <t>HAM &amp; PUMPKIN FLAVORED CONCEN</t>
  </si>
  <si>
    <t>MAYONNAISE 16 OZ.</t>
  </si>
  <si>
    <t>MAYONNAISE 30 OZ.</t>
  </si>
  <si>
    <t>MAYONNAISE W/LIME 16 OZ.</t>
  </si>
  <si>
    <t>MAYONNAISE W/LIME 30 OZ.</t>
  </si>
  <si>
    <t>GOYA MAYOKETCHUP 12/16 OZ.</t>
  </si>
  <si>
    <t>ADOBO CON LIMON 28 OZ</t>
  </si>
  <si>
    <t>HAM FLAVORED CONC RED SOD 8ENV</t>
  </si>
  <si>
    <t>BREAD CRUMBS W/SAZONADOR TOTAL</t>
  </si>
  <si>
    <t>ADOBO CON NARANJA 28 OZ</t>
  </si>
  <si>
    <t>PASTA SAUCE GARLIC/CILANTRO</t>
  </si>
  <si>
    <t>PASTA SAUCE MARINARA</t>
  </si>
  <si>
    <t>PASTA MEAT SAUCE 25 OZ</t>
  </si>
  <si>
    <t>PASTA SAUCE TOMATO &amp; BASIL</t>
  </si>
  <si>
    <t>SAZONADOR TOTAL</t>
  </si>
  <si>
    <t>SAZONADOR TOTAL GOYA</t>
  </si>
  <si>
    <t>SAZONADOR TOTAL GOYA 11 OZ.</t>
  </si>
  <si>
    <t>SAZONADOR TOTAL GOYA 5.5 OZ</t>
  </si>
  <si>
    <t>ACHIOTINA  5 OZ</t>
  </si>
  <si>
    <t>ACHIOTINA  10.25 OZ</t>
  </si>
  <si>
    <t>GOYA SEA SALT 23 OZ.</t>
  </si>
  <si>
    <t>GOYA ADOBO CON PIMIENTA</t>
  </si>
  <si>
    <t>GOYA ADOBO SIN PIMIENTA</t>
  </si>
  <si>
    <t>ADOBO CON CULANTRO Y ACHIOTE</t>
  </si>
  <si>
    <t>GOYA SQUEEZE MINCED GARLIC</t>
  </si>
  <si>
    <t>SALSA CHIPOTLE 7 OZ.</t>
  </si>
  <si>
    <t>GOYA DICED TOMATOES 24/14.5 OZ</t>
  </si>
  <si>
    <t>GOYA CHOPPED GARLIC 32 OZ</t>
  </si>
  <si>
    <t>GOYA GARLIC PASTE 28 OZ</t>
  </si>
  <si>
    <t>GOYA GARLIC MINCED  4 1/2 OZ</t>
  </si>
  <si>
    <t>GOYA MINCED GARLIC  8 OZ</t>
  </si>
  <si>
    <t>GOYA MINCED GARLIC 32 OZ</t>
  </si>
  <si>
    <t>GOYA PALMITOS WHOLE CAN</t>
  </si>
  <si>
    <t>GOYA PALMITOS SALAD CUT</t>
  </si>
  <si>
    <t>GOYA WHOLE PEELED TOMATOES</t>
  </si>
  <si>
    <t>ARTICHOKE HEARTS 6 OZ</t>
  </si>
  <si>
    <t>ARTICHOKE HEARTS IN BRINE 14OZ</t>
  </si>
  <si>
    <t>GOYA PIQUILLO PIMIENTOS 6.7 OZ</t>
  </si>
  <si>
    <t>FANCY RED PIMIENTOS 7 OZ</t>
  </si>
  <si>
    <t>GOYA CRUSHED TOMATOES 28 OZ.</t>
  </si>
  <si>
    <t>FANCY RED PIMIENTOS 14 OZ</t>
  </si>
  <si>
    <t>ITALIAN STYLE ROASTED PIMIENTO</t>
  </si>
  <si>
    <t>FANCY RED PIMIENTOS</t>
  </si>
  <si>
    <t>FANCY RED PIMIENTOS 6.5 OZ</t>
  </si>
  <si>
    <t>FANCY RED PIMIENTOS 4 OZ</t>
  </si>
  <si>
    <t>FANCY SLICED RED PIMIENTOS 4OZ</t>
  </si>
  <si>
    <t>CIDER VINEGAR  1 PINT</t>
  </si>
  <si>
    <t>CHOCOLATE EMBAJADOR 9.2 OZ</t>
  </si>
  <si>
    <t>CIDER VINEGAR  1 QT</t>
  </si>
  <si>
    <t>GOYA HOT TOMATO SAUCE  8 OZ</t>
  </si>
  <si>
    <t>WHITE VINEGAR  1 PINT</t>
  </si>
  <si>
    <t>GOYA TOMATO/CILANTRO/ONION/GAR</t>
  </si>
  <si>
    <t>WHITE VINEGAR  1 QT</t>
  </si>
  <si>
    <t>GOYA WHITE VINEGAR 4/128 OZ.</t>
  </si>
  <si>
    <t>RED WINE VINEGAR  16 OZ</t>
  </si>
  <si>
    <t>GOYA MONO-BOW 20/7 OZ</t>
  </si>
  <si>
    <t>GOYA SODA CRACKERS</t>
  </si>
  <si>
    <t>LOW SODIUM TOMATO SAUCE  8 OZ</t>
  </si>
  <si>
    <t>GOYA SODA CRACKERS  24 OZ</t>
  </si>
  <si>
    <t>LASAGNE 17.63 OZ</t>
  </si>
  <si>
    <t>RIGATONI  16 OZ</t>
  </si>
  <si>
    <t>GOYA TOMATO SAUCE 12/29 OZ.</t>
  </si>
  <si>
    <t>GOYA CHOCOLATE  7 OZ.</t>
  </si>
  <si>
    <t>MENIER CHOCOLATE 7 OZ.</t>
  </si>
  <si>
    <t>CORTES CHOCOLATE 7 OZ.</t>
  </si>
  <si>
    <t>CUT ZITI 16 OZ</t>
  </si>
  <si>
    <t>FUSILLI  16 OZ</t>
  </si>
  <si>
    <t>TOMATO SAUCE  8 OZ</t>
  </si>
  <si>
    <t>PENNE RIGATE 16 OZ</t>
  </si>
  <si>
    <t>SALSA DE TOMATE GOYA 15 OZ</t>
  </si>
  <si>
    <t>SPAGHETTI 16 OZ</t>
  </si>
  <si>
    <t>ELBOWS 16 OZ</t>
  </si>
  <si>
    <t>SHELLS 16 OZ</t>
  </si>
  <si>
    <t>GOYA ANGEL HAIR 16 OZ</t>
  </si>
  <si>
    <t>TOMATO PASTE 18 OZ</t>
  </si>
  <si>
    <t>TOMATO PASTE 6 OZ</t>
  </si>
  <si>
    <t>TOMATO PASTE 28 OZ</t>
  </si>
  <si>
    <t>FIDELINI  6 OZ</t>
  </si>
  <si>
    <t>GOYA ANGEL HAIR  7 OZ</t>
  </si>
  <si>
    <t>FIDELINI  12 OZ</t>
  </si>
  <si>
    <t>FIDEO  7 OZ</t>
  </si>
  <si>
    <t>CABELLO DE ANGEL 12 OZ</t>
  </si>
  <si>
    <t>CABELLO DE ANGEL 6 OZ</t>
  </si>
  <si>
    <t>LETRAS / ALPHABETS 7 OZ</t>
  </si>
  <si>
    <t>LENGUA  7 OZ</t>
  </si>
  <si>
    <t>CODITOS/ELBOWS 7 OZ</t>
  </si>
  <si>
    <t>SPAGHETTI  7 OZ</t>
  </si>
  <si>
    <t>ESTRELLAS / STARS 7 OZ</t>
  </si>
  <si>
    <t>CONCHAS/SHELLS 7 OZ</t>
  </si>
  <si>
    <t>THICK FIDELINI 12/12 OZ</t>
  </si>
  <si>
    <t>MALTA GOYA 4/6 PACK  12 OZ</t>
  </si>
  <si>
    <t>LOOSE MALTA  12 OZ</t>
  </si>
  <si>
    <t>GUAVA SODA  12 OZ</t>
  </si>
  <si>
    <t>PINEAPPLE SODA 12 OZ</t>
  </si>
  <si>
    <t>TAMARIND SODA  12 OZ</t>
  </si>
  <si>
    <t>TOMATO SAUCE EURO 36CS PALLET</t>
  </si>
  <si>
    <t>GOYA SODA CRACKERS PLASTIC CON</t>
  </si>
  <si>
    <t>FRUIT PUNCH  12 OZ</t>
  </si>
  <si>
    <t>COLA CHAMPAGN C.AMERICANA 12OZ</t>
  </si>
  <si>
    <t>COCONUT SODA  12 OZ</t>
  </si>
  <si>
    <t>GINGER BEER  12 OZ</t>
  </si>
  <si>
    <t>JAMAICAN STY GINGER BEER 6/4PK</t>
  </si>
  <si>
    <t>STRAWBERRY SODA  12 OZ</t>
  </si>
  <si>
    <t>MALTA GOYA  4/6PK  7 OZ</t>
  </si>
  <si>
    <t>MALTA GOYA 4/10 PACK  7 OZ</t>
  </si>
  <si>
    <t>MALTA LIGHT LOOSE 12 OZ</t>
  </si>
  <si>
    <t>MALTA 10PK QUARTER PALLET</t>
  </si>
  <si>
    <t>MORENA MALTA ALEMANA 12 OZ</t>
  </si>
  <si>
    <t>GRAPE SODA  12 OZ</t>
  </si>
  <si>
    <t>MALTA 12 PACK CUBE  12 OZ</t>
  </si>
  <si>
    <t>MALTA CLASICA CANE 4/6PK 7 OZ</t>
  </si>
  <si>
    <t>MALTA CLASICA CANE 4/6PK 12 OZ</t>
  </si>
  <si>
    <t>MALTA AZUCAR DE CANA</t>
  </si>
  <si>
    <t>TROPICOLA SODA 4/6PK/12 OZ</t>
  </si>
  <si>
    <t>TROPICOCO SODA 4/6 PK 12 OZ</t>
  </si>
  <si>
    <t>GOYA 2 LITER COLA CHAMPAGNE</t>
  </si>
  <si>
    <t>GOYA 2 LITER TROPICOLA</t>
  </si>
  <si>
    <t>GOYA 2 LITER COCONUT SODA</t>
  </si>
  <si>
    <t>GOYA 2 LITER STRAWBERRY</t>
  </si>
  <si>
    <t>GOYA 2 LITER GINGER BEER</t>
  </si>
  <si>
    <t>GOYA 2 LITER FRUIT PUNCH</t>
  </si>
  <si>
    <t>GOYA 2 LITER PINEAPPLE SODA</t>
  </si>
  <si>
    <t>SODA ASSRT 4 FLVRS 12 OZ</t>
  </si>
  <si>
    <t>GOYA MAYO-KETCHUP W/ SRIRACHA</t>
  </si>
  <si>
    <t>PARCHMENT PAPER 16 OZ.</t>
  </si>
  <si>
    <t>COTTON TWINE  2.6 OZ.  800 FT</t>
  </si>
  <si>
    <t>GOYA 100% APPL JUICE 8-6.76 OZ</t>
  </si>
  <si>
    <t>SAZONADOR TOTAL W/MEAT TENDERI</t>
  </si>
  <si>
    <t>GOYA FLORIDA WATER 9 OZ</t>
  </si>
  <si>
    <t>GOYA GUAVA NECTAR 8-6.76 OZ</t>
  </si>
  <si>
    <t>GOYA MANGO NECTAR 8-6.76 OZ</t>
  </si>
  <si>
    <t>GOYA PASSION FRUIT 8-6.76 OZ</t>
  </si>
  <si>
    <t>COLADORES-COFFEE STRAINERS 1PK</t>
  </si>
  <si>
    <t>GOYA WHITE COOKING WINE</t>
  </si>
  <si>
    <t>GOYA RED COOKING WINE</t>
  </si>
  <si>
    <t>GOYA GOLDEN COOKING WINE</t>
  </si>
  <si>
    <t>GOYA SHERRY COOKING WINE</t>
  </si>
  <si>
    <t>GOYA MARSALA COOKING WINE</t>
  </si>
  <si>
    <t>GOYA AJI AMARILLO PASTE POUCH</t>
  </si>
  <si>
    <t>GOYA AJI PANCA PASTE IN POUCH</t>
  </si>
  <si>
    <t>GOYA ROCOTO PASTE POUCH 12/7.1</t>
  </si>
  <si>
    <t>ALOE VERA DRINK ORGANIC</t>
  </si>
  <si>
    <t>GOYA CHICKPEA PUFF CHILE LIMON</t>
  </si>
  <si>
    <t>CHICKPEA PUFFS ELOTE MEX CORN</t>
  </si>
  <si>
    <t>GOYA CHICKPEA PUFFS CHURROS</t>
  </si>
  <si>
    <t>GOYA ALOE DRINK ORIG. 1.5 LT</t>
  </si>
  <si>
    <t>GOYA ALOE DRINK W/MANGO 1.5 LT</t>
  </si>
  <si>
    <t>GOYA ALOE DRINK ORIGINAL FLV</t>
  </si>
  <si>
    <t>GOYA ALOE DRINK W/MANGO FLV</t>
  </si>
  <si>
    <t>GOYA ALOE DRINK W/COCONUT FLV</t>
  </si>
  <si>
    <t>GOYA ALOE DRINK W/ PNAPPL FLV</t>
  </si>
  <si>
    <t>GOYA ALOE DRINK W PNAPPL 1.5LT</t>
  </si>
  <si>
    <t>LA MODERNA ROTINI 16 OZ</t>
  </si>
  <si>
    <t>LA MODERNA LINGUINE 16 OZ</t>
  </si>
  <si>
    <t>LA MODERNA ANGEL HAIR 16 OZ</t>
  </si>
  <si>
    <t>LA MODERNA SIGN LANGUAGE PASTA</t>
  </si>
  <si>
    <t>LA MODERNA ROTINI 7 OZ</t>
  </si>
  <si>
    <t>LA MODERNA PENNE RIGATE</t>
  </si>
  <si>
    <t>LA MODERNA RIGATONI 7OZ</t>
  </si>
  <si>
    <t>LA MODERNA SOMBRERO PASTA</t>
  </si>
  <si>
    <t>GOYA QUESO FRESCO</t>
  </si>
  <si>
    <t>GOYA QUESO QUESADILLA</t>
  </si>
  <si>
    <t>GOYA QUESO DE FREIR</t>
  </si>
  <si>
    <t>GOYA QUESO BLANCO</t>
  </si>
  <si>
    <t>GOYA CRACKERS</t>
  </si>
  <si>
    <t>GOYA TRADITIONAL RICE PUDDING</t>
  </si>
  <si>
    <t>GOYA MEXICAN CHOCOLATE PUDDING</t>
  </si>
  <si>
    <t>GOYA ALMOND FLOUR</t>
  </si>
  <si>
    <t>GOYA ORGANIC COCONUT FLOUR</t>
  </si>
  <si>
    <t>GOYA WHEAT FLOUR</t>
  </si>
  <si>
    <t>GOYA CHICK PEAS FLOUR</t>
  </si>
  <si>
    <t>GOYA RICE FLOUR</t>
  </si>
  <si>
    <t>GOYA PINEAPPLE CHIPS 1 OZ</t>
  </si>
  <si>
    <t>GOYA MANGO CHIPS 1 OZ</t>
  </si>
  <si>
    <t>GOYA COCONUT CHIPS 1 OZ</t>
  </si>
  <si>
    <t>GOYA ROOT CHIPS EXOTIC BLEND</t>
  </si>
  <si>
    <t>GOYA ROOTS TROPICAL TARO</t>
  </si>
  <si>
    <t>GOYA ROOT CHIPS SWEET POTATO</t>
  </si>
  <si>
    <t>MARIANITAS COOKIES ORANGE</t>
  </si>
  <si>
    <t>MARIANITAS COOKIES VANILLA</t>
  </si>
  <si>
    <t>MARIANITAS COOKIE CHOCOLATE</t>
  </si>
  <si>
    <t>GOYA OREJITAS BUTTERFLY PASTRY</t>
  </si>
  <si>
    <t>GOYA WHITE CORN TORTILLA CHIPS</t>
  </si>
  <si>
    <t>GOYA GLDN MARIA SANDWICH SHPR</t>
  </si>
  <si>
    <t>GOYA PLANTAIN CHIP HOT &amp; SPICY</t>
  </si>
  <si>
    <t>GOYA PLANTAIN CHIPS LIME FLVR</t>
  </si>
  <si>
    <t>GOYA TOSTONES CHIPS ORIGINAL</t>
  </si>
  <si>
    <t>GOYA TOSTONES CHIPS GARLIC</t>
  </si>
  <si>
    <t>GOYA TOAST ORIGINAL</t>
  </si>
  <si>
    <t>GOYA MARIA SANDWICH COOKIES</t>
  </si>
  <si>
    <t>GOYA TOAST LOW FAT</t>
  </si>
  <si>
    <t>GOYA TOAST MULTIGRAIN</t>
  </si>
  <si>
    <t>GOYA TOAST WHEAT BRAN</t>
  </si>
  <si>
    <t>CASSAVA CHIPS GARLIC 4 OZ</t>
  </si>
  <si>
    <t>PLANTAIN CHIPS SHIPPER</t>
  </si>
  <si>
    <t>GOYA GOLDEN MARIA SANDWICH VAN</t>
  </si>
  <si>
    <t>SWEET PLANTAIN CHIPS</t>
  </si>
  <si>
    <t>SWEET POTATO CHIPS</t>
  </si>
  <si>
    <t>GOYA PORK CRACKLING 1.75 OZ</t>
  </si>
  <si>
    <t>GOYA PORK CRACKLING 4.75 OZ</t>
  </si>
  <si>
    <t>GOYA CORN &amp; BLACK BEAN CHIPS</t>
  </si>
  <si>
    <t>GOYA BARBECUE CHICHARRONES</t>
  </si>
  <si>
    <t>GOYA CORN &amp; BLK BEAN BBQ CHIPS</t>
  </si>
  <si>
    <t>PLANTAIN CHIPS 10 OZ</t>
  </si>
  <si>
    <t>PLANTAIN CHIPS  5 OZ</t>
  </si>
  <si>
    <t>PLANTAIN CHIPS  2 OZ.</t>
  </si>
  <si>
    <t>PLANTAIN NO SALT CHIPS 5 OZ</t>
  </si>
  <si>
    <t>PLANTAIN GARLIC CHIPS 5 OZ</t>
  </si>
  <si>
    <t>PLANTAIN STRIPS  3.5 OZ</t>
  </si>
  <si>
    <t>CHICHARRONES  3 OZ</t>
  </si>
  <si>
    <t>CHICHARRONES HOT &amp; SPICY</t>
  </si>
  <si>
    <t>CASSAVA CHIPS 4.0 OZ</t>
  </si>
  <si>
    <t>MARIA COOKIES 3.5 OZ</t>
  </si>
  <si>
    <t>MARIA COOKIES  7 OZ</t>
  </si>
  <si>
    <t>MARIA CRACKERS FAM PK 28 OZ</t>
  </si>
  <si>
    <t>GOYA MARIA JUMBO 1 PACK</t>
  </si>
  <si>
    <t>PALMERITA COOKIES  5.82 OZ</t>
  </si>
  <si>
    <t>CRACKERS</t>
  </si>
  <si>
    <t>MARIA COOKIE QUARTER PALLET</t>
  </si>
  <si>
    <t>MARIA 3 PACK (FLOW PACK)</t>
  </si>
  <si>
    <t>GOYA MULTIGRAIN TORTILLA CHIP</t>
  </si>
  <si>
    <t>CASSAVA BREAD NAT CLASSIC 11OZ</t>
  </si>
  <si>
    <t>LADY FINGERS  7 OZ</t>
  </si>
  <si>
    <t>CASSAVA BREAD NAT CLASSIC 8OZ</t>
  </si>
  <si>
    <t>PALMERITAS 3 OZ.</t>
  </si>
  <si>
    <t>MARIA CHOCOLATE 3.5 OZ.</t>
  </si>
  <si>
    <t>MARIA CHOCOLATE 7 OZ.</t>
  </si>
  <si>
    <t>GOYA MINI-MARIA COOKIES</t>
  </si>
  <si>
    <t>MARIA COOKIES SHIPPER</t>
  </si>
  <si>
    <t>GOYA VANILLA-STRAWBERRY WAFER</t>
  </si>
  <si>
    <t>GOYA CHOCOLATE-VANILLA WAFER</t>
  </si>
  <si>
    <t>GOYA STRWBERRY-CHOCOLATE WAFER</t>
  </si>
  <si>
    <t>GALLETAS MARIA SIN AZUCAR 7 OZ</t>
  </si>
  <si>
    <t>GOYA WHITE MASAREPA 5 LB</t>
  </si>
  <si>
    <t>GOYA WHITE MASAREPA 1.1 LB</t>
  </si>
  <si>
    <t>GOYA YELLOW CORN MASAREPA 5 LB</t>
  </si>
  <si>
    <t>GOYA PINEAPPLE WAFER</t>
  </si>
  <si>
    <t>GOYA COCONUT WAFER</t>
  </si>
  <si>
    <t>GOYA CHOCOLATE WAFER</t>
  </si>
  <si>
    <t>TRES ESTRELLAS PANCAKES</t>
  </si>
  <si>
    <t>GOYA DULCE DE LECHE WAFER</t>
  </si>
  <si>
    <t>GOYA GUAVA WAFER</t>
  </si>
  <si>
    <t>GOYA STRAWBERRY WAFER</t>
  </si>
  <si>
    <t>GOYA MANGO WAFER</t>
  </si>
  <si>
    <t>GOYA VANILLA WAFER</t>
  </si>
  <si>
    <t>NATURAL TURBINADO SUGAR</t>
  </si>
  <si>
    <t>GOYA WHITE MASAREPA TRAY PK</t>
  </si>
  <si>
    <t>GOYA 4-PK MARIA COOKIE QT PLT</t>
  </si>
  <si>
    <t>GOYA MASAREPA 5 LB - QP</t>
  </si>
  <si>
    <t>GOYA REGULAR WAFER SHIPPER</t>
  </si>
  <si>
    <t>GOYA INSTANT OATS 32 OZ</t>
  </si>
  <si>
    <t>GOYA AVENA HOJUELAS/OATS 12 OZ</t>
  </si>
  <si>
    <t>GOYA MASAREPA 5 LB  TRAY FP</t>
  </si>
  <si>
    <t>GOYA ORGANIC WHITE QUINOA</t>
  </si>
  <si>
    <t>GOYA PURPLE CORN</t>
  </si>
  <si>
    <t>QUINOA SEEDS 24/12 OZ.</t>
  </si>
  <si>
    <t>YELLOW CORN MASAREPA 35.2 OZ.</t>
  </si>
  <si>
    <t>WHITE CORN MASAREPA 35.2 OZ.</t>
  </si>
  <si>
    <t>MASAREPA - WHITE  5 LB</t>
  </si>
  <si>
    <t>YELLOW MASAREPA  5 LB</t>
  </si>
  <si>
    <t>MASAREPA - WHITE  24 OZ</t>
  </si>
  <si>
    <t>MASAREPA - YELLOW  24 OZ</t>
  </si>
  <si>
    <t>BULGUR WHEAT-KIEPE 24 OZ FINE</t>
  </si>
  <si>
    <t>BULGUR WHEAT KIEPE  24 OZ</t>
  </si>
  <si>
    <t>MASARICA 10/4 LBS 64 0Z.</t>
  </si>
  <si>
    <t>FINE CORN MEAL   5 LB</t>
  </si>
  <si>
    <t>COARSE CORN MEAL 5 LB</t>
  </si>
  <si>
    <t>RICE FLOUR 5 LB</t>
  </si>
  <si>
    <t>AITOS SHRIMP &amp; COD FRITTER</t>
  </si>
  <si>
    <t>FARINHA MANDIOCA 240Z</t>
  </si>
  <si>
    <t>YUCA HARINA 24 OZ</t>
  </si>
  <si>
    <t>BACALAITOS DISPLAY  4.5 OZ</t>
  </si>
  <si>
    <t>GOYA BACALAITOS  4.5 OZ</t>
  </si>
  <si>
    <t>COARSE CORN MEAL  24 OZ</t>
  </si>
  <si>
    <t>FINE CORN MEAL  24 OZ</t>
  </si>
  <si>
    <t>FINE CORN MEAL  12 OZ</t>
  </si>
  <si>
    <t>COARSE CORN MEAL  12 OZ</t>
  </si>
  <si>
    <t>WHEAT FLOUR  12 OZ</t>
  </si>
  <si>
    <t>WHEAT FLOUR  24 OZ</t>
  </si>
  <si>
    <t>RICE FLOUR  12 OZ</t>
  </si>
  <si>
    <t>RICE FLOUR/HARINA DE ARROZ</t>
  </si>
  <si>
    <t>EXTRA FINE CORN FLOUR 12 OZ</t>
  </si>
  <si>
    <t>EXTRA FINE CORN FLOUR 24 OZ</t>
  </si>
  <si>
    <t>TRES ESTRELLAS RICE FLOUR 17.6</t>
  </si>
  <si>
    <t>TRES ESTRELLAS CHURRO MIX 17.6</t>
  </si>
  <si>
    <t>CORTES INST CHOCOLATE DRNK MIX</t>
  </si>
  <si>
    <t>3 ESTRELLAS ATOLE FRESA 1.52 O</t>
  </si>
  <si>
    <t>3 ESTRELLAS ATOLE VAINILLA</t>
  </si>
  <si>
    <t>3 ESTRELLAS ATOLE CHOCOLATE</t>
  </si>
  <si>
    <t>GOYA MAIS MOULIN 24 OZ.</t>
  </si>
  <si>
    <t>CHOCOLATE CORTES CON CANELA</t>
  </si>
  <si>
    <t>CORTES MOLIDO LITE POUCH 10OZ</t>
  </si>
  <si>
    <t>CORTES MOLIDO POUCH 12 OZ</t>
  </si>
  <si>
    <t>CORTES MOLIDO POUCH  6 OZ</t>
  </si>
  <si>
    <t>CORTES SUGAR FREE CHOCOLATE</t>
  </si>
  <si>
    <t>INCAPARINA MULTICEREAL CHOCO</t>
  </si>
  <si>
    <t>INCAPARINA MULTICEREAL VANILLA</t>
  </si>
  <si>
    <t>GOYA 2 VANILLA-CHOCO SHIPPER</t>
  </si>
  <si>
    <t>GOYA 2 STRWB-DULCELECHE SHIPPR</t>
  </si>
  <si>
    <t>NATURA'S BANANA STRAWBERRY</t>
  </si>
  <si>
    <t>MULTIGRAIN CEREAL INCAPARINA</t>
  </si>
  <si>
    <t>INCAPARINA</t>
  </si>
  <si>
    <t>NATURA'S GUAVA NECTAR 11.16 OZ</t>
  </si>
  <si>
    <t>NATURA'S MANGO NECTAR 11.16 OZ</t>
  </si>
  <si>
    <t>NATURA'S APPLE NECTAR 11.16 OZ</t>
  </si>
  <si>
    <t>NATURA'S PEACH NECTAR 11.16 OZ</t>
  </si>
  <si>
    <t>NATURA'S PEAR NECTAR 11.16 OZ</t>
  </si>
  <si>
    <t>NATURAS PINEAPPLE NECTAR.</t>
  </si>
  <si>
    <t>GOYA ALL PURPOSE FLOUR</t>
  </si>
  <si>
    <t>GOYA WHITE CORN MASAREPA 25 LB</t>
  </si>
  <si>
    <t>GOYA DECAF. BRICK PACK 8.8 OZ</t>
  </si>
  <si>
    <t>DECAFFEINATED COFFEE 10 OZ</t>
  </si>
  <si>
    <t>COFFEE BRICK-PAK 8.8 OZ</t>
  </si>
  <si>
    <t>COFFEE BRICK PK DISPLAY 8.8 OZ</t>
  </si>
  <si>
    <t>GOYA COFFEE VACUUM CANS 10 OZ</t>
  </si>
  <si>
    <t>GOYA COFFEE 1/4 PALLET DISPLAY</t>
  </si>
  <si>
    <t>NESCAFE CLASICO 1.7 OZ</t>
  </si>
  <si>
    <t>NESCAFE CLASICO 3.5 OZ</t>
  </si>
  <si>
    <t>NESCAFE CLASICO 7 OZ</t>
  </si>
  <si>
    <t>NESCAFE CLASICO 10.5 OZ</t>
  </si>
  <si>
    <t>NESCAFE CLASICO DECAF</t>
  </si>
  <si>
    <t>ABUELITA MARQUETA 7.05 OZ.</t>
  </si>
  <si>
    <t>NESTLE ABUELITA GRANULADO 11.2</t>
  </si>
  <si>
    <t>GOYA ORG LEMON BALM TEA BLEND</t>
  </si>
  <si>
    <t>GOYA ORG CHAMOMILE TEA BLEND</t>
  </si>
  <si>
    <t>GOYA ORG GREEN &amp; MINT TEA</t>
  </si>
  <si>
    <t>GOYA ORGANIC GINGER TEA BLEND</t>
  </si>
  <si>
    <t>CAFE STO DGO WHOLE BEAN COFFEE</t>
  </si>
  <si>
    <t>CAFE STO DGO DECAF COFFEE 10OZ</t>
  </si>
  <si>
    <t>GOYA ORG MEDITERRANEAN TEA BLD</t>
  </si>
  <si>
    <t>MAGGI CHICKEN NOODLE SOUP</t>
  </si>
  <si>
    <t>MAGGI BEEF NOODLE SOUP</t>
  </si>
  <si>
    <t>MAGGI CHICKEN FLVR RICE SOUP</t>
  </si>
  <si>
    <t>MAGGI CASERAS CHKN W VEGE SOUP</t>
  </si>
  <si>
    <t>MAGGI POLLO C/CARACOL 1.79 OZ</t>
  </si>
  <si>
    <t>MAGGI CASERAS VEGE NOODLE SOUP</t>
  </si>
  <si>
    <t>GOYA ORG TROPICAL TEA BLEND</t>
  </si>
  <si>
    <t>PRE-COOKED SWEET CORN MEAL MIX</t>
  </si>
  <si>
    <t>NATURA'S PINEAPPLE NECTAR 3PK</t>
  </si>
  <si>
    <t>NATURA'S MANGO NECTAR 3PK</t>
  </si>
  <si>
    <t>NATURA'S APPLE NECTAR 3 PK</t>
  </si>
  <si>
    <t>NATURA'S PEACH NECTAR 3 PK</t>
  </si>
  <si>
    <t>NATURA'S PINEAPPLE NECTAR LTR</t>
  </si>
  <si>
    <t>CAFE STO. DOMINGO SOFT PK</t>
  </si>
  <si>
    <t>CAFE STO. DOMINGO CAN REG.</t>
  </si>
  <si>
    <t>CAFE SANTO DOMINGO REGULAR</t>
  </si>
  <si>
    <t>CAFE STO.DOMINGO BRCK ESPRESSO</t>
  </si>
  <si>
    <t>MAGGI MX CHN FLV BOUILLON SHPR</t>
  </si>
  <si>
    <t>MAGGI MIXED CLEAR SOUP SHIPPER</t>
  </si>
  <si>
    <t>MAGGI SOPA CRIOLLA GALLINA</t>
  </si>
  <si>
    <t>MAGGI SOPA CRIOLLA COSTILLA</t>
  </si>
  <si>
    <t>NATURA'S MANGO NECTAR LITER</t>
  </si>
  <si>
    <t>NATURA'S APPLE NECTAR LITER</t>
  </si>
  <si>
    <t>MAGGI VEGETABLE CUBE 20 COUNT</t>
  </si>
  <si>
    <t>MAGGI BEEF BOUILLON 7.9 OZ.</t>
  </si>
  <si>
    <t>NATURA'S PEACH NECTAR LITER</t>
  </si>
  <si>
    <t>NIDO 1 + KINDER</t>
  </si>
  <si>
    <t>CAFE SANTO DOMINGO SOFT PACK</t>
  </si>
  <si>
    <t>MAGGI BEEF CUBE 20 COUNT</t>
  </si>
  <si>
    <t>MAGGI CHICKEN CUBE 20 COUNT</t>
  </si>
  <si>
    <t>MAGGI BEEF CUBES 6 TAB 2.32 OZ</t>
  </si>
  <si>
    <t>MAGGI CHKN CUBES 6 TAB 2.43 OZ</t>
  </si>
  <si>
    <t>MAGGI CHKN CUBES 12TAB 4.86 OZ</t>
  </si>
  <si>
    <t>MAGGI CHKN BOUILLON JARS 7.9OZ</t>
  </si>
  <si>
    <t>MAGGI CHKN BOUILLON JAR 15.9OZ</t>
  </si>
  <si>
    <t>MAGGI CHICKEN GRAN BAG 6X2.2LB</t>
  </si>
  <si>
    <t>MAGGI SEASONING 27 OZ.</t>
  </si>
  <si>
    <t>MAGGI SEASONING SAUCE 3.38 OZ</t>
  </si>
  <si>
    <t>LA LECHERA SQUEEZE 11.8 OZ</t>
  </si>
  <si>
    <t>LA LECHERA SIX PACK 6/3.5 OZ</t>
  </si>
  <si>
    <t>LA LECHERA CONDENSED MILK14 OZ</t>
  </si>
  <si>
    <t>NESTLE MEDIA CREMA 7.6 OZ</t>
  </si>
  <si>
    <t>NESTLE DULCE LECHE 13.4 OZ</t>
  </si>
  <si>
    <t>MILO POWDER JAMAICAN 14.1 OZ</t>
  </si>
  <si>
    <t>MILO READY TO DRINK 8 OZ</t>
  </si>
  <si>
    <t>NIDO POWDERED MILK 12.69 OZ</t>
  </si>
  <si>
    <t>NIDO DRY WHOLE MILK 12/1.76LB</t>
  </si>
  <si>
    <t>NIDO 6/3.52 LBS</t>
  </si>
  <si>
    <t>NIDO 1+KINDER CRECIMIENTO</t>
  </si>
  <si>
    <t>LA LECHERA FAT FREE 24/14 OZ.</t>
  </si>
  <si>
    <t>NIDO 1 KINDER/CRECIMIENTO</t>
  </si>
  <si>
    <t>NESTUM WHEAT AND HONEY 10.5 OZ</t>
  </si>
  <si>
    <t>NESTUM 3 CEREAL 14.1 OZ</t>
  </si>
  <si>
    <t>CERELAC WHEAT W/ MILK 14.1 OZ</t>
  </si>
  <si>
    <t>ABUELITA INST CHOCLATE 12/8 OZ</t>
  </si>
  <si>
    <t>ABUELITA CHOCOLATE 6 TAB</t>
  </si>
  <si>
    <t>LA LECHERA DULCE DE LECHE SQUE</t>
  </si>
  <si>
    <t>NESTUM 5 CEREALS 12/10.6 OZ.</t>
  </si>
  <si>
    <t>CONSOMATE BOU CHKEN GRANULATED</t>
  </si>
  <si>
    <t>NESTUM WHEAT AND FRUIT</t>
  </si>
  <si>
    <t>NESTUM OAT AND PRUNE</t>
  </si>
  <si>
    <t>FRESCAVENA VANILLA</t>
  </si>
  <si>
    <t>FRESCAVENA CINNAMON</t>
  </si>
  <si>
    <t>FRESCAVENA STRAWBERRY</t>
  </si>
  <si>
    <t>MAGGI CRM OF CHKN SOUP 2.26 OZ</t>
  </si>
  <si>
    <t>MAGGI SEAFOOD SOUP 2.82 OZ</t>
  </si>
  <si>
    <t>QUAKER FARINA 16 OZ</t>
  </si>
  <si>
    <t>QUAKER FARINA 28 OZ</t>
  </si>
  <si>
    <t>QUAKER FARINA CINNAMON</t>
  </si>
  <si>
    <t>ALPINA NATURAL OAT SMOOTHIE</t>
  </si>
  <si>
    <t>ALPINA CINNAMON OAT SMOOTHIE</t>
  </si>
  <si>
    <t>ALPINA OAT SMOOTHIE ORIG 4/6PK</t>
  </si>
  <si>
    <t>ALPINA DULCE DE LECHE 8.8 Oz</t>
  </si>
  <si>
    <t>ALPINA DULCE DE LECHE  6PK</t>
  </si>
  <si>
    <t>ALPINA DULCE DE LECHE 12/17.6</t>
  </si>
  <si>
    <t>ALPINA OAT SMOOTHIE CINN 4/6PK</t>
  </si>
  <si>
    <t>ALPINA OAT SMOOTHIE STR 4/6PK</t>
  </si>
  <si>
    <t>MAGGI DR BOUILLON CHKN 6 TAB</t>
  </si>
  <si>
    <t>MAGGI CHICKEN FLAVOR BOUILLON</t>
  </si>
  <si>
    <t>ALPINA LIGHT OAT SMOOTHIE</t>
  </si>
  <si>
    <t>ALPINA ORIGINAL OAT SMOOTHIE</t>
  </si>
  <si>
    <t>MAGGI CHICKEN BOUILLON 8.89 OZ</t>
  </si>
  <si>
    <t>CONSO BOUILLON CHCKN TOMATO</t>
  </si>
  <si>
    <t>CONSO BOU CHKN TOM GRANULATED</t>
  </si>
  <si>
    <t>WHITE MASAREPA FOOD SERVICE</t>
  </si>
  <si>
    <t>EMBAJADOR HOT CHOCOLATE 200G</t>
  </si>
  <si>
    <t>GOYA ORGANIC CHOCO-QUINOA MIX</t>
  </si>
  <si>
    <t>GOYA ORGANIC INSTANT QUINOA</t>
  </si>
  <si>
    <t>GOYA ORGANIC BLACK QUINOA</t>
  </si>
  <si>
    <t>GOYA ORGANIC RED QUINOA</t>
  </si>
  <si>
    <t>GOYA ORGANIC TRICOLOR QUINOA</t>
  </si>
  <si>
    <t>GOYA ORGANIC AMARANTH</t>
  </si>
  <si>
    <t>GOYA ORGANIC CHIA</t>
  </si>
  <si>
    <t>EMBAJADOR HOT CHOCOLATE 400G</t>
  </si>
  <si>
    <t>GOYA OAT SMOOTHIE STRAWBERRY</t>
  </si>
  <si>
    <t>QUAKER OATS QUICK COOKING</t>
  </si>
  <si>
    <t>QUAKER INSTANT OATS IRON</t>
  </si>
  <si>
    <t>QUAKER INSTANT OATS CINNAMON</t>
  </si>
  <si>
    <t>QUAKER INSTANT OATS VANILLA</t>
  </si>
  <si>
    <t>QUAKER OAT FLOUR</t>
  </si>
  <si>
    <t>QUAKER INSTANT OATS WITH IRON</t>
  </si>
  <si>
    <t>GOYA YELLOW CORN MASAREPA 25LB</t>
  </si>
  <si>
    <t>WHOLE GRAIN OAT FLOUR</t>
  </si>
  <si>
    <t>INSTANT OAT CINN - SUGAR FREE</t>
  </si>
  <si>
    <t>GOYA ORGANIC JASMINE RICE 2LB</t>
  </si>
  <si>
    <t>GOYA ORGANIC JASMINE RICE  5LB</t>
  </si>
  <si>
    <t>VEGAN YLLW RICE W/CHICK PEAS</t>
  </si>
  <si>
    <t>GOYA SPANISH RICE POUCH</t>
  </si>
  <si>
    <t>GOYA MEXICAN RICE</t>
  </si>
  <si>
    <t>GOYA BROWN RICE POUCH</t>
  </si>
  <si>
    <t>GOYA GANDULES 8 PACK 15 OZ</t>
  </si>
  <si>
    <t>GOYA BLACK BEANS 8/15.5 OZ.</t>
  </si>
  <si>
    <t>GOYA PINTO BEANS 8/15.5 OZ.</t>
  </si>
  <si>
    <t>GOYA RED KIDNEY BEAN 8/15.5 OZ</t>
  </si>
  <si>
    <t>GOYA CHICK PEAS BEAN8/15.5 OZ</t>
  </si>
  <si>
    <t>GOYA PINK BEANS 8PK/15.5 OZ.</t>
  </si>
  <si>
    <t>TOMATO SAUCE 2-24/8 OZ</t>
  </si>
  <si>
    <t>GOYA BLACK BEANS 6/29 OZ.</t>
  </si>
  <si>
    <t>GOYA PINTO BEANS 6/29 OZ.</t>
  </si>
  <si>
    <t>MEXICAN RICE 7 OZ</t>
  </si>
  <si>
    <t>ORGANIC BLACK BEANS 8/15.5 OZ</t>
  </si>
  <si>
    <t>ORGANIC RED BEANS 8/15.5 OZ</t>
  </si>
  <si>
    <t>ORGANIC CHICK PEAS 8/15.5 OZ</t>
  </si>
  <si>
    <t>ORGANIC PINTO BEANS 8/15.5 OZ</t>
  </si>
  <si>
    <t>GOYA MARIA SAND. COOKIES 4/8PK</t>
  </si>
  <si>
    <t>GOYA MARIA COOKIES 4/8PK</t>
  </si>
  <si>
    <t>GOYA MARIA CHOCOLATE 4/8PK</t>
  </si>
  <si>
    <t>GOYA PALMERITA COOKIE 4/8PK</t>
  </si>
  <si>
    <t>MAZAPAN SANCHIS MIRA</t>
  </si>
  <si>
    <t>YEMA SANCHIS MIRA</t>
  </si>
  <si>
    <t>MAGIC XMAS COOKIE BAG CINNAMON</t>
  </si>
  <si>
    <t>XMAS SHOP COOKIES SWEET BUTTER</t>
  </si>
  <si>
    <t>XMAS TREE COOKIES CHOCOLATE</t>
  </si>
  <si>
    <t>MAGIC XMAS ASSORTED COOKIES</t>
  </si>
  <si>
    <t>FRUTA SANCHIS MIRA</t>
  </si>
  <si>
    <t>CHOCOLATE SANCHIS MIRA</t>
  </si>
  <si>
    <t>YEMA TOSTADA SANCHIS MIRA</t>
  </si>
  <si>
    <t>SANCHIS MIRA COCO AL CHOCOLATE</t>
  </si>
  <si>
    <t>MEMBRILLO SANCHIS MIRA</t>
  </si>
  <si>
    <t>MOUSSE CHCOLATE SANCHIS MIRA</t>
  </si>
  <si>
    <t>TRES CEROS NO-ALCOHOL WHT WINE</t>
  </si>
  <si>
    <t>TRES CEROS NO-ALCOHOL RED WINE</t>
  </si>
  <si>
    <t>TRES CEROS NOALCOHOL SPKG WINE</t>
  </si>
  <si>
    <t>GOYA CHOCO CHIPS CLAUS</t>
  </si>
  <si>
    <t>GOYA SIDRA</t>
  </si>
  <si>
    <t>GOYA PANNETTONE</t>
  </si>
  <si>
    <t>GOYA PANETON W/ CHOCOLATE CHIP</t>
  </si>
  <si>
    <t>GOYA CINNAMON CLAUS COOKIES</t>
  </si>
  <si>
    <t>HOLIDAY MIXED HALF PALLET</t>
  </si>
  <si>
    <t>CHOCO PANETTONE 17.63 OZ QP</t>
  </si>
  <si>
    <t>FRUIT PANETTONE 17.63 OZ QP</t>
  </si>
  <si>
    <t>FRUIT &amp; CHOCO PANETTONE 1/2 PL</t>
  </si>
  <si>
    <t>ALICANTE SANCHIS MIRA 7 OZ</t>
  </si>
  <si>
    <t>SANCHIS MIRA ALICANTE  3.5 OZ</t>
  </si>
  <si>
    <t>JIJONA SANCHIS MIRA 7 OZ</t>
  </si>
  <si>
    <t>SANCHISMIR TORTA IMPERIAL 7 OZ</t>
  </si>
  <si>
    <t>PORCIONES DE ALICANTE 4/24</t>
  </si>
  <si>
    <t>FIGURITAS MAZAPAN 7 OZ</t>
  </si>
  <si>
    <t>SANCHIS MIRA BARQUILLOS TURRON</t>
  </si>
  <si>
    <t>ALMENDRAS RELLENAS 5.3 OZ</t>
  </si>
  <si>
    <t>MANTC Y POLVORON SURTIDOS 14OZ</t>
  </si>
  <si>
    <t>SANCHIS MIRA BARQUILLOS CHOCLT</t>
  </si>
  <si>
    <t>SANCHIS MIRA BARQUILLOS CAFE</t>
  </si>
  <si>
    <t>SANCHIS MIRA SIN AZUCAR JIJONA</t>
  </si>
  <si>
    <t>SANCHIS MIRA SIN AZUCAR ALICAN</t>
  </si>
  <si>
    <t>DELICIAS RELLENAS TURRON</t>
  </si>
  <si>
    <t>DELICIAS RELLENAS CHOCOLATE</t>
  </si>
  <si>
    <t>GOYA CHOCOLATE SHIPPER</t>
  </si>
  <si>
    <t>ANTIU XIXONA DARK CHOC W/ALMND</t>
  </si>
  <si>
    <t>ANTIU XIXONA DARK CHOCOLATE</t>
  </si>
  <si>
    <t>ANTIU XIXONA MILK CHOCOLATE</t>
  </si>
  <si>
    <t>GOYA COQUITO SHIPPER</t>
  </si>
  <si>
    <t>RED KIDNEY BEANS 1 LB</t>
  </si>
  <si>
    <t>GOYA DORADAS CRACKERS 10.37 OZ</t>
  </si>
  <si>
    <t>GOYA SOCIALES WHEAT CRACKERS</t>
  </si>
  <si>
    <t>GOYA SOCIALES ORIGINAL 8.57 OZ</t>
  </si>
  <si>
    <t>GOYA SALTINES TRADITIONAL</t>
  </si>
  <si>
    <t>GOYA SALTINES CHEESE &amp; BUTTER</t>
  </si>
  <si>
    <t>GOYA SALTINES WHOLE WHEAT</t>
  </si>
  <si>
    <t>GOYA CARNAVAL VANILLA 14.2 OZ</t>
  </si>
  <si>
    <t>GOYA CARNAVAL STRAWBERRY 14.2</t>
  </si>
  <si>
    <t>GOYA CARNAVAL CHOCOLATE 14.2</t>
  </si>
  <si>
    <t>GOYA CARNAVAL COCONUT 14.2 OZ</t>
  </si>
  <si>
    <t>GOYA CARNAVAL LIME 14.2 OZ</t>
  </si>
  <si>
    <t>GOYA SALTINE CRACKERS RED TIN</t>
  </si>
  <si>
    <t>GOYA BUTTER BEANS 8/15.5 OZ</t>
  </si>
  <si>
    <t>CHILES CHIPOTLES 6PK/7 OZ CLUB</t>
  </si>
  <si>
    <t>RED KIDNEY 4 LB TRAY</t>
  </si>
  <si>
    <t>LENTIL BEANS 4 LB TRAY</t>
  </si>
  <si>
    <t>PINK BEANS 4 LB TRAY</t>
  </si>
  <si>
    <t>SMALL RED 4 LB TRAY</t>
  </si>
  <si>
    <t>LENTILS 10 LB TRAY</t>
  </si>
  <si>
    <t>ROMAN BEANS 10 LB TRAY</t>
  </si>
  <si>
    <t>GOYA BLACK BEANS TRAY</t>
  </si>
  <si>
    <t>GOYA PINTO BEANS TRAY</t>
  </si>
  <si>
    <t>GOYA RED KIDNEY BEANS 6/15.5OZ</t>
  </si>
  <si>
    <t>GOYA PINK BEANS 6/15.5 OZ.</t>
  </si>
  <si>
    <t>GOYA CHICK PEAS 6/15.5 OZ</t>
  </si>
  <si>
    <t>GOYA BLACK BEANS 6/15.5 OZ</t>
  </si>
  <si>
    <t>GOYA PINTO BEANS 6/15.5 OZ.</t>
  </si>
  <si>
    <t>GOYA SMALL RED BEANS 6/15.5 OZ</t>
  </si>
  <si>
    <t>GOYA CANNELINI BEANS 6/15.5 OZ</t>
  </si>
  <si>
    <t>SMALL WHITE BEANS 6/15.5 OZ</t>
  </si>
  <si>
    <t>LOW SODIUM BLACK BEAN 6/15.5OZ</t>
  </si>
  <si>
    <t>GOYA YELLOW RICE MIX MULTIPAK</t>
  </si>
  <si>
    <t>ADOBO CON PMTA 6-2/28 OZ CLUB</t>
  </si>
  <si>
    <t>12-PACK RAINBOW NECTARS</t>
  </si>
  <si>
    <t>GOYA MANGO NECTAR 6/33.8 OZ.</t>
  </si>
  <si>
    <t>GOYA TOMATO SAUCE 8 OZ</t>
  </si>
  <si>
    <t>GOYA CREAM OF COCONUT 6/4PK</t>
  </si>
  <si>
    <t>GOYA COCONUT MILK  4/6PK 13.5</t>
  </si>
  <si>
    <t>GOYA PLATANOS MADUROS CLUBPACK</t>
  </si>
  <si>
    <t>GOYA TOSTONES CLUBPACK</t>
  </si>
  <si>
    <t>COCONUT WATER W/ PULP 12 PK</t>
  </si>
  <si>
    <t>GOYA DISCOS CLUB PACK 10/56 OZ</t>
  </si>
  <si>
    <t>GOYA BEEF EMPANADAS-CLUB PACK</t>
  </si>
  <si>
    <t>DUCAL REFRIED RED BEANS 15 OZ</t>
  </si>
  <si>
    <t>DUCAL REFRIED BLK BEANS 15 OZ</t>
  </si>
  <si>
    <t>LS  TOMATO SAUCE 2-24/ 8 OZ</t>
  </si>
  <si>
    <t>GOYA YELLOW RICE MIX 6 PACK</t>
  </si>
  <si>
    <t>GOYA MEXICAN RICE MIX 6 PACK</t>
  </si>
  <si>
    <t>COQUITO KIT QUARTER PALLET</t>
  </si>
  <si>
    <t>COQUITO KIT FULL PALLET</t>
  </si>
  <si>
    <t>COQUITO KIT 6 PACK</t>
  </si>
  <si>
    <t>GOYA COQUITO HOLIDAY KIT</t>
  </si>
  <si>
    <t>LIMPIOLIN PRIMAVERAL</t>
  </si>
  <si>
    <t>WHITE CANDLE</t>
  </si>
  <si>
    <t>BLUE CANDLE</t>
  </si>
  <si>
    <t>GREEN CANDLE</t>
  </si>
  <si>
    <t>RED CANDLE</t>
  </si>
  <si>
    <t>YELLOW CANDLE</t>
  </si>
  <si>
    <t>THREE COLOR CANDLE</t>
  </si>
  <si>
    <t>SENOR DE MILAGROSOS</t>
  </si>
  <si>
    <t>SEVEN COLOR CANDLE</t>
  </si>
  <si>
    <t>STA MARTA NOVENA CANDLE</t>
  </si>
  <si>
    <t>VIRG GUADALUPE NOVNA CNDL</t>
  </si>
  <si>
    <t>GRAN PODER NOVENA CANDLE</t>
  </si>
  <si>
    <t>S MARTIN PORRES NOVN CNDL</t>
  </si>
  <si>
    <t>MANO PODEROSA NOVENA CNDL</t>
  </si>
  <si>
    <t>SAGRADO CORAZON NOVN CNDL</t>
  </si>
  <si>
    <t>SAN LAZARO NOVENA CANDLE</t>
  </si>
  <si>
    <t>SAN JUDAS NOVENA CANDLE</t>
  </si>
  <si>
    <t>SAN JUAN DIEGO NOVENA SCENTED</t>
  </si>
  <si>
    <t>CARIDAD COBRE NOVENA CANDLE</t>
  </si>
  <si>
    <t>SRA ALTA GRACIA NOVENA CANDLE</t>
  </si>
  <si>
    <t>STA BARBARA NOVENA CANDLE</t>
  </si>
  <si>
    <t>7 POTENCIAS NOVENA CANDLE</t>
  </si>
  <si>
    <t>MILAGROSA NOVENA CANDLE</t>
  </si>
  <si>
    <t>SAN ANTONIO NOVENA CANDLE</t>
  </si>
  <si>
    <t>SANTA CLARA NOVENA CANDLE</t>
  </si>
  <si>
    <t>ESPIRITU SANTO NOVENA CANDLE</t>
  </si>
  <si>
    <t>SAN MIGUEL NOVENA CANDLE</t>
  </si>
  <si>
    <t>VELAS SAN ELIAS</t>
  </si>
  <si>
    <t>N SRA DEL CARMEN NOVENA CANDLE</t>
  </si>
  <si>
    <t>SAN ALEJO CANDLE</t>
  </si>
  <si>
    <t>N SRA DE LA CANDLELARIA</t>
  </si>
  <si>
    <t>JUSTO JUEZ NOVENA CANDLE</t>
  </si>
  <si>
    <t>SAN JOSE NOVENA CANDLE</t>
  </si>
  <si>
    <t>FAST LUCK NOVENA CANDLE</t>
  </si>
  <si>
    <t>SRA FATIMA NOVENA CANDLE</t>
  </si>
  <si>
    <t>INDIO PODEROSO</t>
  </si>
  <si>
    <t>DIVINO NINO JESUS</t>
  </si>
  <si>
    <t>WHITE NOVENA CANDLE 50 HOUR</t>
  </si>
  <si>
    <t>YELLOW NOVENA CANDLE 50 HOUR</t>
  </si>
  <si>
    <t>RED NOVENA CANDLE 50 HOUR</t>
  </si>
  <si>
    <t>GREEN NOVENA CANDLE 50 HOUR</t>
  </si>
  <si>
    <t>JUAN PABLO II CANDLE</t>
  </si>
  <si>
    <t>DIA DE LOS MUERTOS CANDLE</t>
  </si>
  <si>
    <t>GOYA BREAD CRUMBS PAN MOLIDO</t>
  </si>
  <si>
    <t>GOYA BREAD CRUMBS</t>
  </si>
  <si>
    <t>MALTA GOYO           12 OZ.</t>
  </si>
  <si>
    <t>GOYO SWEET PEAS 24/15 OZ.</t>
  </si>
  <si>
    <t>GOLLA PEAS AND CARROTS 8.5 OZ</t>
  </si>
  <si>
    <t>GOYA WHITE HOMINY FRENCH LABEL</t>
  </si>
  <si>
    <t>DUCAL RED REFRIED BEANS FR LBL</t>
  </si>
  <si>
    <t>DUCAL BLCK RF BEANS FRNCH LBL</t>
  </si>
  <si>
    <t>F/L DUCAL BLACK REFRIED BEANS</t>
  </si>
  <si>
    <t>F/L DUCAL RED REFRIED BEANS</t>
  </si>
  <si>
    <t>GOYA WHITE COOKING WINE FR LBL</t>
  </si>
  <si>
    <t>GOYA RED COOKING WINE FR LBL</t>
  </si>
  <si>
    <t>ADOBO WITH PEPPER FRENCH LABEL</t>
  </si>
  <si>
    <t>ADOBO WITHOUT PEPPER FRNCH LBL</t>
  </si>
  <si>
    <t>FRENCH LABEL MALTA GOYA 4/6 PK</t>
  </si>
  <si>
    <t>SAZON C/AZAFRAN-ECON 6/3/20ENV</t>
  </si>
  <si>
    <t>GOYA ADOBO 8 OZ SHIPPER</t>
  </si>
  <si>
    <t>GOYA SAZONADOR 11 OZ SHIPPER</t>
  </si>
  <si>
    <t>DUCAL CHIPOTLE BEAN DIP 9 OZ</t>
  </si>
  <si>
    <t>DUCAL RANCHERO BEAN DIP 9 OZ</t>
  </si>
  <si>
    <t>DUCAL JALAPENO BEAN DIP 9 OZ</t>
  </si>
  <si>
    <t>JASMINE RICE 5LB QUARTER PLT</t>
  </si>
  <si>
    <t>GOYA JAMBALAYA-PILAF-DIRTY</t>
  </si>
  <si>
    <t>GOYA PAELLA SHIPPER</t>
  </si>
  <si>
    <t>GOYA TOSTONES CHIPS SHIPPER</t>
  </si>
  <si>
    <t>GOYA PORK RINDS CHICHARRONES</t>
  </si>
  <si>
    <t>GOYA BLACK BEANS 29 OZ QP</t>
  </si>
  <si>
    <t>GOYA BLACK BEANS 15.5 OZ QP</t>
  </si>
  <si>
    <t>GOYA CHICK PEAS 15.5 OZ QP</t>
  </si>
  <si>
    <t>GOYA PINK BEANS 15.5 OZ QP</t>
  </si>
  <si>
    <t>GOYA RED KDNY BEANS 15.5 OZ QP</t>
  </si>
  <si>
    <t>GOYA BLACK BEANS LS 15.5 OZ QP</t>
  </si>
  <si>
    <t>GOYA CHICK PEAS LS 15.5 OZ QP</t>
  </si>
  <si>
    <t>PAS.FRT PRIS NECTAR 33.8 OZ QP</t>
  </si>
  <si>
    <t>STUFFED OLIVES 6.75 OZ QP</t>
  </si>
  <si>
    <t>SAZON SEASON. JUMBO 6.33 OZ EP</t>
  </si>
  <si>
    <t>GOYA TOMATO SAUCE 48-8 OZ QP</t>
  </si>
  <si>
    <t>CONDENSED &amp; EVAPO MILK 1/4 PLT</t>
  </si>
  <si>
    <t>PICO DE GALLO &amp; SALSA VERDE QP</t>
  </si>
  <si>
    <t>DUX CRACKERS 1/4 PLT</t>
  </si>
  <si>
    <t>MAGGI FLAVORED SOUP EP</t>
  </si>
  <si>
    <t>DUCAL FRIJOL ROJO ENTERO 14 OZ</t>
  </si>
  <si>
    <t>DUCAL FRIJOL ROJO ENTERO 28 OZ</t>
  </si>
  <si>
    <t>DUCAL FRIJOL NEGRO ENT 14 OZ</t>
  </si>
  <si>
    <t>DUCAL FRIJOL NEGRO ENT 28 OZ</t>
  </si>
  <si>
    <t>ALPINA YOGO YOGO PEACH DRINK</t>
  </si>
  <si>
    <t>ALPINA YOGO YOGO STRAWBERRY</t>
  </si>
  <si>
    <t>ALPINA BONYURT COCOA RICE</t>
  </si>
  <si>
    <t>ALPINA BONYURT COOKIES &amp; CREAM</t>
  </si>
  <si>
    <t>ALPINA BONYURT FROSTED FLAKES</t>
  </si>
  <si>
    <t>ALPINA STRAWBERRY OAT SMOOTHIE</t>
  </si>
  <si>
    <t>GOYA WHITE CORN AREPITAS</t>
  </si>
  <si>
    <t>AREPAS BLANCAS DE MAIZ 15.9 OZ</t>
  </si>
  <si>
    <t>AREPAS DE MAIZ C/QUESO 13.4 OZ</t>
  </si>
  <si>
    <t>AREPAS DE CHOCOLO 10.6 OZ</t>
  </si>
  <si>
    <t>AREPAS DE CHOCOLO C/QUESO</t>
  </si>
  <si>
    <t>AREPAS DE YUCA C/QUESO 12.4 OZ</t>
  </si>
  <si>
    <t>AREPA DE MAIZ AMARI/YLW CORN</t>
  </si>
  <si>
    <t>CHEESE FLAN</t>
  </si>
  <si>
    <t>FLAN  16/3 PACK/3 OZ.</t>
  </si>
  <si>
    <t>GOYA FLAN - SINGLES    3 OZ</t>
  </si>
  <si>
    <t>GOYA TEQUENOS 8 OZ</t>
  </si>
  <si>
    <t>BAKED BEEF EMPANADAS 10 OZ</t>
  </si>
  <si>
    <t>BAKED CHICKEN EMPANADAS 10 OZ</t>
  </si>
  <si>
    <t>BAKED SPINACH AND CHSE EMPANAD</t>
  </si>
  <si>
    <t>HAM CACHITO</t>
  </si>
  <si>
    <t>GOYA CORN PATTIES W CHSE/AREPA</t>
  </si>
  <si>
    <t>FROZEN PIGEON PEAS 48 OZ</t>
  </si>
  <si>
    <t>GREEN PIGEON PEAS FROZEN 5 LB</t>
  </si>
  <si>
    <t>CHEESE EMPANADILLAS</t>
  </si>
  <si>
    <t>MINI CORN TORTILLAS-TAQUITOS</t>
  </si>
  <si>
    <t>PIZZA EMPANADILLAS</t>
  </si>
  <si>
    <t>CHICKEN EMPANADA 10 OZ.</t>
  </si>
  <si>
    <t>EMPANADILLAS</t>
  </si>
  <si>
    <t>FAJITA FLOUR TORTILLAS 6 INCH</t>
  </si>
  <si>
    <t>CHILES RELLENO CON QUESO</t>
  </si>
  <si>
    <t>RELLENOS DE PAPA  16 OZ.</t>
  </si>
  <si>
    <t>GOYA MEX STYLE CORN TORTILLAS</t>
  </si>
  <si>
    <t>BURRITO FLOUR TORTILLAS 10 IN.</t>
  </si>
  <si>
    <t>6" WHITE CORN TORTILLA 80 CT.</t>
  </si>
  <si>
    <t>SOFT TACO FLOUR TORTILLAS 8 IN</t>
  </si>
  <si>
    <t>PLATANOS MADUROS  11 OZ</t>
  </si>
  <si>
    <t>TOSTONES/FRIED PLANTAINS 16 OZ</t>
  </si>
  <si>
    <t>GOYA YUCA 18 OZ</t>
  </si>
  <si>
    <t>YAUTIA/MALANGA  1 1/2 LB</t>
  </si>
  <si>
    <t>GREEN PIGEON PEAS FROZEN 14 OZ</t>
  </si>
  <si>
    <t>YUCA 5 LB BAG</t>
  </si>
  <si>
    <t>YUCA  24 OZ</t>
  </si>
  <si>
    <t>VIANDA SANCOCHO  32 OZ</t>
  </si>
  <si>
    <t>GOYA NAME 1 1/2 LB</t>
  </si>
  <si>
    <t>RECAITO  28 OZ</t>
  </si>
  <si>
    <t>RECAITO  14 OZ</t>
  </si>
  <si>
    <t>RECAITO   7 OZ</t>
  </si>
  <si>
    <t>CORN ON THE COB 4 LG EARS</t>
  </si>
  <si>
    <t>CORN ON THE COB  8 MINI EARS</t>
  </si>
  <si>
    <t>EMPANADA DOUGH / SHELLS</t>
  </si>
  <si>
    <t>EMPANADA DOUGH/SHELLS W/COLOR</t>
  </si>
  <si>
    <t>SOFRITO  7 OZ</t>
  </si>
  <si>
    <t>SOFRITO  14 OZ</t>
  </si>
  <si>
    <t>SOFRITO  28 OZ</t>
  </si>
  <si>
    <t>CUT CORN  16 OZ</t>
  </si>
  <si>
    <t>TAMALES  CUBAN (4) 16 OZ</t>
  </si>
  <si>
    <t>BROCCOLI FLORETS 1 LB</t>
  </si>
  <si>
    <t>HAM CROQUETTES 9.6 OZ</t>
  </si>
  <si>
    <t>MORA PULP  14 OZ</t>
  </si>
  <si>
    <t>CHICKEN CROQUETTES 9.6 OZ</t>
  </si>
  <si>
    <t>LULO PULP  14 OZ</t>
  </si>
  <si>
    <t>GUAYABA PULP  14 OZ</t>
  </si>
  <si>
    <t>CRINKLE CUT FRENCH FRIES</t>
  </si>
  <si>
    <t>MIXED VEGETABLES  16 OZ</t>
  </si>
  <si>
    <t>GOYA NANCE FRUIT</t>
  </si>
  <si>
    <t>COCONUT FLAKES  14 OZ</t>
  </si>
  <si>
    <t>MAMEY PULP  14 OZ</t>
  </si>
  <si>
    <t>GUANABANA PULP  14 OZ</t>
  </si>
  <si>
    <t>TAMARIND PULP  14 OZ</t>
  </si>
  <si>
    <t>PAPAYA CHUNKS 14 OZ</t>
  </si>
  <si>
    <t>MANGO PULP 14 OZ</t>
  </si>
  <si>
    <t>GOYA TOMATE DE ARBOL</t>
  </si>
  <si>
    <t>PARCHA/PASSION FRUIT PULP 14OZ</t>
  </si>
  <si>
    <t>LIMON PULP 14 OZ</t>
  </si>
  <si>
    <t>STRAWBERRY PULP</t>
  </si>
  <si>
    <t>PINEAPPLE PULP 14 OZ</t>
  </si>
  <si>
    <t>FROZEN JOCOTE - PLUM</t>
  </si>
  <si>
    <t>GOYA TOSTON CUPS</t>
  </si>
  <si>
    <t>MASA/YUCA/RALLADA  2 LB</t>
  </si>
  <si>
    <t>HOJA DE PLATANO  1 LB</t>
  </si>
  <si>
    <t>PLATANO HORNEADO 11 OZ</t>
  </si>
  <si>
    <t>GOYA PLATANOS MADUROS 24 OZ</t>
  </si>
  <si>
    <t>GOYA PLATANOS MADUROS 40 OZ</t>
  </si>
  <si>
    <t>GOYA TOSTONES FAMILY PACK 40OZ</t>
  </si>
  <si>
    <t>GOYA PLATANOS HORNEADOS 45 OZ</t>
  </si>
  <si>
    <t>GOYA SORULLITOS CON QUESO</t>
  </si>
  <si>
    <t>CHORIZO CROQUETTES PRE-FRIED</t>
  </si>
  <si>
    <t>GOYA ARANITAS/PLNTAN HASHBROWN</t>
  </si>
  <si>
    <t>FRENCH FRIES REGULAR CUT</t>
  </si>
  <si>
    <t>GOYA CHIRIMOYA PULP  14 OZ</t>
  </si>
  <si>
    <t>GOYA LUCUMA PULP  14 OZ</t>
  </si>
  <si>
    <t>PEAS AND CARROTS  16 OZ</t>
  </si>
  <si>
    <t>CUT OKRA FROZEN VEGETABLE 16OZ</t>
  </si>
  <si>
    <t>GOYA SWEET PEAS  16 OZ</t>
  </si>
  <si>
    <t>YUCA FRIES 24 OZ</t>
  </si>
  <si>
    <t>GOYA THIN YUCA FRIES 16 OZ</t>
  </si>
  <si>
    <t>GOYA SHOE STRING FRENCH FRIES</t>
  </si>
  <si>
    <t>LIMA BEANS FRZN VEGETABL 16 OZ</t>
  </si>
  <si>
    <t>CARROTS FRZN VEGETABLE 16 OZ</t>
  </si>
  <si>
    <t>GRN BEANS FRZN VEGETABLE 16 OZ</t>
  </si>
  <si>
    <t>MORCILLA-BLOOD SAUSAGE</t>
  </si>
  <si>
    <t>PASTELES DE MASA  11 OZ</t>
  </si>
  <si>
    <t>RICE WITH BLACK BEANS</t>
  </si>
  <si>
    <t>YELLOW RICE WITH PINK BEANS</t>
  </si>
  <si>
    <t>LARGE WHITE DISCO  20 OZ</t>
  </si>
  <si>
    <t>LARGE YELLOW DISCO  20 OZ</t>
  </si>
  <si>
    <t>TAPA/EMPANADA CRIOLLA 11.6 OZ</t>
  </si>
  <si>
    <t>TAPA/EMPANADA HOJALDRADA 11.6</t>
  </si>
  <si>
    <t>PEAS &amp; CARROTS FRZN VEG 32 OZ</t>
  </si>
  <si>
    <t>CUT CORN FROZEN VEGETABLE 32 O</t>
  </si>
  <si>
    <t>MIXED VEGETABLE FROZEN 32</t>
  </si>
  <si>
    <t>LIMA BEANS FRZN VEGETABL 32 OZ</t>
  </si>
  <si>
    <t>GOYA FROZEN FAVA BEANS 28 OZ</t>
  </si>
  <si>
    <t>GOYA CHOPPED SPINACH 12/16 OZ.</t>
  </si>
  <si>
    <t>GOYA CUT LEAF SPINACH 12/16 OZ</t>
  </si>
  <si>
    <t>GOYA TAMAL CUBANO IN CORN HUSK</t>
  </si>
  <si>
    <t>GOYA PASTEL DE MASA CON PUERCO</t>
  </si>
  <si>
    <t>BEEF TAQUITOS</t>
  </si>
  <si>
    <t>CHICKEN TAQUITOS-12</t>
  </si>
  <si>
    <t>GOYA VEGETABLE FAJITA MIX</t>
  </si>
  <si>
    <t>FROZEN LOROCO  6 OZ</t>
  </si>
  <si>
    <t>PONCHE MIX FROZEN FRUITS</t>
  </si>
  <si>
    <t>GOYA CHOCLO 6/3 LBS</t>
  </si>
  <si>
    <t>GOYA PUPUSA QUESO/FRIJOLES 22</t>
  </si>
  <si>
    <t>GOYA PUPUSA QUESO/LOROCO 22</t>
  </si>
  <si>
    <t>GOYA PUPUSAS QUESO    22 OZ</t>
  </si>
  <si>
    <t>GOYA CHOCLO, 2 PIECES</t>
  </si>
  <si>
    <t>GOYA CHOCLO KERNELS 16 OZ</t>
  </si>
  <si>
    <t>GOYA AJI AMARILLO    16 OZ</t>
  </si>
  <si>
    <t>GOYA AJI ROCOTO    16 OZ</t>
  </si>
  <si>
    <t>GOYA OLLUCO       16 OZ</t>
  </si>
  <si>
    <t>GOYA PAPA AMARILLA    16 OZ</t>
  </si>
  <si>
    <t>MOTE PELADO/GIANT WHITE CORN</t>
  </si>
  <si>
    <t>CHOCLO SLICED   8 PCS</t>
  </si>
  <si>
    <t>GUAVA NECTAR CONCENTRATE 12 OZ</t>
  </si>
  <si>
    <t>TAMARIND NECTAR CONCENTRATE 12</t>
  </si>
  <si>
    <t>MANGO NECTAR CONC 12 OZ</t>
  </si>
  <si>
    <t>GUANABANA NECTAR CONC 12 OZ</t>
  </si>
  <si>
    <t>PASSION FRT CONCENTRATE 12 OZ</t>
  </si>
  <si>
    <t>JUGO DE CHINA CONCENTRATE 12 O</t>
  </si>
  <si>
    <t>GOYA WHOLE GUAVAS-PONCHE 14 OZ</t>
  </si>
  <si>
    <t>WHOLE FROZEN TOMATE ARBOL 14 O</t>
  </si>
  <si>
    <t>WHOLE TEJOCOTE 12/14 OZ</t>
  </si>
  <si>
    <t>WHOLE ZAPOTE-MAMEY 12/14 OZ.</t>
  </si>
  <si>
    <t>GOYA AJIACO COLOMBIANO 12/32OZ</t>
  </si>
  <si>
    <t>GOYA PAPA CRIOLLA 12/2 LB.</t>
  </si>
  <si>
    <t>GOYA ARRACACHA 12/1 LB</t>
  </si>
  <si>
    <t>GOYA SANCOCHO COLOMBIANO 12/32</t>
  </si>
  <si>
    <t>GOYA PANDEBONO CHEESE BREAD</t>
  </si>
  <si>
    <t>TORTILLA DE PATATA/CEB 17.6OZ</t>
  </si>
  <si>
    <t>TAMALITOS DE ELOTE</t>
  </si>
  <si>
    <t>CANA DE AZUCAR  12/14 OZ.</t>
  </si>
  <si>
    <t>MARANON</t>
  </si>
  <si>
    <t>JOCOTE CORONA</t>
  </si>
  <si>
    <t>MANGO VERDE</t>
  </si>
  <si>
    <t>DRAGON FRUIT/PITAYA CHUNKS</t>
  </si>
  <si>
    <t>FROZEN SOURSOP CHUNKS</t>
  </si>
  <si>
    <t>GOYA CHURROS 8/14.11</t>
  </si>
  <si>
    <t>PASTELITOS GUAYABA</t>
  </si>
  <si>
    <t>PASTELITOS GUAYABA/QUESO</t>
  </si>
  <si>
    <t>WHOLE STRAWBERRIES 16 OZ.</t>
  </si>
  <si>
    <t>BERRY BLEND 16 OZ.</t>
  </si>
  <si>
    <t>TROPICAL BLEND 16 OZ.</t>
  </si>
  <si>
    <t>PASTELITOS CARNE 12/9</t>
  </si>
  <si>
    <t>PASTELITOS POLLO 12/9</t>
  </si>
  <si>
    <t>CFF JAMAICAN PATTIES BEEF MILD</t>
  </si>
  <si>
    <t>CFF JAMAICAN PATTIES BEEF SPIC</t>
  </si>
  <si>
    <t>CFF JAMAICAN PATTIES JERK CHIC</t>
  </si>
  <si>
    <t>CHEESE BREAD/PAO DE QUEIJO</t>
  </si>
  <si>
    <t>BREAD PUDDING WITH RAISINS</t>
  </si>
  <si>
    <t>GOYA JAMAICAN MILD BF PATTIES</t>
  </si>
  <si>
    <t>GOYA JAMAICAN SPICY BF PATTIES</t>
  </si>
  <si>
    <t>MANGU 10.5 OZ</t>
  </si>
  <si>
    <t>YUCA BITES (CHIPOTLE) 16 OZ.</t>
  </si>
  <si>
    <t>YUCA BITES (GARLIC MOJO) 16 OZ</t>
  </si>
  <si>
    <t>YUCA CUPS 12 X 12 OZ.</t>
  </si>
  <si>
    <t>STEAM BEST MIXED VEGETABLES</t>
  </si>
  <si>
    <t>STEAM BEST CALIFORNIA BLEND</t>
  </si>
  <si>
    <t>YUCA TOSTONES 20 X 1 LB</t>
  </si>
  <si>
    <t>GOYA DISCOS FOR BAKING</t>
  </si>
  <si>
    <t>CROQUETAS DE BACALAO(COD FISH)</t>
  </si>
  <si>
    <t>GOYA CHEESE CROQUETTES</t>
  </si>
  <si>
    <t>MINI WHITE DISCO 24/16 OZ</t>
  </si>
  <si>
    <t>MINI YELLOW DISCO 24/16 OZ.</t>
  </si>
  <si>
    <t>COLOMBIAN BEEF EMPANADAS</t>
  </si>
  <si>
    <t>COLOMBIAN CHICKEN EMPANADAS</t>
  </si>
  <si>
    <t>HAWAIIAN TOSTONES 32 OZ</t>
  </si>
  <si>
    <t>MOFONGO PLANTAIN 16 OZ</t>
  </si>
  <si>
    <t>GOYA TOSTON DE PANA</t>
  </si>
  <si>
    <t>NANCE FROZEN PULP</t>
  </si>
  <si>
    <t>COCONUT FLAN/ FLAN DE COCO</t>
  </si>
  <si>
    <t>MASA DE GUINEO 6/5 LBS</t>
  </si>
  <si>
    <t>GOYA FULLY COOKED YUCA 16 OZ</t>
  </si>
  <si>
    <t>WHOLE WHEAT TORTILLA 8 IN</t>
  </si>
  <si>
    <t>RIGUAS DE ELOTE</t>
  </si>
  <si>
    <t>GOYA PAPAYA CHUNKS 16 OZ</t>
  </si>
  <si>
    <t>GOYA PINEAPPLE CHUNKS 16OZ</t>
  </si>
  <si>
    <t>MANGO CHUNKS</t>
  </si>
  <si>
    <t>ALCAPURRIAS DE CARNE</t>
  </si>
  <si>
    <t>GOYA MEXICAN CHORIZO 16 OZ</t>
  </si>
  <si>
    <t>GOYA PR STYLE LONGANIZA 16 OZ</t>
  </si>
  <si>
    <t>GOYA CHURROS 9.7 OZ</t>
  </si>
  <si>
    <t>GOYA CHURROS W/ CHOCO 10.6 OZ</t>
  </si>
  <si>
    <t>GOYA CHURROS W/ DULCE DE LECHE</t>
  </si>
  <si>
    <t>FROZEN ACAI CUBES, STRAW/MANGO</t>
  </si>
  <si>
    <t>GOYA SWEET POTATO FRIES 15X1LB</t>
  </si>
  <si>
    <t>BREADFRUIT CHUNKS 20 OZ</t>
  </si>
  <si>
    <t>CHEESE AND GUAVA FLAN</t>
  </si>
  <si>
    <t>RAW SHRIMP 31/40 PEELD,DEVEIND</t>
  </si>
  <si>
    <t>RAW SHRIMP 41/50 PEELD,DEVEIND</t>
  </si>
  <si>
    <t>COOKED SHRIMP 31/40 PEELD,DVND</t>
  </si>
  <si>
    <t>COOKED SHRIMP 41/50 PEELD,DVND</t>
  </si>
  <si>
    <t>TUNA STEAKS, SKINLESS/BONELESS</t>
  </si>
  <si>
    <t>WILD PINK SALMON SKINLESS 16OZ</t>
  </si>
  <si>
    <t>SWAI FILLETS 16 OZ</t>
  </si>
  <si>
    <t>TILAPIA FILLETS, SKINLESS 16OZ</t>
  </si>
  <si>
    <t>MAHI MAHI 16 Oz</t>
  </si>
  <si>
    <t>SEAFOOD MIX 16 OZ</t>
  </si>
  <si>
    <t>SQUID RINGS 16 Oz</t>
  </si>
  <si>
    <t>EMPTY JUMBO SHIPPER</t>
  </si>
  <si>
    <t>SAZON GOYA FLOOR DISPLAY</t>
  </si>
  <si>
    <t>EMPTY ECONO SHIPPER</t>
  </si>
  <si>
    <t>GOYA POWDERED BOUILLON SHIPPER</t>
  </si>
  <si>
    <t>MAGGI METAL DISPLAY RACK</t>
  </si>
  <si>
    <t>WHITE RACKS  ONE SIZE</t>
  </si>
  <si>
    <t>CHILE/SNACK SPINNER HANG DISP</t>
  </si>
  <si>
    <t>MASAREPA METAL RACKS</t>
  </si>
  <si>
    <t>LA MODERNA PASTA DISPLAY</t>
  </si>
  <si>
    <t>MAGGI PLASTIC ROLLING RACK DIS</t>
  </si>
  <si>
    <t>MAGGI PLASTIC RACKS</t>
  </si>
  <si>
    <t>NOEL METALLIC RACK--WIDE</t>
  </si>
  <si>
    <t>NOEL METALLIC RACK--TALL</t>
  </si>
  <si>
    <t>GOYA END CAP RACK</t>
  </si>
  <si>
    <t>BAKED BEANS CARDBOARD DIPLAY</t>
  </si>
  <si>
    <t>GOYA LATIN ROOTS CHIP SAMPLE</t>
  </si>
  <si>
    <t>GOYA PLANTAIN CHIPS-SAMPLE</t>
  </si>
  <si>
    <t>MARIA COOKIES-SAMPLE PACK</t>
  </si>
  <si>
    <t>EXTRA VIRGIN OLIVE OIL IN PET</t>
  </si>
  <si>
    <t>GOYA LARGE CHORIZO RACK</t>
  </si>
  <si>
    <t>SMALL CHORIZO RACK</t>
  </si>
  <si>
    <t>ROUND PLASTIC DISPLAY BIN</t>
  </si>
  <si>
    <t>TORTILLA RACK</t>
  </si>
  <si>
    <t>WOOD PALLETS 40X48    FOUR WAY</t>
  </si>
  <si>
    <t>ROLLING WOOD RACK</t>
  </si>
  <si>
    <t>3 OZ</t>
  </si>
  <si>
    <t>8.5 OZ</t>
  </si>
  <si>
    <t>17 OZ</t>
  </si>
  <si>
    <t>25.4 OZ</t>
  </si>
  <si>
    <t>34 OZ</t>
  </si>
  <si>
    <t>50.7 OZ</t>
  </si>
  <si>
    <t>24 OZ</t>
  </si>
  <si>
    <t>102 OZ</t>
  </si>
  <si>
    <t>5 OZ</t>
  </si>
  <si>
    <t>280 OZ</t>
  </si>
  <si>
    <t>16 OZ</t>
  </si>
  <si>
    <t>48 OZ</t>
  </si>
  <si>
    <t>128 OZ</t>
  </si>
  <si>
    <t>96 OZ</t>
  </si>
  <si>
    <t>9.5 OZ</t>
  </si>
  <si>
    <t>3.75 OZ</t>
  </si>
  <si>
    <t>20 OZ</t>
  </si>
  <si>
    <t>2.25 OZ</t>
  </si>
  <si>
    <t>5.5 OZ</t>
  </si>
  <si>
    <t>3.375 OZ</t>
  </si>
  <si>
    <t>9 OZ</t>
  </si>
  <si>
    <t>5.75 OZ</t>
  </si>
  <si>
    <t>6.75 OZ</t>
  </si>
  <si>
    <t>2.5 OZ</t>
  </si>
  <si>
    <t>2 OZ</t>
  </si>
  <si>
    <t>3.25 OZ</t>
  </si>
  <si>
    <t>4.25 OZ</t>
  </si>
  <si>
    <t>7 OZ</t>
  </si>
  <si>
    <t>19.25 OZ</t>
  </si>
  <si>
    <t>10 OZ</t>
  </si>
  <si>
    <t>8 OZ</t>
  </si>
  <si>
    <t>6.5 OZ</t>
  </si>
  <si>
    <t>7.4 OZ</t>
  </si>
  <si>
    <t>5.25 OZ</t>
  </si>
  <si>
    <t>6 OZ</t>
  </si>
  <si>
    <t>12 OZ</t>
  </si>
  <si>
    <t>10.5 OZ</t>
  </si>
  <si>
    <t>15 OZ</t>
  </si>
  <si>
    <t>29 OZ</t>
  </si>
  <si>
    <t>100.7 OZ</t>
  </si>
  <si>
    <t>30 OZ</t>
  </si>
  <si>
    <t>15.5 OZ</t>
  </si>
  <si>
    <t>28 OZ</t>
  </si>
  <si>
    <t>14 OZ</t>
  </si>
  <si>
    <t>13.5 OZ</t>
  </si>
  <si>
    <t>7.5 OZ</t>
  </si>
  <si>
    <t>8.75 OZ</t>
  </si>
  <si>
    <t>25.5 OZ</t>
  </si>
  <si>
    <t>14.5 OZ</t>
  </si>
  <si>
    <t>106 OZ</t>
  </si>
  <si>
    <t>801 OZ</t>
  </si>
  <si>
    <t>46 OZ</t>
  </si>
  <si>
    <t>50 LBS</t>
  </si>
  <si>
    <t>800 OZ</t>
  </si>
  <si>
    <t>6 LBS</t>
  </si>
  <si>
    <t>110 OZ</t>
  </si>
  <si>
    <t>1 LB</t>
  </si>
  <si>
    <t>64 OZ</t>
  </si>
  <si>
    <t>160 OZ</t>
  </si>
  <si>
    <t>8.50 OZ</t>
  </si>
  <si>
    <t>19 OZ</t>
  </si>
  <si>
    <t>15.25 OZ</t>
  </si>
  <si>
    <t>8.25 OZ</t>
  </si>
  <si>
    <t>4 OZ</t>
  </si>
  <si>
    <t>4.5 OZ</t>
  </si>
  <si>
    <t>11.6 OZ</t>
  </si>
  <si>
    <t>21 OZ</t>
  </si>
  <si>
    <t>111 OZ</t>
  </si>
  <si>
    <t>80 OZ</t>
  </si>
  <si>
    <t>320 OZ</t>
  </si>
  <si>
    <t>1600 OZ</t>
  </si>
  <si>
    <t>32 OZ</t>
  </si>
  <si>
    <t>176 OZ</t>
  </si>
  <si>
    <t>560 OZ</t>
  </si>
  <si>
    <t>33.8 OZ</t>
  </si>
  <si>
    <t>42 OZ</t>
  </si>
  <si>
    <t>9.6 OZ</t>
  </si>
  <si>
    <t>16.9 OZ</t>
  </si>
  <si>
    <t>11.15 OZ</t>
  </si>
  <si>
    <t>17.6 OZ</t>
  </si>
  <si>
    <t>11.8 OZ</t>
  </si>
  <si>
    <t>11.2 OZ</t>
  </si>
  <si>
    <t>0.75 OZ</t>
  </si>
  <si>
    <t>11 OZ</t>
  </si>
  <si>
    <t>26 OZ</t>
  </si>
  <si>
    <t>7.05 OZ</t>
  </si>
  <si>
    <t>6.3 OZ</t>
  </si>
  <si>
    <t>19.75 OZ</t>
  </si>
  <si>
    <t>14.1 OZ</t>
  </si>
  <si>
    <t>14.11 OZ</t>
  </si>
  <si>
    <t>14.7 OZ</t>
  </si>
  <si>
    <t>6.53 OZ</t>
  </si>
  <si>
    <t>12.7 OZ</t>
  </si>
  <si>
    <t>24.5 OZ</t>
  </si>
  <si>
    <t>7.62 OZ</t>
  </si>
  <si>
    <t>7.6 OZ</t>
  </si>
  <si>
    <t>12.42 OZ</t>
  </si>
  <si>
    <t>3.5 OZ</t>
  </si>
  <si>
    <t>11.16 Oz</t>
  </si>
  <si>
    <t>18 OZ</t>
  </si>
  <si>
    <t>23 OZ</t>
  </si>
  <si>
    <t>16.5 OZ</t>
  </si>
  <si>
    <t>2.75 OZ</t>
  </si>
  <si>
    <t>2.82 OZ</t>
  </si>
  <si>
    <t>10.37 OZ</t>
  </si>
  <si>
    <t>13.4 OZ</t>
  </si>
  <si>
    <t>4.6 OZ</t>
  </si>
  <si>
    <t>40 OZ</t>
  </si>
  <si>
    <t>2.5 LBS</t>
  </si>
  <si>
    <t>4 LBS</t>
  </si>
  <si>
    <t>5.29 OZ</t>
  </si>
  <si>
    <t>16.2 OZ</t>
  </si>
  <si>
    <t>15.9 OZ</t>
  </si>
  <si>
    <t>3.88 OZ</t>
  </si>
  <si>
    <t>4.94 OZ</t>
  </si>
  <si>
    <t>14.75 OZ</t>
  </si>
  <si>
    <t>5 Oz</t>
  </si>
  <si>
    <t>0.2 OZ</t>
  </si>
  <si>
    <t>1.25 OZ</t>
  </si>
  <si>
    <t>1.5 OZ</t>
  </si>
  <si>
    <t>1.8 OZ</t>
  </si>
  <si>
    <t>1.2 OZ</t>
  </si>
  <si>
    <t>4.2 OZ</t>
  </si>
  <si>
    <t>1.76 OZ</t>
  </si>
  <si>
    <t>2.6 OZ</t>
  </si>
  <si>
    <t>2.1 OZ</t>
  </si>
  <si>
    <t>0.4 OZ</t>
  </si>
  <si>
    <t>2.17 OZ</t>
  </si>
  <si>
    <t>3.52 OZ</t>
  </si>
  <si>
    <t>6.33 OZ</t>
  </si>
  <si>
    <t>2.11 OZ</t>
  </si>
  <si>
    <t>1.41 OZ</t>
  </si>
  <si>
    <t>.40 OZ</t>
  </si>
  <si>
    <t>35.2 OZ</t>
  </si>
  <si>
    <t>25 OZ</t>
  </si>
  <si>
    <t>10.25 OZ</t>
  </si>
  <si>
    <t>120 OZ</t>
  </si>
  <si>
    <t>6.7 OZ</t>
  </si>
  <si>
    <t>11.5 OZ</t>
  </si>
  <si>
    <t>9.2 OZ</t>
  </si>
  <si>
    <t>17.63 OZ</t>
  </si>
  <si>
    <t>72 OZ</t>
  </si>
  <si>
    <t>70 OZ</t>
  </si>
  <si>
    <t>144 OZ</t>
  </si>
  <si>
    <t>67.6 OZ</t>
  </si>
  <si>
    <t>54.08 OZ</t>
  </si>
  <si>
    <t>1 OZ</t>
  </si>
  <si>
    <t>7.1 OZ</t>
  </si>
  <si>
    <t>50.8 OZ</t>
  </si>
  <si>
    <t>5.1 OZ</t>
  </si>
  <si>
    <t>1.75 OZ</t>
  </si>
  <si>
    <t>4.75 OZ</t>
  </si>
  <si>
    <t>5.82 OZ</t>
  </si>
  <si>
    <t>21.16 OZ</t>
  </si>
  <si>
    <t>4.9 OZ</t>
  </si>
  <si>
    <t>12.35 OZ</t>
  </si>
  <si>
    <t>200 LB</t>
  </si>
  <si>
    <t>28.2 OZ</t>
  </si>
  <si>
    <t>1.52 OZ</t>
  </si>
  <si>
    <t>11.16 OZ</t>
  </si>
  <si>
    <t>7.2 OZ</t>
  </si>
  <si>
    <t>400 OZ</t>
  </si>
  <si>
    <t>8.8 OZ</t>
  </si>
  <si>
    <t>1.7 OZ</t>
  </si>
  <si>
    <t>1.32 OZ</t>
  </si>
  <si>
    <t>0.88 OZ</t>
  </si>
  <si>
    <t>1.58 OZ</t>
  </si>
  <si>
    <t>1.94 OZ</t>
  </si>
  <si>
    <t>3.03 OZ</t>
  </si>
  <si>
    <t>1.79 OZ</t>
  </si>
  <si>
    <t>20.28 OZ</t>
  </si>
  <si>
    <t>7.9 OZ</t>
  </si>
  <si>
    <t>2.12 OZ</t>
  </si>
  <si>
    <t>2.05 OZ</t>
  </si>
  <si>
    <t>21.12 OZ</t>
  </si>
  <si>
    <t>2.32 OZ</t>
  </si>
  <si>
    <t>2.43 OZ</t>
  </si>
  <si>
    <t>4.86 OZ</t>
  </si>
  <si>
    <t>27 OZ</t>
  </si>
  <si>
    <t>3.38 OZ</t>
  </si>
  <si>
    <t>12.69 OZ</t>
  </si>
  <si>
    <t>28.16 OZ</t>
  </si>
  <si>
    <t>56.32 OZ</t>
  </si>
  <si>
    <t>10.6 OZ</t>
  </si>
  <si>
    <t>11.1 OZ</t>
  </si>
  <si>
    <t>2.26 OZ</t>
  </si>
  <si>
    <t>40.2 OZ</t>
  </si>
  <si>
    <t>2.96 OZ</t>
  </si>
  <si>
    <t>8.89 OZ</t>
  </si>
  <si>
    <t>7.055 OZ</t>
  </si>
  <si>
    <t>20.45 OZ</t>
  </si>
  <si>
    <t>10.93 OZ</t>
  </si>
  <si>
    <t>20.1 OZ</t>
  </si>
  <si>
    <t>10.9 OZ</t>
  </si>
  <si>
    <t>124 OZ</t>
  </si>
  <si>
    <t>174 OZ</t>
  </si>
  <si>
    <t>40.8 OZ</t>
  </si>
  <si>
    <t>23.28 OZ</t>
  </si>
  <si>
    <t>4.58 OZ</t>
  </si>
  <si>
    <t>8.11 OZ</t>
  </si>
  <si>
    <t>31.74 OZ</t>
  </si>
  <si>
    <t>9.8 OZ</t>
  </si>
  <si>
    <t>0.7 OZ</t>
  </si>
  <si>
    <t>5.3 OZ</t>
  </si>
  <si>
    <t>4.4 OZ</t>
  </si>
  <si>
    <t>42.75 LBS</t>
  </si>
  <si>
    <t>8.57 OZ</t>
  </si>
  <si>
    <t>7.76 OZ</t>
  </si>
  <si>
    <t>8.96 OZ</t>
  </si>
  <si>
    <t>14.2 OZ</t>
  </si>
  <si>
    <t>23.70 OZ</t>
  </si>
  <si>
    <t>10 LBS</t>
  </si>
  <si>
    <t>56 OZ</t>
  </si>
  <si>
    <t>202.8 OZ</t>
  </si>
  <si>
    <t>60 OZ</t>
  </si>
  <si>
    <t>81 OZ</t>
  </si>
  <si>
    <t>211.2 OZ</t>
  </si>
  <si>
    <t>27.5 OZ</t>
  </si>
  <si>
    <t>68.2 OZ</t>
  </si>
  <si>
    <t>82 OZ</t>
  </si>
  <si>
    <t>19.395 OZ</t>
  </si>
  <si>
    <t>18.688 OZ</t>
  </si>
  <si>
    <t>9.12 OZ</t>
  </si>
  <si>
    <t>9.44 OZ</t>
  </si>
  <si>
    <t>18.45 OZ</t>
  </si>
  <si>
    <t>108 OZ</t>
  </si>
  <si>
    <t>0.388 OZ</t>
  </si>
  <si>
    <t>0 OZ</t>
  </si>
  <si>
    <t>17.60 OZ</t>
  </si>
  <si>
    <t>5.74 OZ</t>
  </si>
  <si>
    <t>5.78 OZ</t>
  </si>
  <si>
    <t>12.4 OZ</t>
  </si>
  <si>
    <t>15.8 OZ</t>
  </si>
  <si>
    <t>12.2 OZ</t>
  </si>
  <si>
    <t>11.25 OZ</t>
  </si>
  <si>
    <t>5 LBS</t>
  </si>
  <si>
    <t>22 OZ</t>
  </si>
  <si>
    <t>8.65 OZ</t>
  </si>
  <si>
    <t>13 OZ</t>
  </si>
  <si>
    <t>12.65 OZ</t>
  </si>
  <si>
    <t>31.2 OZ</t>
  </si>
  <si>
    <t>36 OZ</t>
  </si>
  <si>
    <t>2 LBS</t>
  </si>
  <si>
    <t>45 OZ</t>
  </si>
  <si>
    <t>12.6 OZ</t>
  </si>
  <si>
    <t>2 PCS</t>
  </si>
  <si>
    <t>8 PCS</t>
  </si>
  <si>
    <t>6.35 OZ</t>
  </si>
  <si>
    <t>12.5 OZ</t>
  </si>
  <si>
    <t>9.7 OZ</t>
  </si>
  <si>
    <t>240 OZ</t>
  </si>
  <si>
    <t>ONE SIZE</t>
  </si>
  <si>
    <t>8.89</t>
  </si>
  <si>
    <t xml:space="preserve"> OZ</t>
  </si>
  <si>
    <t>0.36 OZ</t>
  </si>
  <si>
    <t>.75 OZ</t>
  </si>
  <si>
    <t>0.676 OZ</t>
  </si>
  <si>
    <t>6 TIER</t>
  </si>
  <si>
    <t>3 TIER</t>
  </si>
  <si>
    <t>1 UNIT</t>
  </si>
  <si>
    <t>40 X 48 FO</t>
  </si>
  <si>
    <t>Unidades</t>
  </si>
  <si>
    <t>Nombre</t>
  </si>
  <si>
    <t>SAZONADOR TOTAL C/PIMIENTA</t>
  </si>
  <si>
    <t>#</t>
  </si>
  <si>
    <t>CATEGORIA</t>
  </si>
  <si>
    <t>SUBCATEGORIA</t>
  </si>
  <si>
    <t>ITEM #</t>
  </si>
  <si>
    <t>DESCRIPCION</t>
  </si>
  <si>
    <t>CASE COST</t>
  </si>
  <si>
    <t>UNIT COST</t>
  </si>
  <si>
    <t>UNIT PRICE</t>
  </si>
  <si>
    <t>SUGGEST RETAIL</t>
  </si>
  <si>
    <t>OLIVE OIL - OILS &amp; LARD</t>
  </si>
  <si>
    <t>GOYA EXTRA VIRGIN OLIVE OIL</t>
  </si>
  <si>
    <t>36/3 oz</t>
  </si>
  <si>
    <t>77.50</t>
  </si>
  <si>
    <t>2.15</t>
  </si>
  <si>
    <t>15.41</t>
  </si>
  <si>
    <t>2.89</t>
  </si>
  <si>
    <t>25/8.5 oz</t>
  </si>
  <si>
    <t>131.95</t>
  </si>
  <si>
    <t>5.28</t>
  </si>
  <si>
    <t>13.16</t>
  </si>
  <si>
    <t>6.99</t>
  </si>
  <si>
    <t>12/17 oz</t>
  </si>
  <si>
    <t>120.50</t>
  </si>
  <si>
    <t>10.04</t>
  </si>
  <si>
    <t>12.60</t>
  </si>
  <si>
    <t>13.39</t>
  </si>
  <si>
    <t>9/25.4 oz</t>
  </si>
  <si>
    <t>134.95</t>
  </si>
  <si>
    <t>14.99</t>
  </si>
  <si>
    <t>12.59</t>
  </si>
  <si>
    <t>19.99</t>
  </si>
  <si>
    <t>9/34 oz</t>
  </si>
  <si>
    <t>169.95</t>
  </si>
  <si>
    <t>18.88</t>
  </si>
  <si>
    <t>11.85</t>
  </si>
  <si>
    <t>25.19</t>
  </si>
  <si>
    <t>6/50.7 oz</t>
  </si>
  <si>
    <t>168.95</t>
  </si>
  <si>
    <t>28.16</t>
  </si>
  <si>
    <t>11.83</t>
  </si>
  <si>
    <t>37.49</t>
  </si>
  <si>
    <t>12/24 oz tin</t>
  </si>
  <si>
    <t>171.95</t>
  </si>
  <si>
    <t>14.33</t>
  </si>
  <si>
    <t>12.66</t>
  </si>
  <si>
    <t>18.99</t>
  </si>
  <si>
    <t>3/3 liter (102 oz) tin</t>
  </si>
  <si>
    <t>170.50</t>
  </si>
  <si>
    <t>56.83</t>
  </si>
  <si>
    <t>11.89</t>
  </si>
  <si>
    <t>75.79</t>
  </si>
  <si>
    <t>12/17 oz unico</t>
  </si>
  <si>
    <t>144.95</t>
  </si>
  <si>
    <t>12.08</t>
  </si>
  <si>
    <t>15.05</t>
  </si>
  <si>
    <t>15.99</t>
  </si>
  <si>
    <t>12/17 oz organic</t>
  </si>
  <si>
    <t>135.35</t>
  </si>
  <si>
    <t>11.28</t>
  </si>
  <si>
    <t>14.11</t>
  </si>
  <si>
    <t>GOYA OLIVE OIL</t>
  </si>
  <si>
    <t>25/8.5 oz puro olive oil</t>
  </si>
  <si>
    <t>113.50</t>
  </si>
  <si>
    <t>4.54</t>
  </si>
  <si>
    <t>5.99</t>
  </si>
  <si>
    <t>12/17 oz puro olive oil</t>
  </si>
  <si>
    <t>103.95</t>
  </si>
  <si>
    <t>8.66</t>
  </si>
  <si>
    <t>10.81</t>
  </si>
  <si>
    <t>11.49</t>
  </si>
  <si>
    <t>9/25.4 oz puro olive oil</t>
  </si>
  <si>
    <t>116.95</t>
  </si>
  <si>
    <t>12.99</t>
  </si>
  <si>
    <t>10.89</t>
  </si>
  <si>
    <t>17.29</t>
  </si>
  <si>
    <t>25/8.5 oz light olive oil</t>
  </si>
  <si>
    <t>110.50</t>
  </si>
  <si>
    <t>4.42</t>
  </si>
  <si>
    <t>11.09</t>
  </si>
  <si>
    <t>5.89</t>
  </si>
  <si>
    <t>9/25.4 oz light olive oil</t>
  </si>
  <si>
    <t>111.95</t>
  </si>
  <si>
    <t>12.44</t>
  </si>
  <si>
    <t>10.45</t>
  </si>
  <si>
    <t>16.59</t>
  </si>
  <si>
    <t>12/17 oz light olive oil</t>
  </si>
  <si>
    <t>100.50</t>
  </si>
  <si>
    <t>8.38</t>
  </si>
  <si>
    <t>10.53</t>
  </si>
  <si>
    <t>11.19</t>
  </si>
  <si>
    <t>9/34 oz light olive oil</t>
  </si>
  <si>
    <t>139.95</t>
  </si>
  <si>
    <t>15.55</t>
  </si>
  <si>
    <t>9.74</t>
  </si>
  <si>
    <t>20.69</t>
  </si>
  <si>
    <t>91.50</t>
  </si>
  <si>
    <t>15.25</t>
  </si>
  <si>
    <t>6.31</t>
  </si>
  <si>
    <t>GOYA EXTRA VIRGIN OLIVE OIL WITH TRUFFLE FLAVOR</t>
  </si>
  <si>
    <t>12/8.5 oz</t>
  </si>
  <si>
    <t>76.95</t>
  </si>
  <si>
    <t>6.41</t>
  </si>
  <si>
    <t>7.69</t>
  </si>
  <si>
    <t>8.49</t>
  </si>
  <si>
    <t>MARINADES - VINEGAR &amp; WINE</t>
  </si>
  <si>
    <t>GOYA VINEGAR</t>
  </si>
  <si>
    <t>9/8.5 oz balsamic</t>
  </si>
  <si>
    <t>26.50</t>
  </si>
  <si>
    <t>2.94</t>
  </si>
  <si>
    <t>7.51</t>
  </si>
  <si>
    <t>3.99</t>
  </si>
  <si>
    <t>9/8.5 oz sherry</t>
  </si>
  <si>
    <t>24.50</t>
  </si>
  <si>
    <t>2.72</t>
  </si>
  <si>
    <t>6.95</t>
  </si>
  <si>
    <t>3.69</t>
  </si>
  <si>
    <t>9/8.5 oz sherry reserva</t>
  </si>
  <si>
    <t>29.95</t>
  </si>
  <si>
    <t>3.33</t>
  </si>
  <si>
    <t>8.45</t>
  </si>
  <si>
    <t>4.49</t>
  </si>
  <si>
    <t>GOYA EXTRA VIRGIN OLIVE OIL WITH GARLIC FLAVOR</t>
  </si>
  <si>
    <t>15.98</t>
  </si>
  <si>
    <t>GOYA EXTRA VIRGIN OLIVE OIL SPRAY</t>
  </si>
  <si>
    <t>12/5 oz</t>
  </si>
  <si>
    <t>43.50</t>
  </si>
  <si>
    <t>3.63</t>
  </si>
  <si>
    <t>17.06</t>
  </si>
  <si>
    <t>4.99</t>
  </si>
  <si>
    <t>GOYA COOKING OILS &amp; LARD</t>
  </si>
  <si>
    <t>2/280 oz pure corn oil</t>
  </si>
  <si>
    <t>61.50</t>
  </si>
  <si>
    <t>30.75</t>
  </si>
  <si>
    <t>2.34</t>
  </si>
  <si>
    <t>40.99</t>
  </si>
  <si>
    <t>24/16 oz pure corn oil</t>
  </si>
  <si>
    <t>47.50</t>
  </si>
  <si>
    <t>1.98</t>
  </si>
  <si>
    <t>2.69</t>
  </si>
  <si>
    <t>12/24 oz pure corn oil</t>
  </si>
  <si>
    <t>34.50</t>
  </si>
  <si>
    <t>2.88</t>
  </si>
  <si>
    <t>2.53</t>
  </si>
  <si>
    <t>3.79</t>
  </si>
  <si>
    <t>9/48 oz pure corn oil</t>
  </si>
  <si>
    <t>45.50</t>
  </si>
  <si>
    <t>5.06</t>
  </si>
  <si>
    <t>2.23</t>
  </si>
  <si>
    <t>6.69</t>
  </si>
  <si>
    <t>6/1 gallon (128 oz) pure corn oil</t>
  </si>
  <si>
    <t>74.50</t>
  </si>
  <si>
    <t>12.42</t>
  </si>
  <si>
    <t>2.07</t>
  </si>
  <si>
    <t>6/96 oz pure corn oil</t>
  </si>
  <si>
    <t>59.95</t>
  </si>
  <si>
    <t>9.99</t>
  </si>
  <si>
    <t>2.22</t>
  </si>
  <si>
    <t>13.29</t>
  </si>
  <si>
    <t>24/16 oz vegetable oil</t>
  </si>
  <si>
    <t>42.95</t>
  </si>
  <si>
    <t>1.79</t>
  </si>
  <si>
    <t>2.39</t>
  </si>
  <si>
    <t>12/24 oz vegetable oil</t>
  </si>
  <si>
    <t>30.50</t>
  </si>
  <si>
    <t>2.54</t>
  </si>
  <si>
    <t>2.26</t>
  </si>
  <si>
    <t>3.39</t>
  </si>
  <si>
    <t>9/48 oz vegetable oil</t>
  </si>
  <si>
    <t>40.50</t>
  </si>
  <si>
    <t>4.50</t>
  </si>
  <si>
    <t>2.00</t>
  </si>
  <si>
    <t>6/96 oz vegetable oil</t>
  </si>
  <si>
    <t>53.95</t>
  </si>
  <si>
    <t>8.99</t>
  </si>
  <si>
    <t>11.99</t>
  </si>
  <si>
    <t>6/1 gallon (128 oz) vegetable oil</t>
  </si>
  <si>
    <t>66.50</t>
  </si>
  <si>
    <t>11.08</t>
  </si>
  <si>
    <t>1.85</t>
  </si>
  <si>
    <t>14.79</t>
  </si>
  <si>
    <t>9/48 oz canola oil</t>
  </si>
  <si>
    <t>39.95</t>
  </si>
  <si>
    <t>4.44</t>
  </si>
  <si>
    <t>1.86</t>
  </si>
  <si>
    <t>5.59</t>
  </si>
  <si>
    <t>6/96 oz canola oil</t>
  </si>
  <si>
    <t>53.50</t>
  </si>
  <si>
    <t>8.92</t>
  </si>
  <si>
    <t>1.87</t>
  </si>
  <si>
    <t>GOYA AVOCADO OIL</t>
  </si>
  <si>
    <t>6/25.4</t>
  </si>
  <si>
    <t>55.95</t>
  </si>
  <si>
    <t>9.33</t>
  </si>
  <si>
    <t>8.33</t>
  </si>
  <si>
    <t>12.49</t>
  </si>
  <si>
    <t>OLIVES &amp; PICKLED PRODUCTS/ OLIVES</t>
  </si>
  <si>
    <t>PERDIGON/ MANZANILLA COCKTAIL OLIVES</t>
  </si>
  <si>
    <t>12/9.5 oz perdigon manzanilla Spanish olives</t>
  </si>
  <si>
    <t>18.95</t>
  </si>
  <si>
    <t>1.58</t>
  </si>
  <si>
    <t>3.52</t>
  </si>
  <si>
    <t>2.09</t>
  </si>
  <si>
    <t>GOYA JAR/ MANZANILLA OLIVES</t>
  </si>
  <si>
    <t>12/3.75 oz manzanilla Spanish olives</t>
  </si>
  <si>
    <t>16.95</t>
  </si>
  <si>
    <t>1.41</t>
  </si>
  <si>
    <t>8.06</t>
  </si>
  <si>
    <t>1.89</t>
  </si>
  <si>
    <t>12/9.5 oz manzanilla Spanish olives</t>
  </si>
  <si>
    <t>27.25</t>
  </si>
  <si>
    <t>2.27</t>
  </si>
  <si>
    <t>5.04</t>
  </si>
  <si>
    <t>2.99</t>
  </si>
  <si>
    <t>12/20 oz perdigon manzanilla Spanish olives</t>
  </si>
  <si>
    <t>36.25</t>
  </si>
  <si>
    <t>3.02</t>
  </si>
  <si>
    <t>3.19</t>
  </si>
  <si>
    <t>12/2.25 oz cocktail olives pitted manzanilla</t>
  </si>
  <si>
    <t>14.25</t>
  </si>
  <si>
    <t>1.19</t>
  </si>
  <si>
    <t>11.31</t>
  </si>
  <si>
    <t>1.59</t>
  </si>
  <si>
    <t>24/5.5 oz cocktail olives pitted manzanilla</t>
  </si>
  <si>
    <t>41.75</t>
  </si>
  <si>
    <t>1.74</t>
  </si>
  <si>
    <t>6.66</t>
  </si>
  <si>
    <t>2.29</t>
  </si>
  <si>
    <t>GOYA JAR/ MANZANILLA OLIVES STUFFED WITH MINCED PIMIENTOS</t>
  </si>
  <si>
    <t>12/3.75 oz manzanilla stuffed w/h minced pimientos</t>
  </si>
  <si>
    <t>12/9.5 oz manzanilla stuffed w/h minced pimientos</t>
  </si>
  <si>
    <t>31.50</t>
  </si>
  <si>
    <t>2.63</t>
  </si>
  <si>
    <t>5.88</t>
  </si>
  <si>
    <t>3.49</t>
  </si>
  <si>
    <t>12/20 oz manzanilla stuffed w/h minced pimientos</t>
  </si>
  <si>
    <t>64.50</t>
  </si>
  <si>
    <t>5.38</t>
  </si>
  <si>
    <t>5.75</t>
  </si>
  <si>
    <t>7.19</t>
  </si>
  <si>
    <t>GOYA JAR/ QUEEN OLIVES &amp; JUMBO STUFFED WITH MINCED PIMIENTOS</t>
  </si>
  <si>
    <t>12/3.375 oz queen Spanish olives stuffed</t>
  </si>
  <si>
    <t>21.50</t>
  </si>
  <si>
    <t>11.33</t>
  </si>
  <si>
    <t>12/9 oz queen Spanish olives stuffed</t>
  </si>
  <si>
    <t>41.50</t>
  </si>
  <si>
    <t>3.46</t>
  </si>
  <si>
    <t>8.16</t>
  </si>
  <si>
    <t>4.59</t>
  </si>
  <si>
    <t>12/20 oz stuffed queen Spanish olives w/minced pimiento</t>
  </si>
  <si>
    <t>86.95</t>
  </si>
  <si>
    <t>7.25</t>
  </si>
  <si>
    <t>7.75</t>
  </si>
  <si>
    <t>9.69</t>
  </si>
  <si>
    <t>12/5.75 oz manzanillas stuffed w/h minced pimientos</t>
  </si>
  <si>
    <t>5.82</t>
  </si>
  <si>
    <t>GOYA ORGANIC OLIVES &amp; CAPERS</t>
  </si>
  <si>
    <t>12/5.5 oz. Goya Organics Cocktail Olives</t>
  </si>
  <si>
    <t>23.50</t>
  </si>
  <si>
    <t>1.96</t>
  </si>
  <si>
    <t>7.53</t>
  </si>
  <si>
    <t>2.59</t>
  </si>
  <si>
    <t>12/6.75 oz. Goya Organics Manzanilla Olives</t>
  </si>
  <si>
    <t>24.95</t>
  </si>
  <si>
    <t>2.08</t>
  </si>
  <si>
    <t>6.61</t>
  </si>
  <si>
    <t>2.79</t>
  </si>
  <si>
    <t>GOYA JAR/ QUEEN OLIVES &amp; JUMBO SALAD OLIVES</t>
  </si>
  <si>
    <t>12/3.375 oz plain queen Spanish olives - jumbo</t>
  </si>
  <si>
    <t>19.95</t>
  </si>
  <si>
    <t>1.66</t>
  </si>
  <si>
    <t>10.38</t>
  </si>
  <si>
    <t>2.19</t>
  </si>
  <si>
    <t>12/9.5 oz plain queen Spanish olives - jumbo</t>
  </si>
  <si>
    <t>32.95</t>
  </si>
  <si>
    <t>2.75</t>
  </si>
  <si>
    <t>6.21</t>
  </si>
  <si>
    <t>12/2.5 oz. Goya Organics Capers</t>
  </si>
  <si>
    <t>37.50</t>
  </si>
  <si>
    <t>3.13</t>
  </si>
  <si>
    <t>26.82</t>
  </si>
  <si>
    <t>4.19</t>
  </si>
  <si>
    <t>12/2.5 oz. Goya Organics Capers Capotes</t>
  </si>
  <si>
    <t>30.95</t>
  </si>
  <si>
    <t>2.58</t>
  </si>
  <si>
    <t>22.34</t>
  </si>
  <si>
    <t>GOYA CAPERS</t>
  </si>
  <si>
    <t>12/2 oz capotes reduced sodium capers</t>
  </si>
  <si>
    <t>25.95</t>
  </si>
  <si>
    <t>2.16</t>
  </si>
  <si>
    <t>23.12</t>
  </si>
  <si>
    <t>12/2.5 oz spanish capers - nonpareils</t>
  </si>
  <si>
    <t>12/2.25 oz capers</t>
  </si>
  <si>
    <t>2.21</t>
  </si>
  <si>
    <t>21.26</t>
  </si>
  <si>
    <t>12/3.25 oz capers</t>
  </si>
  <si>
    <t>18.17</t>
  </si>
  <si>
    <t>12/4.25 oz capers</t>
  </si>
  <si>
    <t>41.95</t>
  </si>
  <si>
    <t>3.50</t>
  </si>
  <si>
    <t>17.66</t>
  </si>
  <si>
    <t>4.69</t>
  </si>
  <si>
    <t>GOYA JAR/ ALCAPARRADO</t>
  </si>
  <si>
    <t>24/7 oz pitted alcaparrado</t>
  </si>
  <si>
    <t>47.95</t>
  </si>
  <si>
    <t>6.15</t>
  </si>
  <si>
    <t>12/9.5 oz pitted alcaparrado</t>
  </si>
  <si>
    <t>2.56</t>
  </si>
  <si>
    <t>5.71</t>
  </si>
  <si>
    <t>12/19.25 pitted alcaparrado</t>
  </si>
  <si>
    <t>58.95</t>
  </si>
  <si>
    <t>4.91</t>
  </si>
  <si>
    <t>5.48</t>
  </si>
  <si>
    <t>6.59</t>
  </si>
  <si>
    <t>12/3.25 oz alcaparrado</t>
  </si>
  <si>
    <t>14.95</t>
  </si>
  <si>
    <t>1.25</t>
  </si>
  <si>
    <t>8.32</t>
  </si>
  <si>
    <t>1.69</t>
  </si>
  <si>
    <t>12/4.25 oz alcaparrado</t>
  </si>
  <si>
    <t>18.25</t>
  </si>
  <si>
    <t>1.52</t>
  </si>
  <si>
    <t>7.49</t>
  </si>
  <si>
    <t>1.99</t>
  </si>
  <si>
    <t>12/10 oz alcaparrado with pimientos</t>
  </si>
  <si>
    <t>4.46</t>
  </si>
  <si>
    <t>12/20 oz alcaparrado</t>
  </si>
  <si>
    <t>3.96</t>
  </si>
  <si>
    <t>4.23</t>
  </si>
  <si>
    <t>5.29</t>
  </si>
  <si>
    <t>24/5.75 oz manzanilla sliced green olives</t>
  </si>
  <si>
    <t>40.25</t>
  </si>
  <si>
    <t>1.68</t>
  </si>
  <si>
    <t>6.37</t>
  </si>
  <si>
    <t>GOYA CAN/ BLACK OLIVES</t>
  </si>
  <si>
    <t>24/5.75 oz sliced black ripe olives</t>
  </si>
  <si>
    <t>61.75</t>
  </si>
  <si>
    <t>2.57</t>
  </si>
  <si>
    <t>9.71</t>
  </si>
  <si>
    <t>24/8 oz alcaparrado</t>
  </si>
  <si>
    <t>42.50</t>
  </si>
  <si>
    <t>1.77</t>
  </si>
  <si>
    <t>4.78</t>
  </si>
  <si>
    <t>24/6.75 oz manzanilla Spanish olives</t>
  </si>
  <si>
    <t>43.95</t>
  </si>
  <si>
    <t>1.83</t>
  </si>
  <si>
    <t>5.90</t>
  </si>
  <si>
    <t>2.49</t>
  </si>
  <si>
    <t>24/6.75 oz manzanilla stuffed w/h minced pimientos</t>
  </si>
  <si>
    <t>50.50</t>
  </si>
  <si>
    <t>2.10</t>
  </si>
  <si>
    <t>24/6.5 oz plain queen Spanish olives - jumbo</t>
  </si>
  <si>
    <t>6.87</t>
  </si>
  <si>
    <t>24/6.5 oz queen Spanish olives stuffed</t>
  </si>
  <si>
    <t>65.50</t>
  </si>
  <si>
    <t>2.73</t>
  </si>
  <si>
    <t>9.08</t>
  </si>
  <si>
    <t>GOYA JAR/ SALAD OLIVES</t>
  </si>
  <si>
    <t>24/7 oz salad olives</t>
  </si>
  <si>
    <t>44.50</t>
  </si>
  <si>
    <t>5.69</t>
  </si>
  <si>
    <t>12/20 oz salad olives</t>
  </si>
  <si>
    <t>4.79</t>
  </si>
  <si>
    <t>12/9.5 oz salad olives</t>
  </si>
  <si>
    <t>28.95</t>
  </si>
  <si>
    <t>2.41</t>
  </si>
  <si>
    <t>5.37</t>
  </si>
  <si>
    <t>24/7 oz jumbo salad olives</t>
  </si>
  <si>
    <t>38.95</t>
  </si>
  <si>
    <t>1.62</t>
  </si>
  <si>
    <t>5.01</t>
  </si>
  <si>
    <t>GOYA JAR/ PERUVIAN OLIVES</t>
  </si>
  <si>
    <t>12/7.4 oz de botija</t>
  </si>
  <si>
    <t>2.50</t>
  </si>
  <si>
    <t>7.11</t>
  </si>
  <si>
    <t>3.29</t>
  </si>
  <si>
    <t>GOYA CAN/ STUFFED OLIVES</t>
  </si>
  <si>
    <t>12/5.25 oz canned manz stuffed salmon</t>
  </si>
  <si>
    <t>10.33</t>
  </si>
  <si>
    <t>12/5.25 oz canned manz stuffed tuna</t>
  </si>
  <si>
    <t>12/5.25 oz canned manz stuffed anchovy</t>
  </si>
  <si>
    <t>12/5.25 oz canned manz stuffed hot pimento</t>
  </si>
  <si>
    <t>12/6 oz small ripe black olives</t>
  </si>
  <si>
    <t>28.50</t>
  </si>
  <si>
    <t>2.38</t>
  </si>
  <si>
    <t>8.51</t>
  </si>
  <si>
    <t>12/6 oz large pitted black olives</t>
  </si>
  <si>
    <t>12/6 oz medium ripe pitted black olives</t>
  </si>
  <si>
    <t>12/7 oz sliced black olives</t>
  </si>
  <si>
    <t>7.29</t>
  </si>
  <si>
    <t>12/5.25 oz canned manz stuffed with blue cheese</t>
  </si>
  <si>
    <t>32.50</t>
  </si>
  <si>
    <t>2.71</t>
  </si>
  <si>
    <t>10.94</t>
  </si>
  <si>
    <t>3.59</t>
  </si>
  <si>
    <t>GOYA JAR/ REDUCED SODIUM OLIVES</t>
  </si>
  <si>
    <t>24/6.75 oz reduced sodium manzanilla olives</t>
  </si>
  <si>
    <t>5.67</t>
  </si>
  <si>
    <t>24/6.75 oz reduced sodium stuffed olive pimiento</t>
  </si>
  <si>
    <t>2.33</t>
  </si>
  <si>
    <t>7.32</t>
  </si>
  <si>
    <t>3.09</t>
  </si>
  <si>
    <t>24/7 oz reduced sodium pitted alcaparrado olives</t>
  </si>
  <si>
    <t>24/7 oz reduced sodium salad olives</t>
  </si>
  <si>
    <t>24/6.75 oz reduced sodium stuffed olives jalapeño</t>
  </si>
  <si>
    <t>54.95</t>
  </si>
  <si>
    <t>7.09</t>
  </si>
  <si>
    <t>12/5.25 oz olives stuffed with manchego cheese</t>
  </si>
  <si>
    <t>27.50</t>
  </si>
  <si>
    <t>9.42</t>
  </si>
  <si>
    <t>12/5.25 oz olives stuffed with serrano ham</t>
  </si>
  <si>
    <t>12/5.25 oz olives stuffed with spicy chorizo</t>
  </si>
  <si>
    <t>PEPPERS - CHILES</t>
  </si>
  <si>
    <t>GOYA JAR/ JALAPENO PEPPERS</t>
  </si>
  <si>
    <t>12/12 oz whole jalapeño peppers</t>
  </si>
  <si>
    <t>12/12 oz sliced jalapeno peppers</t>
  </si>
  <si>
    <t>BEANS, LENTILS, PEAS &amp; BAGGED GRAINS</t>
  </si>
  <si>
    <t>BEANS READY TO EAT - GUISADAS 10.5 OZ.</t>
  </si>
  <si>
    <t>24/ red kidney beans in sauce</t>
  </si>
  <si>
    <t>24/ pink beans in Ssauce</t>
  </si>
  <si>
    <t>24/ black bean soup</t>
  </si>
  <si>
    <t>24/15.5 oz pinto beans in sauce</t>
  </si>
  <si>
    <t>24/15.5 oz small reds in sauce</t>
  </si>
  <si>
    <t>24/15.5 oz chick peas in sauce</t>
  </si>
  <si>
    <t>GOYA PREMIUM BEANS, LENTILS &amp; PEAS 15 OZ. / 15.5 OZ.</t>
  </si>
  <si>
    <t>24/15 oz green pigeon peas</t>
  </si>
  <si>
    <t>34.95</t>
  </si>
  <si>
    <t>1.46</t>
  </si>
  <si>
    <t>2.02</t>
  </si>
  <si>
    <t>GOYA LOW SODIUM BEANS &amp; PEAS 15 OZ. / 15.5 OZ.</t>
  </si>
  <si>
    <t>24/15 oz green pigeon peas low sodium</t>
  </si>
  <si>
    <t>GOYA PREMIUM BEANS &amp; PEAS 29 OZ. / 30 OZ.</t>
  </si>
  <si>
    <t>12/29 oz green pigeon peas</t>
  </si>
  <si>
    <t>33.25</t>
  </si>
  <si>
    <t>2.77</t>
  </si>
  <si>
    <t>2.04</t>
  </si>
  <si>
    <t>GOYA PREMIUM BEANS &amp; PEAS 100.7 OZ. / 110 OZ.</t>
  </si>
  <si>
    <t>6/100.7 oz green pigeon peas</t>
  </si>
  <si>
    <t>24/15 oz green pigeon peas with coconut</t>
  </si>
  <si>
    <t>49.50</t>
  </si>
  <si>
    <t>2.06</t>
  </si>
  <si>
    <t>2.87</t>
  </si>
  <si>
    <t>12/30 oz green pigeon peas with coconut milk</t>
  </si>
  <si>
    <t>4.13</t>
  </si>
  <si>
    <t>2.93</t>
  </si>
  <si>
    <t>5.49</t>
  </si>
  <si>
    <t>GOYA PREMIUM BEANS &amp; PEAS 15 OZ./15.5 OZ. - QTR PALLET</t>
  </si>
  <si>
    <t>528/15 oz gandules</t>
  </si>
  <si>
    <t>768.90</t>
  </si>
  <si>
    <t>GOYA ORGANIC BEANS &amp; PEAS 15 OZ. / 15.5 OZ.</t>
  </si>
  <si>
    <t>12/15 oz organic - green pigeon peas</t>
  </si>
  <si>
    <t>20.95</t>
  </si>
  <si>
    <t>1.75</t>
  </si>
  <si>
    <t>2.44</t>
  </si>
  <si>
    <t>24/15 oz pigeon peas with coconut</t>
  </si>
  <si>
    <t>39.50</t>
  </si>
  <si>
    <t>1.65</t>
  </si>
  <si>
    <t>24/15.5 oz pigeon peas - EL JIBARITO</t>
  </si>
  <si>
    <t>1.21</t>
  </si>
  <si>
    <t>1.64</t>
  </si>
  <si>
    <t>12/29 oz pigeon peas - El JIBARITO</t>
  </si>
  <si>
    <t>24/15.5 oz pigeon peas with coconut - EL JIBARITO</t>
  </si>
  <si>
    <t>24/15.5 oz dry pigeon peas</t>
  </si>
  <si>
    <t>12/29 oz dry pigeon peas</t>
  </si>
  <si>
    <t>BEANS READY TO EAT - GUISADAS 15 OZ.</t>
  </si>
  <si>
    <t>24/ black bean soup - reduced sodium</t>
  </si>
  <si>
    <t>33.15</t>
  </si>
  <si>
    <t>1.38</t>
  </si>
  <si>
    <t>24/ red kidney</t>
  </si>
  <si>
    <t>24/ small red</t>
  </si>
  <si>
    <t>24/ gandules</t>
  </si>
  <si>
    <t>44.95</t>
  </si>
  <si>
    <t>2.66</t>
  </si>
  <si>
    <t>24/ pink beans</t>
  </si>
  <si>
    <t>24/ white beans</t>
  </si>
  <si>
    <t>24/ pinto beans</t>
  </si>
  <si>
    <t>24/ chick peas</t>
  </si>
  <si>
    <t>24/ Frijoles Antioqueños - Colombian Style</t>
  </si>
  <si>
    <t>33.95</t>
  </si>
  <si>
    <t>24/ Frijoles Charros - Mexican Style</t>
  </si>
  <si>
    <t>1.29</t>
  </si>
  <si>
    <t>1.80</t>
  </si>
  <si>
    <t>24/ Frijoles de Olla - Mexican Style</t>
  </si>
  <si>
    <t>BEANS READY TO EAT - GUISADAS 29 OZ.</t>
  </si>
  <si>
    <t>12/ red kidney beans in sauce</t>
  </si>
  <si>
    <t>1.93</t>
  </si>
  <si>
    <t>12/ pink beans in sauce</t>
  </si>
  <si>
    <t>12/ white beans in sauce</t>
  </si>
  <si>
    <t>12/ pinto beans in sauce</t>
  </si>
  <si>
    <t>12/ chick peas in sauce</t>
  </si>
  <si>
    <t>12/ black bean soup</t>
  </si>
  <si>
    <t>VEGETABLES</t>
  </si>
  <si>
    <t>GOYA CAN/ TROPICAL VEGETABLES</t>
  </si>
  <si>
    <t>12/28 oz yuca</t>
  </si>
  <si>
    <t>2.17</t>
  </si>
  <si>
    <t>24/8 oz pana de pepita - Caribbean Style</t>
  </si>
  <si>
    <t>33.50</t>
  </si>
  <si>
    <t>1.40</t>
  </si>
  <si>
    <t>3.78</t>
  </si>
  <si>
    <t>12/14 oz yuca</t>
  </si>
  <si>
    <t>19.50</t>
  </si>
  <si>
    <t>1.63</t>
  </si>
  <si>
    <t>JELLY &amp; PASTE</t>
  </si>
  <si>
    <t>GOYA JELLY - JAM</t>
  </si>
  <si>
    <t>12/17 oz premium guava jelly</t>
  </si>
  <si>
    <t>37.95</t>
  </si>
  <si>
    <t>3.16</t>
  </si>
  <si>
    <t>3.94</t>
  </si>
  <si>
    <t>12/17 oz strawberry preserve</t>
  </si>
  <si>
    <t>31.95</t>
  </si>
  <si>
    <t>3.38</t>
  </si>
  <si>
    <t>12/17 oz grape jelly</t>
  </si>
  <si>
    <t>12/17 oz premium mango jam</t>
  </si>
  <si>
    <t>12/17 oz premium pineapple preserve</t>
  </si>
  <si>
    <t>12/17 oz premium passion fruit jam</t>
  </si>
  <si>
    <t>12/17 oz premium papaya jam</t>
  </si>
  <si>
    <t>SOUPS AND BLENDS</t>
  </si>
  <si>
    <t>GOYA CARRIBEAN STYLE - SOUP &amp; STEWS</t>
  </si>
  <si>
    <t>24/15 oz Sancocho Stew</t>
  </si>
  <si>
    <t>1.73</t>
  </si>
  <si>
    <t>COCONUT &amp; MILK PRODUCTS</t>
  </si>
  <si>
    <t>GOYA COCONUT MILK</t>
  </si>
  <si>
    <t>24/13.5 oz organic coconut milk</t>
  </si>
  <si>
    <t>49.95</t>
  </si>
  <si>
    <t>3.31</t>
  </si>
  <si>
    <t>24/15 oz Beef Tripe Stew</t>
  </si>
  <si>
    <t>77.95</t>
  </si>
  <si>
    <t>3.25</t>
  </si>
  <si>
    <t>4.58</t>
  </si>
  <si>
    <t>4.29</t>
  </si>
  <si>
    <t>24/15 oz Beef Tripe Stew Dominican Style</t>
  </si>
  <si>
    <t>COOKING BASES AND SAUCES</t>
  </si>
  <si>
    <t>GOYA KETCHUP - MAYONNAISE - CHIMICHURRI</t>
  </si>
  <si>
    <t>12/7.5 oz chimichurri steak sauce</t>
  </si>
  <si>
    <t>3.58</t>
  </si>
  <si>
    <t>10.22</t>
  </si>
  <si>
    <t>GOYA SOFRITO</t>
  </si>
  <si>
    <t>24/12 oz sofrito tomato cooking base</t>
  </si>
  <si>
    <t>3.85</t>
  </si>
  <si>
    <t>24/6 oz sofrito tomato cooking base</t>
  </si>
  <si>
    <t>1.37</t>
  </si>
  <si>
    <t>5.31</t>
  </si>
  <si>
    <t>12/24 oz sofrtio tomato cooking base</t>
  </si>
  <si>
    <t>46.95</t>
  </si>
  <si>
    <t>3.91</t>
  </si>
  <si>
    <t>3.73</t>
  </si>
  <si>
    <t>GOYA RECAITO</t>
  </si>
  <si>
    <t>12/24 oz cilantro cooking base</t>
  </si>
  <si>
    <t>24/6 oz cilantro cooking base</t>
  </si>
  <si>
    <t>24/12 oz cilantro cooking base</t>
  </si>
  <si>
    <t>GOYA SAZON LIQUIDO</t>
  </si>
  <si>
    <t>24/15 oz Sazon liquido/tipico</t>
  </si>
  <si>
    <t>1.44</t>
  </si>
  <si>
    <t>12/30 oz Sazon liquido/ tipico</t>
  </si>
  <si>
    <t>1.91</t>
  </si>
  <si>
    <t>GOYA PIÑA COLADA</t>
  </si>
  <si>
    <t>24/12 oz pina colada mix</t>
  </si>
  <si>
    <t>36.95</t>
  </si>
  <si>
    <t>1.54</t>
  </si>
  <si>
    <t>GOYA CREAM OF COCONUT</t>
  </si>
  <si>
    <t>24/8.75 oz cream of coconut</t>
  </si>
  <si>
    <t>3.82</t>
  </si>
  <si>
    <t>12/50 oz cream of coconut</t>
  </si>
  <si>
    <t>2.65</t>
  </si>
  <si>
    <t>8.29</t>
  </si>
  <si>
    <t>24/15 oz cream of coconut</t>
  </si>
  <si>
    <t>24/13.5 oz coconut milk</t>
  </si>
  <si>
    <t>2.83</t>
  </si>
  <si>
    <t>24/13.5 oz coconut milk reduced fat</t>
  </si>
  <si>
    <t>SHIPPERS AND DISPLAYS</t>
  </si>
  <si>
    <t>48/15 oz Goya Cream of Coconut Shipper</t>
  </si>
  <si>
    <t>95.50</t>
  </si>
  <si>
    <t>12/25.5 oz coconut milk</t>
  </si>
  <si>
    <t>3.54</t>
  </si>
  <si>
    <t>3.01</t>
  </si>
  <si>
    <t>DESSERTS</t>
  </si>
  <si>
    <t>GOYA DESSERTS</t>
  </si>
  <si>
    <t>24/15.5 oz habichuelas con dulce</t>
  </si>
  <si>
    <t>2.05</t>
  </si>
  <si>
    <t>528/13.5 oz Regular Coconut Milk Qtr Pallet</t>
  </si>
  <si>
    <t>944.50</t>
  </si>
  <si>
    <t>24/8 oz coconut milk</t>
  </si>
  <si>
    <t>1.27</t>
  </si>
  <si>
    <t>BEVERAGES</t>
  </si>
  <si>
    <t>12/13.5 oz glass bottle</t>
  </si>
  <si>
    <t>2.36</t>
  </si>
  <si>
    <t>GOYA CAN/ ORGANIC VEGETABLES</t>
  </si>
  <si>
    <t>12/15 oz organic whole kernel golden corn</t>
  </si>
  <si>
    <t>26.95</t>
  </si>
  <si>
    <t>2.25</t>
  </si>
  <si>
    <t>12/15 oz organic tender sweet peas</t>
  </si>
  <si>
    <t>12/14.5 oz organic cut green beans</t>
  </si>
  <si>
    <t>3.30</t>
  </si>
  <si>
    <t>12/15 oz organic pumpkin puree</t>
  </si>
  <si>
    <t>GOYA CAN/ VEGETABLES</t>
  </si>
  <si>
    <t>6/106 oz whole kernel golden corn</t>
  </si>
  <si>
    <t>9.29</t>
  </si>
  <si>
    <t>12/29 oz whole kernel golden corn</t>
  </si>
  <si>
    <t>GOYA DRY BEANS &amp; LENTILS 50 LB.</t>
  </si>
  <si>
    <t>1/ chick peas</t>
  </si>
  <si>
    <t>60.95</t>
  </si>
  <si>
    <t>81.50</t>
  </si>
  <si>
    <t>24/15.5 oz roman beans low sodium</t>
  </si>
  <si>
    <t>26.40</t>
  </si>
  <si>
    <t>1.10</t>
  </si>
  <si>
    <t>1.49</t>
  </si>
  <si>
    <t>24/15.5 oz small red beans low sodium</t>
  </si>
  <si>
    <t>GOYA BEANS, LENTILS, PEAS &amp; DRY GRAINS 16 OZ.</t>
  </si>
  <si>
    <t>24/ french lentils</t>
  </si>
  <si>
    <t>528/15.5 oz black-pink blue label</t>
  </si>
  <si>
    <t>580.80</t>
  </si>
  <si>
    <t>24/15.5 oz red kidney low sodium</t>
  </si>
  <si>
    <t>24/15.5 oz pink beans low sodium</t>
  </si>
  <si>
    <t>24/15.5 oz black beans low sodium</t>
  </si>
  <si>
    <t>24/15.5 oz chick peas low sodium</t>
  </si>
  <si>
    <t>24/15.5 oz pinto beans low sodium</t>
  </si>
  <si>
    <t>24/15.5 oz small white beans low sodium</t>
  </si>
  <si>
    <t>24/15.5 oz organic red kidney beans</t>
  </si>
  <si>
    <t>31.75</t>
  </si>
  <si>
    <t>1.32</t>
  </si>
  <si>
    <t>24/15.5 oz organic pinto beans</t>
  </si>
  <si>
    <t>24/15.5 oz organic black beans</t>
  </si>
  <si>
    <t>24/15.5 oz organic dark red kidney beans</t>
  </si>
  <si>
    <t>1.56</t>
  </si>
  <si>
    <t>24/15.5 oz organic chick peas</t>
  </si>
  <si>
    <t>24/15.5 oz dark red kidney beans low sodium</t>
  </si>
  <si>
    <t>GOYA PREMIUM BEANS &amp; PEAS 46 OZ.</t>
  </si>
  <si>
    <t>12/ canned pinto beans</t>
  </si>
  <si>
    <t>32.35</t>
  </si>
  <si>
    <t>2.70</t>
  </si>
  <si>
    <t>12/ canned red kidney beans</t>
  </si>
  <si>
    <t>12/ canned chick peas</t>
  </si>
  <si>
    <t>12/ canned pink beans</t>
  </si>
  <si>
    <t>12/ canned small white beans</t>
  </si>
  <si>
    <t>12/ canned small red beans</t>
  </si>
  <si>
    <t>12/ canned black beans</t>
  </si>
  <si>
    <t>24/15.5 oz organic cannellini beans</t>
  </si>
  <si>
    <t>1/ lentils</t>
  </si>
  <si>
    <t>65.95</t>
  </si>
  <si>
    <t>1.76</t>
  </si>
  <si>
    <t>87.89</t>
  </si>
  <si>
    <t>1/ black beans</t>
  </si>
  <si>
    <t>61.95</t>
  </si>
  <si>
    <t>82.59</t>
  </si>
  <si>
    <t>1/ pinto beans</t>
  </si>
  <si>
    <t>57.95</t>
  </si>
  <si>
    <t>1.55</t>
  </si>
  <si>
    <t>77.29</t>
  </si>
  <si>
    <t>1/ roman beans</t>
  </si>
  <si>
    <t>GOYA LOW SODIUM BEANS 29 OZ.</t>
  </si>
  <si>
    <t>12/ red kidney beans low sodium</t>
  </si>
  <si>
    <t>12/ pink beans low sodium</t>
  </si>
  <si>
    <t>12/ chick peas low sodium</t>
  </si>
  <si>
    <t>12/ pinto beans low sodium</t>
  </si>
  <si>
    <t>12/ black beans low sodium</t>
  </si>
  <si>
    <t>12/ white beans low sodium</t>
  </si>
  <si>
    <t>24/15.5 oz organic pink beans</t>
  </si>
  <si>
    <t>24/15.5 oz. blackeye peas low sodium</t>
  </si>
  <si>
    <t>12/ canned roman beans</t>
  </si>
  <si>
    <t>24/ organic yellow popcorn</t>
  </si>
  <si>
    <t>36.50</t>
  </si>
  <si>
    <t>12/29 oz red kidney</t>
  </si>
  <si>
    <t>24/15.5 oz red kidney</t>
  </si>
  <si>
    <t>GOYA PREMIUM BEANS &amp; PEAS 10.5 OZ.</t>
  </si>
  <si>
    <t xml:space="preserve">24/ red kidney </t>
  </si>
  <si>
    <t>22.50</t>
  </si>
  <si>
    <t>.94</t>
  </si>
  <si>
    <t>24/15.5 oz pink beans</t>
  </si>
  <si>
    <t xml:space="preserve">24/ pink beans </t>
  </si>
  <si>
    <t>12/29 oz dark red kidney beans</t>
  </si>
  <si>
    <t>12/29 oz pink beans</t>
  </si>
  <si>
    <t>24/15.5 oz white</t>
  </si>
  <si>
    <t xml:space="preserve">24/ white beans </t>
  </si>
  <si>
    <t>24/15.5 oz red cargamanto beans</t>
  </si>
  <si>
    <t>1.95</t>
  </si>
  <si>
    <t>12/29 oz roman beans</t>
  </si>
  <si>
    <t>24/15.5 oz roman</t>
  </si>
  <si>
    <t>12/29 oz small reds</t>
  </si>
  <si>
    <t>24/15.5 oz white cargamanto beans</t>
  </si>
  <si>
    <t>12/29 oz chick peas</t>
  </si>
  <si>
    <t>24/15.5 oz small red</t>
  </si>
  <si>
    <t>24/15.5 oz fava beans</t>
  </si>
  <si>
    <t>24/15.5 oz chick peas</t>
  </si>
  <si>
    <t xml:space="preserve">24/ chick peas </t>
  </si>
  <si>
    <t>24/15 oz feijao pedra verde</t>
  </si>
  <si>
    <t>24/15.5 oz blackeye peas</t>
  </si>
  <si>
    <t xml:space="preserve">24/ blackeye </t>
  </si>
  <si>
    <t>GOYA DRY BEANS, LENTILS, PEAS &amp; CORN 3 / 4 / 6 LB.</t>
  </si>
  <si>
    <t>4/6 lb giant white corn</t>
  </si>
  <si>
    <t>78.95</t>
  </si>
  <si>
    <t>19.74</t>
  </si>
  <si>
    <t>4.33</t>
  </si>
  <si>
    <t>25.99</t>
  </si>
  <si>
    <t>12/29 oz blackeye peas</t>
  </si>
  <si>
    <t>24/15.5 oz great northern</t>
  </si>
  <si>
    <t>24/15.5 oz Dominican red beans</t>
  </si>
  <si>
    <t>24/15.5 oz dark red kidney beans</t>
  </si>
  <si>
    <t>24/15.5 oz pinto beans</t>
  </si>
  <si>
    <t>12/29 oz. Peruvian/Mayocoba beans</t>
  </si>
  <si>
    <t xml:space="preserve">24/ pinto </t>
  </si>
  <si>
    <t>12/29 oz pintos frijoles</t>
  </si>
  <si>
    <t>24/15.5 oz butter beans</t>
  </si>
  <si>
    <t>38.75</t>
  </si>
  <si>
    <t>1.61</t>
  </si>
  <si>
    <t>12/29 oz butter beans</t>
  </si>
  <si>
    <t>24/15.5 oz cannellini</t>
  </si>
  <si>
    <t>12/29 oz cannellini</t>
  </si>
  <si>
    <t>24/15.5 oz canary beans</t>
  </si>
  <si>
    <t>12/29 oz small white beans</t>
  </si>
  <si>
    <t>6/110 oz dark kidney</t>
  </si>
  <si>
    <t>5.39</t>
  </si>
  <si>
    <t>1.05</t>
  </si>
  <si>
    <t>6/110 oz pinto beans</t>
  </si>
  <si>
    <t>6/110 oz pink beans</t>
  </si>
  <si>
    <t>24/15.5 oz lentils</t>
  </si>
  <si>
    <t>6/110 oz red kidney beans</t>
  </si>
  <si>
    <t>24/15.5 oz navy beans</t>
  </si>
  <si>
    <t>6/110 oz black beans</t>
  </si>
  <si>
    <t>6/110 oz chick peas</t>
  </si>
  <si>
    <t>24/15.5 oz green peas</t>
  </si>
  <si>
    <t>24/15.5 oz frijol de seda</t>
  </si>
  <si>
    <t>12/29 oz black beans</t>
  </si>
  <si>
    <t>24/15.5 oz black beans</t>
  </si>
  <si>
    <t xml:space="preserve">24/ green peas </t>
  </si>
  <si>
    <t xml:space="preserve">24/ black beans </t>
  </si>
  <si>
    <t>24/ small white</t>
  </si>
  <si>
    <t>40.95</t>
  </si>
  <si>
    <t>1.71</t>
  </si>
  <si>
    <t>35.95</t>
  </si>
  <si>
    <t>1.50</t>
  </si>
  <si>
    <t>24/ pinto</t>
  </si>
  <si>
    <t>24/ baby lima</t>
  </si>
  <si>
    <t>1.81</t>
  </si>
  <si>
    <t>24/ blackeye peas</t>
  </si>
  <si>
    <t xml:space="preserve">24/ whole green peas </t>
  </si>
  <si>
    <t>24/ lentils</t>
  </si>
  <si>
    <t>24/ black beans</t>
  </si>
  <si>
    <t>1.35</t>
  </si>
  <si>
    <t>24/ lb. Dominican red beans</t>
  </si>
  <si>
    <t>24/ large lima</t>
  </si>
  <si>
    <t>24/ pigeon peas</t>
  </si>
  <si>
    <t>45.95</t>
  </si>
  <si>
    <t>24/ roman beans</t>
  </si>
  <si>
    <t>24/ large fava beans</t>
  </si>
  <si>
    <t>24/ great northern</t>
  </si>
  <si>
    <t>24/ small reds</t>
  </si>
  <si>
    <t>24/ green split peas</t>
  </si>
  <si>
    <t>1.04</t>
  </si>
  <si>
    <t>1.39</t>
  </si>
  <si>
    <t>24/ white kidney/cannellini</t>
  </si>
  <si>
    <t>24/ cow peas</t>
  </si>
  <si>
    <t>24/ navy beans</t>
  </si>
  <si>
    <t>24/ yellow split peas</t>
  </si>
  <si>
    <t>24/ yellow popcorn</t>
  </si>
  <si>
    <t>1.12</t>
  </si>
  <si>
    <t>24/ whole yellow peas</t>
  </si>
  <si>
    <t>24/ barley</t>
  </si>
  <si>
    <t>24/ canary beans- frijol canario</t>
  </si>
  <si>
    <t>2.46</t>
  </si>
  <si>
    <t>24/ red lentils</t>
  </si>
  <si>
    <t>24/ maiz trillado/white hominy</t>
  </si>
  <si>
    <t>24/ maiz trillado amarillo</t>
  </si>
  <si>
    <t>24/14 oz giant white corn</t>
  </si>
  <si>
    <t>69.95</t>
  </si>
  <si>
    <t>2.91</t>
  </si>
  <si>
    <t>4.45</t>
  </si>
  <si>
    <t>3.89</t>
  </si>
  <si>
    <t>24/ maiz cancha chulpe</t>
  </si>
  <si>
    <t>73.95</t>
  </si>
  <si>
    <t>3.08</t>
  </si>
  <si>
    <t>24/ pardina lentils</t>
  </si>
  <si>
    <t>24/ bean soup mix</t>
  </si>
  <si>
    <t>51.95</t>
  </si>
  <si>
    <t>24/ frijol centroamericano</t>
  </si>
  <si>
    <t>24/ peeled fava beans</t>
  </si>
  <si>
    <t>24/ red cargamanto</t>
  </si>
  <si>
    <t>87.95</t>
  </si>
  <si>
    <t>3.66</t>
  </si>
  <si>
    <t>4.89</t>
  </si>
  <si>
    <t>24/ white cargamanto</t>
  </si>
  <si>
    <t>24/ bola roja</t>
  </si>
  <si>
    <t>24/ black lentils</t>
  </si>
  <si>
    <t>6/4 lb black eye peas</t>
  </si>
  <si>
    <t>7.92</t>
  </si>
  <si>
    <t>10.59</t>
  </si>
  <si>
    <t>6/4 lb pink beans</t>
  </si>
  <si>
    <t>6.25</t>
  </si>
  <si>
    <t>8.39</t>
  </si>
  <si>
    <t>6/4 lb lentils</t>
  </si>
  <si>
    <t>5.58</t>
  </si>
  <si>
    <t>6/4 lb central american red bean</t>
  </si>
  <si>
    <t>57.50</t>
  </si>
  <si>
    <t>9.58</t>
  </si>
  <si>
    <t>3.20</t>
  </si>
  <si>
    <t>12.79</t>
  </si>
  <si>
    <t>6/4 lb canary beans</t>
  </si>
  <si>
    <t>58.50</t>
  </si>
  <si>
    <t>9.75</t>
  </si>
  <si>
    <t>6/4 lb red kidney</t>
  </si>
  <si>
    <t>35.50</t>
  </si>
  <si>
    <t>5.92</t>
  </si>
  <si>
    <t>1.97</t>
  </si>
  <si>
    <t>7.89</t>
  </si>
  <si>
    <t>6/4 lb chick peas</t>
  </si>
  <si>
    <t>7.16</t>
  </si>
  <si>
    <t>2.40</t>
  </si>
  <si>
    <t>9.59</t>
  </si>
  <si>
    <t>6/4 lb small red beans</t>
  </si>
  <si>
    <t>6/3 lb giant white corn</t>
  </si>
  <si>
    <t>4.60</t>
  </si>
  <si>
    <t>13.79</t>
  </si>
  <si>
    <t>6/4 lb black beans</t>
  </si>
  <si>
    <t>5.33</t>
  </si>
  <si>
    <t>6/4 lb roman beans</t>
  </si>
  <si>
    <t>6.49</t>
  </si>
  <si>
    <t>8.69</t>
  </si>
  <si>
    <t>6/4 lb yellow split peas</t>
  </si>
  <si>
    <t>4.08</t>
  </si>
  <si>
    <t>6/4 lb pinto beans</t>
  </si>
  <si>
    <t>1.67</t>
  </si>
  <si>
    <t>GOYA DRY BEANS &amp; LENTILS 10 LB.</t>
  </si>
  <si>
    <t>4/ black beans</t>
  </si>
  <si>
    <t>52.95</t>
  </si>
  <si>
    <t>13.24</t>
  </si>
  <si>
    <t>17.69</t>
  </si>
  <si>
    <t>4/ pinto beans</t>
  </si>
  <si>
    <t>48.95</t>
  </si>
  <si>
    <t>12.24</t>
  </si>
  <si>
    <t>16.29</t>
  </si>
  <si>
    <t>4/ roman beans</t>
  </si>
  <si>
    <t>64.95</t>
  </si>
  <si>
    <t>16.24</t>
  </si>
  <si>
    <t>21.69</t>
  </si>
  <si>
    <t>24/15 oz tender sweet peas</t>
  </si>
  <si>
    <t xml:space="preserve"> 24/8.5 oz tender sweet peas </t>
  </si>
  <si>
    <t>24/ adzuki beans</t>
  </si>
  <si>
    <t>46.65</t>
  </si>
  <si>
    <t>1.94</t>
  </si>
  <si>
    <t>24/14.5 oz french style green beans</t>
  </si>
  <si>
    <t>1.15</t>
  </si>
  <si>
    <t>24/8 oz french style green beans</t>
  </si>
  <si>
    <t>24/8 oz cut green beans</t>
  </si>
  <si>
    <t>RICE &amp; RICE MIXES</t>
  </si>
  <si>
    <t>GOYA BOX/ RICE MIXES</t>
  </si>
  <si>
    <t>12/7 oz jambalaya rice mix</t>
  </si>
  <si>
    <t>20.65</t>
  </si>
  <si>
    <t>1.72</t>
  </si>
  <si>
    <t>5.23</t>
  </si>
  <si>
    <t>24/14.5 oz cut green beans</t>
  </si>
  <si>
    <t>GOYA PAELLA KIT</t>
  </si>
  <si>
    <t>6/19 oz paella dinner kit</t>
  </si>
  <si>
    <t>34.65</t>
  </si>
  <si>
    <t>5.78</t>
  </si>
  <si>
    <t>6.48</t>
  </si>
  <si>
    <t>4/ lentils</t>
  </si>
  <si>
    <t>13.74</t>
  </si>
  <si>
    <t>18.29</t>
  </si>
  <si>
    <t>12/8 oz Goya paella</t>
  </si>
  <si>
    <t>40.35</t>
  </si>
  <si>
    <t>3.36</t>
  </si>
  <si>
    <t>8.98</t>
  </si>
  <si>
    <t>24/15 oz field peas with snaps</t>
  </si>
  <si>
    <t>GOYA DRY BEANS 24 OZ.</t>
  </si>
  <si>
    <t>18/ canary beans</t>
  </si>
  <si>
    <t>3.64</t>
  </si>
  <si>
    <t>3.26</t>
  </si>
  <si>
    <t>18/ central american red beans</t>
  </si>
  <si>
    <t>63.95</t>
  </si>
  <si>
    <t>3.55</t>
  </si>
  <si>
    <t>6/4 lb green split peas</t>
  </si>
  <si>
    <t>6/4 lb red lentils</t>
  </si>
  <si>
    <t>1.47</t>
  </si>
  <si>
    <t xml:space="preserve"> 24/8.5 oz peas &amp; carrots</t>
  </si>
  <si>
    <t>24/15 oz peas &amp; carrots</t>
  </si>
  <si>
    <t xml:space="preserve">24/8.75 oz whole kernel corn </t>
  </si>
  <si>
    <t>24/15.25 oz whole kernel corn</t>
  </si>
  <si>
    <t>GOLDEN CANILLA/ PARBOILED EXTRA LONG GRAIN RICE</t>
  </si>
  <si>
    <t xml:space="preserve"> 1/50 lb </t>
  </si>
  <si>
    <t>24/15 oz mixed vegetables</t>
  </si>
  <si>
    <t>24/8.5 oz mixed vegetables</t>
  </si>
  <si>
    <t>24/15 oz sliced beets</t>
  </si>
  <si>
    <t>GOYA CAN/ LOW SODIUM VEGETABLES</t>
  </si>
  <si>
    <t>24/15.25 oz golden corn - low msodium</t>
  </si>
  <si>
    <t>24/8.25 oz sliced beets</t>
  </si>
  <si>
    <t>24/14.5 oz sliced carrots</t>
  </si>
  <si>
    <t>24/4 oz whole mushrooms-can</t>
  </si>
  <si>
    <t>12.76</t>
  </si>
  <si>
    <t>24/4 oz sliced mushrooms-can</t>
  </si>
  <si>
    <t>9.56</t>
  </si>
  <si>
    <t>24/15 oz green lima beans</t>
  </si>
  <si>
    <t>GOYA JAR/ VEGETABLES</t>
  </si>
  <si>
    <t>12/4.5 oz whole mushrooms-glass</t>
  </si>
  <si>
    <t>15.96</t>
  </si>
  <si>
    <t>12/4.5 oz sliced mushrooms-glass</t>
  </si>
  <si>
    <t>13.83</t>
  </si>
  <si>
    <t>OLIVES &amp; PICKLED PRODUCTS/ PICKLED PRODUCTS</t>
  </si>
  <si>
    <t>GOYA ASPARAGUS</t>
  </si>
  <si>
    <t>12/11.6 oz white asparagus - jar</t>
  </si>
  <si>
    <t>4.95</t>
  </si>
  <si>
    <t>24/15 oz low sodium sliced beets</t>
  </si>
  <si>
    <t>12/11.6 oz green asparagus</t>
  </si>
  <si>
    <t>24/15 oz low sodium mixed vegetables</t>
  </si>
  <si>
    <t>168/21 oz Multi Pack Yellow Rice Qtr Pallet Display</t>
  </si>
  <si>
    <t>691.95</t>
  </si>
  <si>
    <t>4.12</t>
  </si>
  <si>
    <t>4.18</t>
  </si>
  <si>
    <t>12/7 oz gallo pinto/cent amer-style</t>
  </si>
  <si>
    <t>12/7 oz congri-style black bean and rice</t>
  </si>
  <si>
    <t>24/15 oz white hominy</t>
  </si>
  <si>
    <t>24/15 oz golden hominy</t>
  </si>
  <si>
    <t>12/29 oz white hominy</t>
  </si>
  <si>
    <t>25.75</t>
  </si>
  <si>
    <t>6/111 oz white hominy</t>
  </si>
  <si>
    <t>1.18</t>
  </si>
  <si>
    <t>7.99</t>
  </si>
  <si>
    <t>GOYA/ MEDIUM GRAIN RICE</t>
  </si>
  <si>
    <t>30/1 lb poly bag</t>
  </si>
  <si>
    <t>1.30</t>
  </si>
  <si>
    <t>20/3 lb poly bag</t>
  </si>
  <si>
    <t>1.23</t>
  </si>
  <si>
    <t>12/5 lb poly bag</t>
  </si>
  <si>
    <t>5.00</t>
  </si>
  <si>
    <t>1.14</t>
  </si>
  <si>
    <t>24/ maiz cancha montana</t>
  </si>
  <si>
    <t>6/10 lb poly bag</t>
  </si>
  <si>
    <t>1.02</t>
  </si>
  <si>
    <t>10.19</t>
  </si>
  <si>
    <t xml:space="preserve"> 3/20 lb poly bag </t>
  </si>
  <si>
    <t>1/20 lb bag</t>
  </si>
  <si>
    <t xml:space="preserve">1/50 lb bag </t>
  </si>
  <si>
    <t xml:space="preserve"> 1/100 lb bag</t>
  </si>
  <si>
    <t xml:space="preserve"> 99/20 lb </t>
  </si>
  <si>
    <t>GOYA BAG/ ORGANIC RICE</t>
  </si>
  <si>
    <t>12/32 oz long grain brown rice</t>
  </si>
  <si>
    <t>56.50</t>
  </si>
  <si>
    <t>4.71</t>
  </si>
  <si>
    <t>3.15</t>
  </si>
  <si>
    <t>6.29</t>
  </si>
  <si>
    <t>GOYA BAG/ BROWN RICE</t>
  </si>
  <si>
    <t>14/32 oz brown rice</t>
  </si>
  <si>
    <t>30/16 oz brown rice</t>
  </si>
  <si>
    <t>35.75</t>
  </si>
  <si>
    <t>12/32 oz long grain white rice</t>
  </si>
  <si>
    <t>53.25</t>
  </si>
  <si>
    <t>20/32oz Jasmine brown rice</t>
  </si>
  <si>
    <t>3.23</t>
  </si>
  <si>
    <t>GOYA BAG/ BASMATI RICE</t>
  </si>
  <si>
    <t>5/5 kilo (11 lb)</t>
  </si>
  <si>
    <t>101.95</t>
  </si>
  <si>
    <t>20.39</t>
  </si>
  <si>
    <t>2.18</t>
  </si>
  <si>
    <t>23.99</t>
  </si>
  <si>
    <t>GOYA BAG/ JASMINE RICE</t>
  </si>
  <si>
    <t>2/20 lb</t>
  </si>
  <si>
    <t>52.50</t>
  </si>
  <si>
    <t>26.25</t>
  </si>
  <si>
    <t>29.79</t>
  </si>
  <si>
    <t>1/20 lb</t>
  </si>
  <si>
    <t>29.99</t>
  </si>
  <si>
    <t>4/10 lb</t>
  </si>
  <si>
    <t>15.49</t>
  </si>
  <si>
    <t>17.59</t>
  </si>
  <si>
    <t>8/5 lb</t>
  </si>
  <si>
    <t>63.50</t>
  </si>
  <si>
    <t>7.94</t>
  </si>
  <si>
    <t>8/5 lb brown rice</t>
  </si>
  <si>
    <t>20/32 oz</t>
  </si>
  <si>
    <t xml:space="preserve"> 99/20 lb</t>
  </si>
  <si>
    <t>12/7 oz pilaf rice mix</t>
  </si>
  <si>
    <t>GOYA BAG/ CALIFORNIA PEARL RICE</t>
  </si>
  <si>
    <t>24/14 oz</t>
  </si>
  <si>
    <t xml:space="preserve">1/100 lb poly bag </t>
  </si>
  <si>
    <t>3.00</t>
  </si>
  <si>
    <t>1.13</t>
  </si>
  <si>
    <t>4.88</t>
  </si>
  <si>
    <t xml:space="preserve"> 6/10 lb poly bag </t>
  </si>
  <si>
    <t>CANILLA/ EXTRA LONG GRAIN RICE</t>
  </si>
  <si>
    <t>1.03</t>
  </si>
  <si>
    <t>12/2 lb poly bag</t>
  </si>
  <si>
    <t>22.95</t>
  </si>
  <si>
    <t xml:space="preserve"> 12/5 lb poly bag</t>
  </si>
  <si>
    <t>12/7 oz dirty rice mix</t>
  </si>
  <si>
    <t xml:space="preserve"> 6/10 lb poly bag</t>
  </si>
  <si>
    <t xml:space="preserve">3/20 lb bag </t>
  </si>
  <si>
    <t xml:space="preserve"> 1/50 lb bag </t>
  </si>
  <si>
    <t xml:space="preserve"> 1/100 lb bag </t>
  </si>
  <si>
    <t xml:space="preserve"> 1/99 bags/20 lbs</t>
  </si>
  <si>
    <t>GOYA BOX/ INSTANT RICE MIX</t>
  </si>
  <si>
    <t>24/6 oz instant yellow rice</t>
  </si>
  <si>
    <t>24/6 oz instant Mexican rice</t>
  </si>
  <si>
    <t>6.11</t>
  </si>
  <si>
    <t>24/6 oz instant brown rice</t>
  </si>
  <si>
    <t>12/7 oz coconut rice</t>
  </si>
  <si>
    <t>GOYA BOX/RICE</t>
  </si>
  <si>
    <t>12/12 oz Jasmin rice</t>
  </si>
  <si>
    <t>12/12 oz Basmati Rice</t>
  </si>
  <si>
    <t>12/12 oz Valencia rice</t>
  </si>
  <si>
    <t>12/12 oz Arborio rice</t>
  </si>
  <si>
    <t>3.45</t>
  </si>
  <si>
    <t>12/7 oz rice &amp; pinto beans</t>
  </si>
  <si>
    <t>12/7 oz hoppin’ john/blackeye peas</t>
  </si>
  <si>
    <t>12/7 oz chicken flavored rice</t>
  </si>
  <si>
    <t>12/7 oz fiesta rice</t>
  </si>
  <si>
    <t>12/7 oz rice &amp; pigeon peas</t>
  </si>
  <si>
    <t>GOYA BOX/ YELLOW RICE</t>
  </si>
  <si>
    <t>24/7 oz yellow rice mix</t>
  </si>
  <si>
    <t>4.55</t>
  </si>
  <si>
    <t>24/7 oz mexican rice</t>
  </si>
  <si>
    <t>41.25</t>
  </si>
  <si>
    <t>12/7 oz primavera</t>
  </si>
  <si>
    <t>24/7 oz rice &amp; black beans</t>
  </si>
  <si>
    <t>24/7 oz rice &amp; red beans</t>
  </si>
  <si>
    <t>12/7 oz broccoli &amp; cheese</t>
  </si>
  <si>
    <t>12/7 oz curry</t>
  </si>
  <si>
    <t>12/7 oz arroz con pollo</t>
  </si>
  <si>
    <t>72/7 oz Yellow Rice Shipper</t>
  </si>
  <si>
    <t>107.50</t>
  </si>
  <si>
    <t>GOYA QUINOA BLEND</t>
  </si>
  <si>
    <t>12/6 oz brown rice, pepper, peas &amp; garlic</t>
  </si>
  <si>
    <t>27.85</t>
  </si>
  <si>
    <t>2.32</t>
  </si>
  <si>
    <t>8.24</t>
  </si>
  <si>
    <t>12/6 oz brown rice/black beans</t>
  </si>
  <si>
    <t>12/7 oz spanish rice</t>
  </si>
  <si>
    <t>12/7 oz yellow rice &amp; red beans</t>
  </si>
  <si>
    <t>12/7 oz yellow rice &amp; corn</t>
  </si>
  <si>
    <t>12/6 oz brown rice/carrots/mushrooms</t>
  </si>
  <si>
    <t>8/21 oz yellow rice mix multipak - 3pk</t>
  </si>
  <si>
    <t>4.41</t>
  </si>
  <si>
    <t>5.79</t>
  </si>
  <si>
    <t>384/7 oz Yellow Rice Mix Display</t>
  </si>
  <si>
    <t>574.95</t>
  </si>
  <si>
    <t>27/21 oz 3 Multipack Yellow Rice Shipper</t>
  </si>
  <si>
    <t>117.50</t>
  </si>
  <si>
    <t>4.35</t>
  </si>
  <si>
    <t>18/14 oz yellow rice family pack</t>
  </si>
  <si>
    <t>2.24</t>
  </si>
  <si>
    <t>3.42</t>
  </si>
  <si>
    <t>48/7 oz Rice Mix Shipper (Mexican, Black Beans, Red Beans)</t>
  </si>
  <si>
    <t>82.50</t>
  </si>
  <si>
    <t>CANILLA/ BAG - LONG GRAIN RICE</t>
  </si>
  <si>
    <t>8pk/5 lb</t>
  </si>
  <si>
    <t>3.56</t>
  </si>
  <si>
    <t>13.09</t>
  </si>
  <si>
    <t>4.09</t>
  </si>
  <si>
    <t>6pk/5 lb</t>
  </si>
  <si>
    <t>21.65</t>
  </si>
  <si>
    <t>3.61</t>
  </si>
  <si>
    <t>GOYA PRISMA NECTAR &amp; SMOOTHIES 33.8 OZ.</t>
  </si>
  <si>
    <t>12/ strawberry/banana smoothie</t>
  </si>
  <si>
    <t>12/7 oz low sodium yellow rice</t>
  </si>
  <si>
    <t>17.95</t>
  </si>
  <si>
    <t>GOYA DIET NECTAR 42 OZ.</t>
  </si>
  <si>
    <t>12/ peach</t>
  </si>
  <si>
    <t>12/ mango smoothie</t>
  </si>
  <si>
    <t>12/ apricot</t>
  </si>
  <si>
    <t>48/7 oz Rice Mix Shipper (Yellow Rice &amp; Beans, Yellow Rice &amp; Corn, Spanish Rice &amp; Tomato)</t>
  </si>
  <si>
    <t>GOYA GLASS NECTAR &amp; JUICE 33.8 OZ.</t>
  </si>
  <si>
    <t>12/ pear</t>
  </si>
  <si>
    <t>12/ apple</t>
  </si>
  <si>
    <t>GOYA DIET NECTAR 9.6 OZ.</t>
  </si>
  <si>
    <t xml:space="preserve"> 24/ pear </t>
  </si>
  <si>
    <t>12/ guava</t>
  </si>
  <si>
    <t>12/ mango</t>
  </si>
  <si>
    <t>GOYA NECTAR &amp; JUICE 5 OZ.</t>
  </si>
  <si>
    <t xml:space="preserve"> 48/ pear </t>
  </si>
  <si>
    <t xml:space="preserve"> 24/ peach</t>
  </si>
  <si>
    <t>48/ peach</t>
  </si>
  <si>
    <t xml:space="preserve"> 24/ apricot </t>
  </si>
  <si>
    <t xml:space="preserve">24/ tamarind </t>
  </si>
  <si>
    <t>GOYA NECTAR &amp; JUICE 9.6 OZ.</t>
  </si>
  <si>
    <t>24/ pear 18.50</t>
  </si>
  <si>
    <t xml:space="preserve"> 24/ apricot 18.50</t>
  </si>
  <si>
    <t>12/ tamarind</t>
  </si>
  <si>
    <t xml:space="preserve">24/ guanabana </t>
  </si>
  <si>
    <t>24/ guava</t>
  </si>
  <si>
    <t>GOYA NECTAR &amp; JUICE 42 OZ.</t>
  </si>
  <si>
    <t>12/ pineapple/guava</t>
  </si>
  <si>
    <t>1.33</t>
  </si>
  <si>
    <t>12/ passion fruit cocktail</t>
  </si>
  <si>
    <t xml:space="preserve"> 24/ mango</t>
  </si>
  <si>
    <t xml:space="preserve">24/ passion fruit juice cocktail </t>
  </si>
  <si>
    <t xml:space="preserve">24/ pear/passion </t>
  </si>
  <si>
    <t>24/ pineapple/passion</t>
  </si>
  <si>
    <t xml:space="preserve">24/ pineapple/guava </t>
  </si>
  <si>
    <t>24/16.9 oz pure organic</t>
  </si>
  <si>
    <t xml:space="preserve"> 24/ tamarind</t>
  </si>
  <si>
    <t>12/ orange carrot</t>
  </si>
  <si>
    <t xml:space="preserve"> 24/ guanabana</t>
  </si>
  <si>
    <t xml:space="preserve"> 24/ papaya </t>
  </si>
  <si>
    <t>12/ guanabana</t>
  </si>
  <si>
    <t>29.50</t>
  </si>
  <si>
    <t>12/ guayaba</t>
  </si>
  <si>
    <t>48/ tamarind</t>
  </si>
  <si>
    <t>48/ mango</t>
  </si>
  <si>
    <t xml:space="preserve"> 48/ guava </t>
  </si>
  <si>
    <t>12/ papaya</t>
  </si>
  <si>
    <t>4.39</t>
  </si>
  <si>
    <t xml:space="preserve"> 24/ strawberry </t>
  </si>
  <si>
    <t xml:space="preserve"> 24/ banana </t>
  </si>
  <si>
    <t>24/ strawberry banana</t>
  </si>
  <si>
    <t>12/ apple juice</t>
  </si>
  <si>
    <t>31.5</t>
  </si>
  <si>
    <t>12/ pineapple guava</t>
  </si>
  <si>
    <t>24/16.9 oz roasted UHT</t>
  </si>
  <si>
    <t>35.25</t>
  </si>
  <si>
    <t>1.88</t>
  </si>
  <si>
    <t>12/ fruit punch</t>
  </si>
  <si>
    <t>12/ passion fruit juice cocktail</t>
  </si>
  <si>
    <t>1.60</t>
  </si>
  <si>
    <t>24/11.15 oz coconut milk drink</t>
  </si>
  <si>
    <t>2.28</t>
  </si>
  <si>
    <t>1440/17.6 oz Goya Coconut Water Display</t>
  </si>
  <si>
    <t>1999.00</t>
  </si>
  <si>
    <t>12/33.8 oz pure</t>
  </si>
  <si>
    <t>24/16.9 oz pure prisma</t>
  </si>
  <si>
    <t xml:space="preserve"> 48/ pineapple juice from conc</t>
  </si>
  <si>
    <t>. 23.50</t>
  </si>
  <si>
    <t>24/11.8 oz roasted</t>
  </si>
  <si>
    <t>27.95</t>
  </si>
  <si>
    <t>1.16</t>
  </si>
  <si>
    <t>12/ pineapple juice from conc.</t>
  </si>
  <si>
    <t xml:space="preserve"> 24/ pineapple juice from conc. </t>
  </si>
  <si>
    <t>GOYA SPECIALTY DRINKS</t>
  </si>
  <si>
    <t>24/11.8 oz sugar cane juice</t>
  </si>
  <si>
    <t>24/11.8 oz/with pieces</t>
  </si>
  <si>
    <t>26.85</t>
  </si>
  <si>
    <t>24/11.8 oz. reduced sugar</t>
  </si>
  <si>
    <t>24/17.6 oz tall</t>
  </si>
  <si>
    <t>24/11.15 oz tetpk</t>
  </si>
  <si>
    <t>5/50.7 oz with pieces - 6pk</t>
  </si>
  <si>
    <t>30.25</t>
  </si>
  <si>
    <t>6.05</t>
  </si>
  <si>
    <t>24/17.6 oz roasted</t>
  </si>
  <si>
    <t xml:space="preserve">24/ tropical fruit punch </t>
  </si>
  <si>
    <t>12/ tropical fruit punch</t>
  </si>
  <si>
    <t>2.96</t>
  </si>
  <si>
    <t>24/17.6 oz. reduced sugar</t>
  </si>
  <si>
    <t>1.31</t>
  </si>
  <si>
    <t>12/ pineapple</t>
  </si>
  <si>
    <t>FRUITS IN SYRUP</t>
  </si>
  <si>
    <t>GOYA FRUITS IN SYRUP</t>
  </si>
  <si>
    <t>24/15.25 oz pear halves in heavy syrup</t>
  </si>
  <si>
    <t>2.61</t>
  </si>
  <si>
    <t>12/ pera nectar</t>
  </si>
  <si>
    <t>12/ peach nectar</t>
  </si>
  <si>
    <t>12/ guava nectar</t>
  </si>
  <si>
    <t>12/ mango nectar</t>
  </si>
  <si>
    <t>10/16.9 oz gazpacho</t>
  </si>
  <si>
    <t>25.50</t>
  </si>
  <si>
    <t>2.55</t>
  </si>
  <si>
    <t>3.21</t>
  </si>
  <si>
    <t>12/ light mango</t>
  </si>
  <si>
    <t>12/29 oz sliced peaches in heavy syrup</t>
  </si>
  <si>
    <t>2.31</t>
  </si>
  <si>
    <t>12/29 oz peach halves in heavy syrup</t>
  </si>
  <si>
    <t>CONDIMENTS &amp; SEASONINGS</t>
  </si>
  <si>
    <t>GOYA SPICES</t>
  </si>
  <si>
    <t>12/.75 oz Mex. cinnamon stick/bag</t>
  </si>
  <si>
    <t>19.35</t>
  </si>
  <si>
    <t>46.72</t>
  </si>
  <si>
    <t>12/ guanabana nectar</t>
  </si>
  <si>
    <t>24/15.25 oz sliced peaches in heavy syrup</t>
  </si>
  <si>
    <t>24/15.25 oz peach halves in heavy syrup</t>
  </si>
  <si>
    <t>12/ light guava</t>
  </si>
  <si>
    <t>6/10 lb brown rice</t>
  </si>
  <si>
    <t>52.75</t>
  </si>
  <si>
    <t>8.79</t>
  </si>
  <si>
    <t>1.00</t>
  </si>
  <si>
    <t>24/15.25 oz fruit cocktail in heavy syrup</t>
  </si>
  <si>
    <t>3.03</t>
  </si>
  <si>
    <t>12/30 oz fruit cocktail in heavysyrup</t>
  </si>
  <si>
    <t>38.50</t>
  </si>
  <si>
    <t>20/32 oz (2 lb)</t>
  </si>
  <si>
    <t>91.95</t>
  </si>
  <si>
    <t>90.95</t>
  </si>
  <si>
    <t>11.37</t>
  </si>
  <si>
    <t>2.68</t>
  </si>
  <si>
    <t>12/7 oz rice &amp; black beans - low sodium</t>
  </si>
  <si>
    <t>12/7 oz rice &amp; red beans - low sodium</t>
  </si>
  <si>
    <t>GOYA VEGAN RICE MIXES</t>
  </si>
  <si>
    <t>12/7 oz yellow rice mix</t>
  </si>
  <si>
    <t>12/30 oz whole yellow guavas in heavy syrup</t>
  </si>
  <si>
    <t>1.70</t>
  </si>
  <si>
    <t>24/20 oz sliced pineapple in light syrup</t>
  </si>
  <si>
    <t>56.95</t>
  </si>
  <si>
    <t>2.37</t>
  </si>
  <si>
    <t>24/20 oz pineapple chunks in light syrup</t>
  </si>
  <si>
    <t>24/20 oz crushed pineapple in light syrup</t>
  </si>
  <si>
    <t>GOYA DRY CHILES</t>
  </si>
  <si>
    <t>12/3 oz chile pulla</t>
  </si>
  <si>
    <t>17.55</t>
  </si>
  <si>
    <t>12/3 oz chile ancho</t>
  </si>
  <si>
    <t>19.68</t>
  </si>
  <si>
    <t>GOYA CAN/ GREEN CHILES</t>
  </si>
  <si>
    <t>24/4 oz diced green chiles</t>
  </si>
  <si>
    <t>5.96</t>
  </si>
  <si>
    <t>12/3 oz chile guajillo</t>
  </si>
  <si>
    <t>12/3 oz chile mulato</t>
  </si>
  <si>
    <t>21.28</t>
  </si>
  <si>
    <t>12/3 oz chile arbol</t>
  </si>
  <si>
    <t>24.35</t>
  </si>
  <si>
    <t>2.03</t>
  </si>
  <si>
    <t>14.35</t>
  </si>
  <si>
    <t>12/3 oz chile pasilla</t>
  </si>
  <si>
    <t>12/3 oz chile chipotle</t>
  </si>
  <si>
    <t>54.50</t>
  </si>
  <si>
    <t>GOYA CAN/ JALAPENO &amp; SERRANO PEPPERS</t>
  </si>
  <si>
    <t>12/11 oz jalapeño peppers whole</t>
  </si>
  <si>
    <t>12/26 oz jalapeño peppers whole</t>
  </si>
  <si>
    <t>6/96 oz jalapeño peppers whole</t>
  </si>
  <si>
    <t>24/7 oz diced green chiles</t>
  </si>
  <si>
    <t>4.32</t>
  </si>
  <si>
    <t>SWEET PRODUCTS</t>
  </si>
  <si>
    <t>GOYA PONCHE DEHYDRATED FRUIT MIX</t>
  </si>
  <si>
    <t>12/8 oz ponche dried fruit mix</t>
  </si>
  <si>
    <t>12.18</t>
  </si>
  <si>
    <t>6.09</t>
  </si>
  <si>
    <t>12/11 oz sliced jalapeño peppers</t>
  </si>
  <si>
    <t>12/26 oz sliced jalapeño peppers</t>
  </si>
  <si>
    <t>1.78</t>
  </si>
  <si>
    <t>72/7 oz Chipotle Peppers - Shipper</t>
  </si>
  <si>
    <t>128.95</t>
  </si>
  <si>
    <t>5.46</t>
  </si>
  <si>
    <t>12/11 oz chile serrano en escabeche</t>
  </si>
  <si>
    <t>18.75</t>
  </si>
  <si>
    <t>3.04</t>
  </si>
  <si>
    <t>12/26 oz chiles serrano en escabeche</t>
  </si>
  <si>
    <t>31.25</t>
  </si>
  <si>
    <t>2.60</t>
  </si>
  <si>
    <t>GOYA CAN/ CHIPOTLE PEPPERS</t>
  </si>
  <si>
    <t>12/28 oz chipotle peppers</t>
  </si>
  <si>
    <t>68.50</t>
  </si>
  <si>
    <t>4.34</t>
  </si>
  <si>
    <t>7.59</t>
  </si>
  <si>
    <t>12/26 oz jalapeño pickled nachos</t>
  </si>
  <si>
    <t>12/11 oz jalapeño pickled nachos</t>
  </si>
  <si>
    <t>GOYA CAN/ VEGETABLES MEXICAN STYLE</t>
  </si>
  <si>
    <t>12/26 oz whole tomatillos</t>
  </si>
  <si>
    <t>12/26 oz crushed tomatillos</t>
  </si>
  <si>
    <t>12/12 oz chipotle peppers</t>
  </si>
  <si>
    <t>3.41</t>
  </si>
  <si>
    <t>6.12</t>
  </si>
  <si>
    <t>12/30 oz tender cactus - nopalitos</t>
  </si>
  <si>
    <t>12/7 oz zucchini flower</t>
  </si>
  <si>
    <t>6.83</t>
  </si>
  <si>
    <t>12/7 oz chipotle peppers</t>
  </si>
  <si>
    <t>12/7 oz huitlacoche corn mushroom</t>
  </si>
  <si>
    <t>46.75</t>
  </si>
  <si>
    <t>3.90</t>
  </si>
  <si>
    <t>11.86</t>
  </si>
  <si>
    <t>5.19</t>
  </si>
  <si>
    <t>GOYA MEXICAN COOKING SAUCES</t>
  </si>
  <si>
    <t>24/7 oz salsa roja</t>
  </si>
  <si>
    <t>24/7 oz salsa verde</t>
  </si>
  <si>
    <t>GOYA ORGANIC REFRIED BEANS 16 OZ.</t>
  </si>
  <si>
    <t>12/ traditional</t>
  </si>
  <si>
    <t>15.35</t>
  </si>
  <si>
    <t>1.28</t>
  </si>
  <si>
    <t>12/ black</t>
  </si>
  <si>
    <t>GOYA SALSITAS &amp; BOTANITA - SAUCES MEXICAN STYLE</t>
  </si>
  <si>
    <t>12/8 oz Salsita chipotle chiles</t>
  </si>
  <si>
    <t>23.95</t>
  </si>
  <si>
    <t>NON FOODS</t>
  </si>
  <si>
    <t>GOYA HOJA PARA TAMAL ENCONCHADA</t>
  </si>
  <si>
    <t>12/6 oz hoja para tamal enconchada</t>
  </si>
  <si>
    <t>72.50</t>
  </si>
  <si>
    <t>6.04</t>
  </si>
  <si>
    <t>21.31</t>
  </si>
  <si>
    <t>12/8 oz Salsita jalapeño chiles</t>
  </si>
  <si>
    <t>12/8 oz Salsita arbol chiles</t>
  </si>
  <si>
    <t>12/8 oz Salsita ancho chiles</t>
  </si>
  <si>
    <t>12/8 oz Salsita habanero chiles</t>
  </si>
  <si>
    <t>GOYA SAUCES MEXICAN STYLE</t>
  </si>
  <si>
    <t>12/17.6 oz salsa verde</t>
  </si>
  <si>
    <t>12/17.6 oz salsa taquera</t>
  </si>
  <si>
    <t>12/17.6 oz pico de gallo /Mild</t>
  </si>
  <si>
    <t>12/17.6 oz pico de gallo hot</t>
  </si>
  <si>
    <t>PASTAS &amp; NOODLES</t>
  </si>
  <si>
    <t>LA MODERNA PASTA</t>
  </si>
  <si>
    <t xml:space="preserve">20/7.05 oz pearl municion </t>
  </si>
  <si>
    <t>12/33.8 oz Botanita - Snack Hot Sauce w/h Lime Juice</t>
  </si>
  <si>
    <t>21.95</t>
  </si>
  <si>
    <t>12/12 oz sliced carrots -zanahorias en escabeche</t>
  </si>
  <si>
    <t>COOKIES</t>
  </si>
  <si>
    <t>LA MODERNA COOKIES</t>
  </si>
  <si>
    <t>10/24.7 oz surtido guarde</t>
  </si>
  <si>
    <t>5.85</t>
  </si>
  <si>
    <t>7.79</t>
  </si>
  <si>
    <t>12/12 oz rotini tricolor</t>
  </si>
  <si>
    <t>GOYA REFRIED BEANS 16 OZ. / 30 OZ.</t>
  </si>
  <si>
    <t>12/16 oz mayocoba</t>
  </si>
  <si>
    <t>12/16 oz chorizo</t>
  </si>
  <si>
    <t>20.50</t>
  </si>
  <si>
    <t>12/16 oz traditional</t>
  </si>
  <si>
    <t>12/16 oz chipotle</t>
  </si>
  <si>
    <t>12/16 oz rancheros</t>
  </si>
  <si>
    <t>12/16 oz black</t>
  </si>
  <si>
    <t>12/9 oz mole</t>
  </si>
  <si>
    <t>35.35</t>
  </si>
  <si>
    <t>2.95</t>
  </si>
  <si>
    <t>6.92</t>
  </si>
  <si>
    <t>GOYA REFRIED BEANS FAT FREE 16 OZ.</t>
  </si>
  <si>
    <t>15.95</t>
  </si>
  <si>
    <t>12/ pinto</t>
  </si>
  <si>
    <t>GOYA REDUCED SODIUM REFRIED BEANS 16 OZ.</t>
  </si>
  <si>
    <t xml:space="preserve">20/6.3 oz coil fideo </t>
  </si>
  <si>
    <t>20/7.05 oz gears</t>
  </si>
  <si>
    <t>20/7.05 oz macaroni</t>
  </si>
  <si>
    <t xml:space="preserve">20/7.05 oz vermicelli </t>
  </si>
  <si>
    <t>20/7.05 oz fideo</t>
  </si>
  <si>
    <t xml:space="preserve"> 20/7.05 oz spaghetti </t>
  </si>
  <si>
    <t>20/7.05 oz melon seed</t>
  </si>
  <si>
    <t>20/7.05 oz stars</t>
  </si>
  <si>
    <t xml:space="preserve">20/7.05 oz alphabets </t>
  </si>
  <si>
    <t xml:space="preserve"> 20/7.05 oz small elbow </t>
  </si>
  <si>
    <t>20/7.05 oz medium elbow</t>
  </si>
  <si>
    <t xml:space="preserve"> 20/7.05 oz shells </t>
  </si>
  <si>
    <t xml:space="preserve"> 20/6.3 oz coil vermicelli </t>
  </si>
  <si>
    <t>20/7.05 oz bowtie</t>
  </si>
  <si>
    <t>20/16 oz spaghetti</t>
  </si>
  <si>
    <t>1.43</t>
  </si>
  <si>
    <t>20/16 oz medium elbow</t>
  </si>
  <si>
    <t>20/16 oz shells</t>
  </si>
  <si>
    <t>20/16 oz vermicelli</t>
  </si>
  <si>
    <t>LA MODERNA INSTANT SOUPS</t>
  </si>
  <si>
    <t>12/3 oz vermicelli /tomato</t>
  </si>
  <si>
    <t>12/3 oz elbow/tomato</t>
  </si>
  <si>
    <t>15/19.75 oz maria cookies</t>
  </si>
  <si>
    <t>3.48</t>
  </si>
  <si>
    <t>10/16 oz assorted cookies</t>
  </si>
  <si>
    <t>4.10</t>
  </si>
  <si>
    <t>20/14.1 oz animal cookies</t>
  </si>
  <si>
    <t>12/14.11 oz grageas</t>
  </si>
  <si>
    <t>10/14.7 oz 8K 16.9 marshmallow cookies</t>
  </si>
  <si>
    <t>4.05</t>
  </si>
  <si>
    <t>5.87</t>
  </si>
  <si>
    <t>12/3 oz alphabet/tomato</t>
  </si>
  <si>
    <t>12/3 oz star/tomato</t>
  </si>
  <si>
    <t>12/14 oz tostada cookies</t>
  </si>
  <si>
    <t>5.13</t>
  </si>
  <si>
    <t>20/6.5 oz marianita cookies</t>
  </si>
  <si>
    <t>12/3 oz vermicelli tomato/serrano</t>
  </si>
  <si>
    <t>12/30 oz refried beans pinto traditional</t>
  </si>
  <si>
    <t>GOYA JAR/ VEGETABLES CENTRAL AMERICAN STYLE</t>
  </si>
  <si>
    <t>12/32 oz flor de izote in brine</t>
  </si>
  <si>
    <t>67.95</t>
  </si>
  <si>
    <t>5.66</t>
  </si>
  <si>
    <t>3.80</t>
  </si>
  <si>
    <t>GOYA MEXICAN &amp; CENTRAL AMERICAN STYLE</t>
  </si>
  <si>
    <t>12/32 oz ponche almibar</t>
  </si>
  <si>
    <t>3.05</t>
  </si>
  <si>
    <t xml:space="preserve">20/6.53 oz marianita cookies - coconut </t>
  </si>
  <si>
    <t>GOYA CANE SUGAR - PANELA - PILONCILLO</t>
  </si>
  <si>
    <t>24/16 oz cuadrada</t>
  </si>
  <si>
    <t>24/16 oz redonda</t>
  </si>
  <si>
    <t>25/8 oz piloncillo</t>
  </si>
  <si>
    <t>GOYA POUCH - REFRIED BEANS 15 OZ.</t>
  </si>
  <si>
    <t>12/ pinto beans pouch</t>
  </si>
  <si>
    <t>13.50</t>
  </si>
  <si>
    <t>12/3 oz municion chicken</t>
  </si>
  <si>
    <t>12/32 oz nance</t>
  </si>
  <si>
    <t>5.50</t>
  </si>
  <si>
    <t>3.65</t>
  </si>
  <si>
    <t>12/32 oz jocote</t>
  </si>
  <si>
    <t>12/32 oz Pickled salad - ensalada encurtido</t>
  </si>
  <si>
    <t>4.83</t>
  </si>
  <si>
    <t>6.39</t>
  </si>
  <si>
    <t>12/32 oz Pickled Vegetables - curtido Salvadoreno</t>
  </si>
  <si>
    <t>12/32 oz tejocote/manzanilla</t>
  </si>
  <si>
    <t>12/32 oz loroco flower</t>
  </si>
  <si>
    <t>73.50</t>
  </si>
  <si>
    <t>6.13</t>
  </si>
  <si>
    <t>8.19</t>
  </si>
  <si>
    <t>12/32 oz pacaya palm</t>
  </si>
  <si>
    <t>72.95</t>
  </si>
  <si>
    <t>6.08</t>
  </si>
  <si>
    <t>12/3 oz fideo chicken</t>
  </si>
  <si>
    <t>GOYA VOLTEADOS - CENTRAL AMERICAN STYLE 16 OZ.</t>
  </si>
  <si>
    <t>12/ red</t>
  </si>
  <si>
    <t>DUCAL - VOLTEADOS - CENTRAL AMERICAN STYLE</t>
  </si>
  <si>
    <t>12/29 oz red volteados</t>
  </si>
  <si>
    <t>12/29 oz black volteados</t>
  </si>
  <si>
    <t>CANTONESA CHAO MEIN</t>
  </si>
  <si>
    <t>24/12 oz</t>
  </si>
  <si>
    <t>24/15 oz Black Beans - KIRBY</t>
  </si>
  <si>
    <t>12/ Frijol de Olla Ducal - black beans</t>
  </si>
  <si>
    <t>12/ Frijol de Olla Ducal -red beans</t>
  </si>
  <si>
    <t>24/15 oz white kidney beans pottage - Kirby</t>
  </si>
  <si>
    <t>3.51</t>
  </si>
  <si>
    <t>24/10.5 oz black volteados</t>
  </si>
  <si>
    <t>2.42</t>
  </si>
  <si>
    <t>GOYA MARINADES</t>
  </si>
  <si>
    <t>6/64 oz Mojo Criollo</t>
  </si>
  <si>
    <t>12/24.5 oz Mojo picante</t>
  </si>
  <si>
    <t>6/1 gal Naranja Agria</t>
  </si>
  <si>
    <t>8.75</t>
  </si>
  <si>
    <t>11.69</t>
  </si>
  <si>
    <t>12/12 oz Mojo Chipotle</t>
  </si>
  <si>
    <t>2.92</t>
  </si>
  <si>
    <t>GOYA LEMON/LIME JUICE</t>
  </si>
  <si>
    <t>12/32 oz lemon juice</t>
  </si>
  <si>
    <t>12/24.5 oz Mojo Chipotle</t>
  </si>
  <si>
    <t>2.48</t>
  </si>
  <si>
    <t>24/12 oz Mojo Criollo</t>
  </si>
  <si>
    <t>12/24.5 oz Mojo Criollo</t>
  </si>
  <si>
    <t>6/1 gal. Mojo Criollo</t>
  </si>
  <si>
    <t>24/12 oz Naranja Agria</t>
  </si>
  <si>
    <t>2.52</t>
  </si>
  <si>
    <t>12/24.5 oz Naranja Agria</t>
  </si>
  <si>
    <t>GOYA PASTE</t>
  </si>
  <si>
    <t>12/16 oz guava paste “bar”</t>
  </si>
  <si>
    <t>12/32 oz lime juice</t>
  </si>
  <si>
    <t>24/17 oz guava shells in heavy syrup</t>
  </si>
  <si>
    <t>2.85</t>
  </si>
  <si>
    <t>3.57</t>
  </si>
  <si>
    <t>12/34 oz guava shells in heavy syrup</t>
  </si>
  <si>
    <t>67.50</t>
  </si>
  <si>
    <t>5.63</t>
  </si>
  <si>
    <t>24/21 oz guava paste “plastic”</t>
  </si>
  <si>
    <t>62.95</t>
  </si>
  <si>
    <t>2.62</t>
  </si>
  <si>
    <t>24/21 oz guava paste (tin)</t>
  </si>
  <si>
    <t>66.95</t>
  </si>
  <si>
    <t>2.81</t>
  </si>
  <si>
    <t>24/11 oz guava paste “plastic”</t>
  </si>
  <si>
    <t>12/14 oz Goya guava paste cello</t>
  </si>
  <si>
    <t>24/16 oz mango slices with pulp in syrup</t>
  </si>
  <si>
    <t>24/17 oz papaya slices in heavy syrup</t>
  </si>
  <si>
    <t>50.95</t>
  </si>
  <si>
    <t>2.12</t>
  </si>
  <si>
    <t>12/34 oz papaya slices in heavy syrup</t>
  </si>
  <si>
    <t>48.50</t>
  </si>
  <si>
    <t>4.04</t>
  </si>
  <si>
    <t>LA MODERNA PASTA KIDS</t>
  </si>
  <si>
    <t xml:space="preserve"> 20/7 oz kids pasta-animals </t>
  </si>
  <si>
    <t>12/24.5 oz Ceviche</t>
  </si>
  <si>
    <t>12/24.5 oz mojo pina</t>
  </si>
  <si>
    <t>2.80</t>
  </si>
  <si>
    <t>14/12.42 oz coconut bar</t>
  </si>
  <si>
    <t>5.14</t>
  </si>
  <si>
    <t>20/7 oz kids pasta-dinos</t>
  </si>
  <si>
    <t>LA MODERNA KIDS</t>
  </si>
  <si>
    <t xml:space="preserve"> 12/3.5 oz kids soup-dinos</t>
  </si>
  <si>
    <t xml:space="preserve">12/3.5 oz kids soup-sports </t>
  </si>
  <si>
    <t>12/7 oz Sugar free Guava paste</t>
  </si>
  <si>
    <t>13.69</t>
  </si>
  <si>
    <t>ANCEL FRUITS IN SYRUP</t>
  </si>
  <si>
    <t>12/34 oz papaya chunks (In heavy syrup) - Ancel</t>
  </si>
  <si>
    <t>3.75</t>
  </si>
  <si>
    <t>2.35</t>
  </si>
  <si>
    <t>12/34 oz grated coconut (In heavy syrup) - Ancel</t>
  </si>
  <si>
    <t>12/34 oz guava shells (In heavy syrup) - Ancel</t>
  </si>
  <si>
    <t>12/34 oz orange shells (In heavy syrup) - Ancel</t>
  </si>
  <si>
    <t>2.82</t>
  </si>
  <si>
    <t>24/17 oz grated coconut (In heavy syrup) - Ancel</t>
  </si>
  <si>
    <t>3.10</t>
  </si>
  <si>
    <t>ANCEL GUAVA PASTE &amp; MARMALADE</t>
  </si>
  <si>
    <t>24/17 oz guava marmalade - Ancel</t>
  </si>
  <si>
    <t>24/17 oz papaya chunks (In heavy syrup) - Ancel</t>
  </si>
  <si>
    <t>24/17 oz guava shells (In heavy syrup) - Ancel</t>
  </si>
  <si>
    <t xml:space="preserve"> 25/8 oz. mini piloncillo panela2 pack</t>
  </si>
  <si>
    <t>12/16 oz guava paste - Ancel</t>
  </si>
  <si>
    <t>24/8 oz lemon juice</t>
  </si>
  <si>
    <t>2.98</t>
  </si>
  <si>
    <t>12/18 oz guava paste w/jelly center - Ancel</t>
  </si>
  <si>
    <t>2.13</t>
  </si>
  <si>
    <t>24/17 oz orange shells (In heavy syrup) - Ancel</t>
  </si>
  <si>
    <t>24/16.5 oz mango marmalade - Ancel</t>
  </si>
  <si>
    <t>12/34.8 oz black volteados</t>
  </si>
  <si>
    <t>GOYA PERUVIAN PASTE</t>
  </si>
  <si>
    <t>12/7.5 oz pasta de aji mirasol</t>
  </si>
  <si>
    <t>6.38</t>
  </si>
  <si>
    <t>12/7.5 oz pasta de huacatay</t>
  </si>
  <si>
    <t>12/7.5 oz pasta de rocoto</t>
  </si>
  <si>
    <t>12/7.5 oz pasta de aji amarillo</t>
  </si>
  <si>
    <t>12/7.5 oz pasta de aji panca</t>
  </si>
  <si>
    <t xml:space="preserve">36/3.25 oz majarete rice </t>
  </si>
  <si>
    <t>36/4.25 oz arroz con leche</t>
  </si>
  <si>
    <t>1.17</t>
  </si>
  <si>
    <t>36/3.5 oz majarete maiz/corn</t>
  </si>
  <si>
    <t>8.64</t>
  </si>
  <si>
    <t>24/8 oz lime juice</t>
  </si>
  <si>
    <t>2.78</t>
  </si>
  <si>
    <t>36/3.5 oz tembleque</t>
  </si>
  <si>
    <t>7.73</t>
  </si>
  <si>
    <t xml:space="preserve"> 36/3.25 oz natilla</t>
  </si>
  <si>
    <t>36/2 oz flan</t>
  </si>
  <si>
    <t>13.52</t>
  </si>
  <si>
    <t>36/4 oz flan</t>
  </si>
  <si>
    <t>36/2.75 oz flan con caramel</t>
  </si>
  <si>
    <t>11.00</t>
  </si>
  <si>
    <t>36/5.5 oz flan with caramel</t>
  </si>
  <si>
    <t>FLOUR &amp; FLOUR MIXES</t>
  </si>
  <si>
    <t>GOYA COLOMBIAN FLOUR MIXES</t>
  </si>
  <si>
    <t>20/14.1 oz pan de bono</t>
  </si>
  <si>
    <t>60.50</t>
  </si>
  <si>
    <t>4.53</t>
  </si>
  <si>
    <t>20/14.11 oz bunuelos</t>
  </si>
  <si>
    <t>20/14.1 oz natilla</t>
  </si>
  <si>
    <t>3.62</t>
  </si>
  <si>
    <t>GOYA AGAVE &amp; HONEY</t>
  </si>
  <si>
    <t>24/16 oz pure honey</t>
  </si>
  <si>
    <t>169.50</t>
  </si>
  <si>
    <t>7.06</t>
  </si>
  <si>
    <t>9.39</t>
  </si>
  <si>
    <t>24/8 oz elotitos tiernos en vinagre</t>
  </si>
  <si>
    <t>6.98</t>
  </si>
  <si>
    <t>24/8 oz pure honey</t>
  </si>
  <si>
    <t>88.50</t>
  </si>
  <si>
    <t>9.78</t>
  </si>
  <si>
    <t>24/5 oz pure honey</t>
  </si>
  <si>
    <t>12/11.6 oz Blue Agave - Organic</t>
  </si>
  <si>
    <t>24/8 oz pure honey with comb</t>
  </si>
  <si>
    <t>122.50</t>
  </si>
  <si>
    <t>5.10</t>
  </si>
  <si>
    <t>13.58</t>
  </si>
  <si>
    <t>6.79</t>
  </si>
  <si>
    <t>12/16 oz pure honey with comb</t>
  </si>
  <si>
    <t>114.35</t>
  </si>
  <si>
    <t>9.53</t>
  </si>
  <si>
    <t>12.69</t>
  </si>
  <si>
    <t>24/16 oz fraccionada</t>
  </si>
  <si>
    <t xml:space="preserve"> 12/8 oz. Goya Red Enchilada Sauce</t>
  </si>
  <si>
    <t>12/28 oz. Goya Red Enchilada Sauce</t>
  </si>
  <si>
    <t>GOYA FLAVORED BOUILLON</t>
  </si>
  <si>
    <t>24/2.28 oz powdered vegetable</t>
  </si>
  <si>
    <t>28.65</t>
  </si>
  <si>
    <t>24/2.82 oz chicken reduced sodium</t>
  </si>
  <si>
    <t>9.36</t>
  </si>
  <si>
    <t>24/2.82 oz beef reduced sodium</t>
  </si>
  <si>
    <t>24/2.82 oz chicken</t>
  </si>
  <si>
    <t>25.45</t>
  </si>
  <si>
    <t>1.06</t>
  </si>
  <si>
    <t>24/2.82 oz consomme de pollo</t>
  </si>
  <si>
    <t>24/2.82 oz powdered beef</t>
  </si>
  <si>
    <t>24/2.25 oz powdered chicken &amp; tomato</t>
  </si>
  <si>
    <t>10.60</t>
  </si>
  <si>
    <t>72/20 ct/7.05 oz powdered chicken flavored shipper</t>
  </si>
  <si>
    <t>159.95</t>
  </si>
  <si>
    <t>7.24</t>
  </si>
  <si>
    <t>CONDIMENTS AND SEASONINGS</t>
  </si>
  <si>
    <t>72/20 ct/7.05 oz Powdered Chicken Flavored Shipper</t>
  </si>
  <si>
    <t>18/7.05 oz powdered chicken</t>
  </si>
  <si>
    <t>FAJITA SEASONING</t>
  </si>
  <si>
    <t>24/6 oz fajita seasoning</t>
  </si>
  <si>
    <t>8.77</t>
  </si>
  <si>
    <t>24/6 oz fajita seasoning mesquite</t>
  </si>
  <si>
    <t>DELI</t>
  </si>
  <si>
    <t>GOYA CHORIZO</t>
  </si>
  <si>
    <t>16/7 oz 4 pk chorizo - pack 4 - El Mino</t>
  </si>
  <si>
    <t>70.95</t>
  </si>
  <si>
    <t>4.43</t>
  </si>
  <si>
    <t>14.38</t>
  </si>
  <si>
    <t>16/3.5 oz chorizo - pack 2 - El Mino</t>
  </si>
  <si>
    <t>15.04</t>
  </si>
  <si>
    <t>16/3.5 oz bag chorizos</t>
  </si>
  <si>
    <t>13.21</t>
  </si>
  <si>
    <t>16/7 oz 4 pk bag chorizos</t>
  </si>
  <si>
    <t>12.78</t>
  </si>
  <si>
    <t>16/3.5 oz chorizos-reduced sodium</t>
  </si>
  <si>
    <t>16/3.5 oz chorizo Picantes</t>
  </si>
  <si>
    <t>CANNED MEAT</t>
  </si>
  <si>
    <t>GOYA VIENNA SAUSAGES</t>
  </si>
  <si>
    <t>48/4.6 oz Vienna Sausage</t>
  </si>
  <si>
    <t>55.50</t>
  </si>
  <si>
    <t>5.53</t>
  </si>
  <si>
    <t>24/9 oz Vienna Sausage</t>
  </si>
  <si>
    <t>42.75</t>
  </si>
  <si>
    <t>4.25</t>
  </si>
  <si>
    <t>48/4.6 oz Vienna Sausage with Hot Sauce</t>
  </si>
  <si>
    <t>48/4.6 oz Chicken Vienna</t>
  </si>
  <si>
    <t>24/9 oz Chicken Vienna</t>
  </si>
  <si>
    <t>24/8 oz red volteados-doy pack</t>
  </si>
  <si>
    <t>18/14.1 oz black volteados-doy pack</t>
  </si>
  <si>
    <t>18/14.1 oz red volteados-doy pack</t>
  </si>
  <si>
    <t>GOYA SALAMI &amp; JAMONADA</t>
  </si>
  <si>
    <t>6/2.5 lb salchichon cervecero Colombiano - Higüeral</t>
  </si>
  <si>
    <t>14.49</t>
  </si>
  <si>
    <t>7.72</t>
  </si>
  <si>
    <t>19.29</t>
  </si>
  <si>
    <t>14/1 lb salchichon cervecero Colombiano - Higüeral</t>
  </si>
  <si>
    <t>82.95</t>
  </si>
  <si>
    <t>5.93</t>
  </si>
  <si>
    <t>6/2.5 lb mallita salami - Higüeral</t>
  </si>
  <si>
    <t>14/1 lb mallita salami - Higüeral</t>
  </si>
  <si>
    <t>14/1 lb black salami - Higüeral</t>
  </si>
  <si>
    <t>4.28</t>
  </si>
  <si>
    <t>6/2.5 lb black salami - Higüeral</t>
  </si>
  <si>
    <t>10.66</t>
  </si>
  <si>
    <t>5.68</t>
  </si>
  <si>
    <t>14.19</t>
  </si>
  <si>
    <t>7/2 lb 2 pack (Mallita &amp; Popular) - Higüeral</t>
  </si>
  <si>
    <t>6.65</t>
  </si>
  <si>
    <t>6/2.5 lb red salami salchichon - Higüeral</t>
  </si>
  <si>
    <t>85.95</t>
  </si>
  <si>
    <t>7.60</t>
  </si>
  <si>
    <t>14/1 lb red salami salchichon - Higüeral</t>
  </si>
  <si>
    <t>80.50</t>
  </si>
  <si>
    <t>11/24 oz jamonada - Higüeral</t>
  </si>
  <si>
    <t>6.53</t>
  </si>
  <si>
    <t>9.79</t>
  </si>
  <si>
    <t>GOYA CANNED MEAT</t>
  </si>
  <si>
    <t>12/16 oz Cooked Ham</t>
  </si>
  <si>
    <t>5.25</t>
  </si>
  <si>
    <t>12/8 oz dulce de mango</t>
  </si>
  <si>
    <t>6.58</t>
  </si>
  <si>
    <t>12/8 oz dulce de membrillo</t>
  </si>
  <si>
    <t>24/12 oz Corned Beef</t>
  </si>
  <si>
    <t>98.95</t>
  </si>
  <si>
    <t>12/8 oz dulce de leche</t>
  </si>
  <si>
    <t>12/35 oz red silk volteados-doy pack</t>
  </si>
  <si>
    <t>37.65</t>
  </si>
  <si>
    <t>3.14</t>
  </si>
  <si>
    <t>1.92</t>
  </si>
  <si>
    <t>12/40 oz black refried beans-doy pack</t>
  </si>
  <si>
    <t xml:space="preserve">24/12 oz Corned Beef - reduced sodium 25% </t>
  </si>
  <si>
    <t>12/8 oz dulce de guayaba</t>
  </si>
  <si>
    <t>12/8 oz napolitano</t>
  </si>
  <si>
    <t>24/8 oz salami salchichon</t>
  </si>
  <si>
    <t>10.98</t>
  </si>
  <si>
    <t>24/12 oz salami salchichon</t>
  </si>
  <si>
    <t>142.95</t>
  </si>
  <si>
    <t>10.65</t>
  </si>
  <si>
    <t>24/12 oz Luncheon Meat (Pork &amp; Chicken)</t>
  </si>
  <si>
    <t xml:space="preserve"> 48/3 oz Potted Meat (Chicken &amp; Pork) </t>
  </si>
  <si>
    <t>24/5.5 oz Potted Meat (Chicken &amp; Pork)</t>
  </si>
  <si>
    <t>5.21</t>
  </si>
  <si>
    <t>24/1 lb lard</t>
  </si>
  <si>
    <t>12/40 oz - lard</t>
  </si>
  <si>
    <t>80.95</t>
  </si>
  <si>
    <t>6.75</t>
  </si>
  <si>
    <t>3.60</t>
  </si>
  <si>
    <t>12/4 lb - lard</t>
  </si>
  <si>
    <t>127.95</t>
  </si>
  <si>
    <t>SEAFOOD</t>
  </si>
  <si>
    <t>GOYA SALAD WITH VEGETABLES</t>
  </si>
  <si>
    <t>10/5.29 oz Bonito &amp; Veg. salad -Ensalada Rusa</t>
  </si>
  <si>
    <t>17.50</t>
  </si>
  <si>
    <t>6.93</t>
  </si>
  <si>
    <t>10/5.29 oz Mediterranean Salad Bonito con vegetables</t>
  </si>
  <si>
    <t>10/5.29 oz California salad- bonito con vegetables</t>
  </si>
  <si>
    <t>GOYA CODFISH &amp; HERRING FILLETS</t>
  </si>
  <si>
    <t>20/1 lb salted Codfish</t>
  </si>
  <si>
    <t>141.95</t>
  </si>
  <si>
    <t>7.10</t>
  </si>
  <si>
    <t>9.49</t>
  </si>
  <si>
    <t>24/1 lb. boned salted Codfish</t>
  </si>
  <si>
    <t>321.50</t>
  </si>
  <si>
    <t>13.40</t>
  </si>
  <si>
    <t>17.89</t>
  </si>
  <si>
    <t>24/1 lb. boned salted Pollock</t>
  </si>
  <si>
    <t>20/1 lb boned salted Pollock fillets</t>
  </si>
  <si>
    <t>103.50</t>
  </si>
  <si>
    <t>5.18</t>
  </si>
  <si>
    <t>6.89</t>
  </si>
  <si>
    <t>12/12 oz smoked Herring fillets</t>
  </si>
  <si>
    <t>88.95</t>
  </si>
  <si>
    <t>7.41</t>
  </si>
  <si>
    <t>13.32</t>
  </si>
  <si>
    <t>12/28 oz refried black beans-doy pack</t>
  </si>
  <si>
    <t>12/34.8 oz red volteados</t>
  </si>
  <si>
    <t>12/28 oz rojo de seda volteados doy pack</t>
  </si>
  <si>
    <t>24/15 oz black volteados</t>
  </si>
  <si>
    <t>44.65</t>
  </si>
  <si>
    <t>24/15 oz red volteados</t>
  </si>
  <si>
    <t>24/15 oz black volteados with jalapeno</t>
  </si>
  <si>
    <t>18/14.1 oz rojo de seda volteados doy pack</t>
  </si>
  <si>
    <t>24/15 oz black beans with cheese</t>
  </si>
  <si>
    <t>24/15 oz red beans with chorizo flavor</t>
  </si>
  <si>
    <t>12/28 oz refried red beans-doy pack</t>
  </si>
  <si>
    <t>12/16.2 oz. black beans</t>
  </si>
  <si>
    <t>12/16.2 oz. red beans-doy pack</t>
  </si>
  <si>
    <t>6/19 oz. Goya vegan paella</t>
  </si>
  <si>
    <t>6/19 oz Goya black squid ink</t>
  </si>
  <si>
    <t>36.85</t>
  </si>
  <si>
    <t>6.14</t>
  </si>
  <si>
    <t>6.90</t>
  </si>
  <si>
    <t>EVAPORATED MILK - CONDENSED MILK</t>
  </si>
  <si>
    <t>12/15.9 oz condensed milk - squeeze bottle</t>
  </si>
  <si>
    <t>4.62</t>
  </si>
  <si>
    <t>SEAFOOD BOX CAN INSIDE</t>
  </si>
  <si>
    <t>25/4 oz jumbo squid in vegetable oil</t>
  </si>
  <si>
    <t>10.36</t>
  </si>
  <si>
    <t>25/4.25 oz sardines lemon</t>
  </si>
  <si>
    <t>10.13</t>
  </si>
  <si>
    <t>25/4.25 oz sardines olive oil</t>
  </si>
  <si>
    <t>12.01</t>
  </si>
  <si>
    <t>25/4.25 oz sardines spice</t>
  </si>
  <si>
    <t>25/4.25 oz sardines tomato sauce</t>
  </si>
  <si>
    <t>GOYA OVAL CAN SARDINES - TINAPAS</t>
  </si>
  <si>
    <t>24/15 oz oval sardine tomato sauce</t>
  </si>
  <si>
    <t xml:space="preserve">50/5.5 oz Tinapa sardines in tomato sauce </t>
  </si>
  <si>
    <t>24/15 oz oval sardine hot sauce</t>
  </si>
  <si>
    <t>50/5.5 oz Tinapa sardine in hot tomato sauce</t>
  </si>
  <si>
    <t>24/15 oz oval sardines in vegetable oil</t>
  </si>
  <si>
    <t>GOYA JACK MACKEREL</t>
  </si>
  <si>
    <t>24/15 oz in brine</t>
  </si>
  <si>
    <t>25/3.88 oz Goya angulas surimi</t>
  </si>
  <si>
    <t>74.95</t>
  </si>
  <si>
    <t>16.45</t>
  </si>
  <si>
    <t>25/4 oz bacalao vizcaina</t>
  </si>
  <si>
    <t>19.56</t>
  </si>
  <si>
    <t>GOYA GOURMET SEAFOOD</t>
  </si>
  <si>
    <t>12/4 oz white tuna in Olive oil - Gourmet</t>
  </si>
  <si>
    <t>12/4 oz white tuna in tomato sauce - Gourmet</t>
  </si>
  <si>
    <t>25/4.25 oz sardinilla</t>
  </si>
  <si>
    <t>12.39</t>
  </si>
  <si>
    <t>25/4 oz mejillones escabeche</t>
  </si>
  <si>
    <t>2.30</t>
  </si>
  <si>
    <t>11.96</t>
  </si>
  <si>
    <t>24/15 oz in tomato sauce</t>
  </si>
  <si>
    <t>25/4 oz calamares en su tinta</t>
  </si>
  <si>
    <t>7.96</t>
  </si>
  <si>
    <t>25/4 oz calamares filetes tinta</t>
  </si>
  <si>
    <t>2.64</t>
  </si>
  <si>
    <t>13.96</t>
  </si>
  <si>
    <t>25/4 oz calamares en tinta picante</t>
  </si>
  <si>
    <t>25/4 oz squid/octopus style olive oil</t>
  </si>
  <si>
    <t>14.36</t>
  </si>
  <si>
    <t>25/4 oz squid/octopus style marinera</t>
  </si>
  <si>
    <t>49.25</t>
  </si>
  <si>
    <t>25/4 oz squid/octopus style ajillo</t>
  </si>
  <si>
    <t>25/4 oz squid/octopus style picante</t>
  </si>
  <si>
    <t>12/4 oz Goya bonito in olive oil</t>
  </si>
  <si>
    <t>12/4 oz Goya bonito in tomato sauce</t>
  </si>
  <si>
    <t>GOYA TUNA</t>
  </si>
  <si>
    <t>24/4.94 oz Goya tuna/corn-atun/elote</t>
  </si>
  <si>
    <t>24/4.94 oz tuna/mx veg-atun/mx veg</t>
  </si>
  <si>
    <t>24/4.94 oz tuna/jalapeño-atun/jalapeño</t>
  </si>
  <si>
    <t>GOYA PINK SALMON</t>
  </si>
  <si>
    <t>12/14.75 oz Pink Salmon</t>
  </si>
  <si>
    <t>7.80</t>
  </si>
  <si>
    <t>72/4 oz Bonito Shipper</t>
  </si>
  <si>
    <t>167.50</t>
  </si>
  <si>
    <t>12.36</t>
  </si>
  <si>
    <t>25/4 oz octopus in Olive oil - Gourmet</t>
  </si>
  <si>
    <t>151.95</t>
  </si>
  <si>
    <t>31.96</t>
  </si>
  <si>
    <t>80/4 oz Squid/Octopus Olive Oil Shipper</t>
  </si>
  <si>
    <t>213.95</t>
  </si>
  <si>
    <t>2.67</t>
  </si>
  <si>
    <t>80/4 oz Squid/Octopus In Garlic Shipper</t>
  </si>
  <si>
    <t>157.50</t>
  </si>
  <si>
    <t>12/4 oz octopus in marinera sauce</t>
  </si>
  <si>
    <t>21.96</t>
  </si>
  <si>
    <t>12/4 oz octopus in garlic sauce</t>
  </si>
  <si>
    <t>GOYA TUNA SPREADS</t>
  </si>
  <si>
    <t>12/4 oz yellowfin w/vegetables</t>
  </si>
  <si>
    <t>18.76</t>
  </si>
  <si>
    <t>12/4 oz yellowfin galician sau hot</t>
  </si>
  <si>
    <t>17.96</t>
  </si>
  <si>
    <t>80/4 oz Jumbo Squid In Vegetable Oil Shipper</t>
  </si>
  <si>
    <t>177.50</t>
  </si>
  <si>
    <t>SWEET SPREAD</t>
  </si>
  <si>
    <t>12/15 oz dulce leche</t>
  </si>
  <si>
    <t>39.75</t>
  </si>
  <si>
    <t>4.68</t>
  </si>
  <si>
    <t>12/14 oz dulce leche squeeze</t>
  </si>
  <si>
    <t>5.02</t>
  </si>
  <si>
    <t>12/14 oz Goya condensed milk -easy open</t>
  </si>
  <si>
    <t>72/5.29 oz Bonito With Vegetables Salad - Shipper</t>
  </si>
  <si>
    <t>133.95</t>
  </si>
  <si>
    <t>24/14 oz Goya condensed milk</t>
  </si>
  <si>
    <t>3.87</t>
  </si>
  <si>
    <t>24/12 oz Goya evaporated milk</t>
  </si>
  <si>
    <t>3.32</t>
  </si>
  <si>
    <t>456/ Coquito quarter pallet</t>
  </si>
  <si>
    <t>24/14 oz nela condensed filled milk</t>
  </si>
  <si>
    <t>24/12 oz nela evaporated filled milk</t>
  </si>
  <si>
    <t>GOYA ADOBO WITH MEDITERRANEAN SEA SALT</t>
  </si>
  <si>
    <t>24/9 oz</t>
  </si>
  <si>
    <t>39.35</t>
  </si>
  <si>
    <t>SNACKS</t>
  </si>
  <si>
    <t>GOYA NACHO CHEESE SAUCE</t>
  </si>
  <si>
    <t>12/15 oz mild</t>
  </si>
  <si>
    <t>12/15 oz zesty</t>
  </si>
  <si>
    <t>GOYA SAZONADOR TOTAL</t>
  </si>
  <si>
    <t>12/18 oz Sazondor Total with Pepper</t>
  </si>
  <si>
    <t>CHOCOLATE</t>
  </si>
  <si>
    <t>12/5 oz molido lite pouch CORTES</t>
  </si>
  <si>
    <t>12.13</t>
  </si>
  <si>
    <t>24/0.2 oz Linden Flower</t>
  </si>
  <si>
    <t>239.20</t>
  </si>
  <si>
    <t>12/1.25 oz Ground Oregano</t>
  </si>
  <si>
    <t>66.43</t>
  </si>
  <si>
    <t>12/1.5 oz all spice</t>
  </si>
  <si>
    <t>50.03</t>
  </si>
  <si>
    <t>12/1.8 oz anise seed</t>
  </si>
  <si>
    <t>44.36</t>
  </si>
  <si>
    <t>12/1.2 oz whole cloves</t>
  </si>
  <si>
    <t>73.20</t>
  </si>
  <si>
    <t>12/1.8 oz whole black pepper</t>
  </si>
  <si>
    <t>48.80</t>
  </si>
  <si>
    <t>12/4.2 oz garlic salt</t>
  </si>
  <si>
    <t>19.77</t>
  </si>
  <si>
    <t>GOYA SALT</t>
  </si>
  <si>
    <t>12/23 oz kosher salt</t>
  </si>
  <si>
    <t>12/.75 oz star anise</t>
  </si>
  <si>
    <t>4.21</t>
  </si>
  <si>
    <t>127.79</t>
  </si>
  <si>
    <t>24/0.2 oz bay leaf</t>
  </si>
  <si>
    <t>46.50</t>
  </si>
  <si>
    <t>223.20</t>
  </si>
  <si>
    <t>24/1.2 oz cinnamon sticks</t>
  </si>
  <si>
    <t>51.87</t>
  </si>
  <si>
    <t>12/2.5 oz chili powder</t>
  </si>
  <si>
    <t>31.94</t>
  </si>
  <si>
    <t>12/1.76 oz Jamaican curry powder</t>
  </si>
  <si>
    <t>42.64</t>
  </si>
  <si>
    <t>12/1.5 oz cumin seed</t>
  </si>
  <si>
    <t>35.09</t>
  </si>
  <si>
    <t>24/1.8 oz ground cumin</t>
  </si>
  <si>
    <t>31.02</t>
  </si>
  <si>
    <t>24/2.6 oz garlic powder</t>
  </si>
  <si>
    <t>21.48</t>
  </si>
  <si>
    <t>12/2.1 oz ground cinnamon</t>
  </si>
  <si>
    <t>38.02</t>
  </si>
  <si>
    <t>24/2.5 oz onion powder</t>
  </si>
  <si>
    <t>25.54</t>
  </si>
  <si>
    <t>12/.40 oz camomile</t>
  </si>
  <si>
    <t>139.60</t>
  </si>
  <si>
    <t>12/1.2 oz crushed red pepper</t>
  </si>
  <si>
    <t>58.53</t>
  </si>
  <si>
    <t>12/2.17 oz paprika</t>
  </si>
  <si>
    <t>31.63</t>
  </si>
  <si>
    <t>24/1.8 oz ground black pepper</t>
  </si>
  <si>
    <t>26.58</t>
  </si>
  <si>
    <t>GOYA SAZON</t>
  </si>
  <si>
    <t>18/20 env/3.52 oz natural and complete</t>
  </si>
  <si>
    <t>44.55</t>
  </si>
  <si>
    <t>16.14</t>
  </si>
  <si>
    <t>72/3.52 oz Econo Display With Coriander &amp; Annatto</t>
  </si>
  <si>
    <t>176.85</t>
  </si>
  <si>
    <t>15.86</t>
  </si>
  <si>
    <t>33/36 env/6.33 oz with Coriander &amp; Annatto Shipper</t>
  </si>
  <si>
    <t>132.50</t>
  </si>
  <si>
    <t>4.02</t>
  </si>
  <si>
    <t>14.64</t>
  </si>
  <si>
    <t>18/20 env/3.52 oz with Garlic and Onion</t>
  </si>
  <si>
    <t>15/36 env/6.33 oz with Coriander &amp; Annatto</t>
  </si>
  <si>
    <t>60.80</t>
  </si>
  <si>
    <t>18/20 env/3.52 oz with Azafran</t>
  </si>
  <si>
    <t>18/20 env/3.52 oz without Annatto</t>
  </si>
  <si>
    <t>18/20 env/3.52 oz with Coriander &amp; Annatto</t>
  </si>
  <si>
    <t>24/12 env/2.11 oz without Annatto</t>
  </si>
  <si>
    <t>33.30</t>
  </si>
  <si>
    <t>15.01</t>
  </si>
  <si>
    <t>36/8 env/1.41 oz Coriander &amp; Annatto</t>
  </si>
  <si>
    <t>1.24</t>
  </si>
  <si>
    <t>20.31</t>
  </si>
  <si>
    <t>18/1.41 oz sazon cul/achiote</t>
  </si>
  <si>
    <t>22.65</t>
  </si>
  <si>
    <t>1.26</t>
  </si>
  <si>
    <t>36/8 env/1.41 oz with Azafran</t>
  </si>
  <si>
    <t>44.45</t>
  </si>
  <si>
    <t>19.86</t>
  </si>
  <si>
    <t>COOKING WINE</t>
  </si>
  <si>
    <t>12/25.4 oz golden cooking wine - La Vina</t>
  </si>
  <si>
    <t>36/8 env/1.41 oz cilantro &amp; tomato</t>
  </si>
  <si>
    <t>12/25.4 oz red cooking wine - La Vina</t>
  </si>
  <si>
    <t>12/25.4 oz white cooking wine - La Vina</t>
  </si>
  <si>
    <t>18/3.52 oz with Coriander &amp; Annatto - Low Sodium</t>
  </si>
  <si>
    <t>46.10</t>
  </si>
  <si>
    <t>16.77</t>
  </si>
  <si>
    <t>GOYA SEASONING MIX</t>
  </si>
  <si>
    <t>24/1.25 oz seasoning mix taco</t>
  </si>
  <si>
    <t>19.07</t>
  </si>
  <si>
    <t>24/1.25 oz seasoning mix picadillo</t>
  </si>
  <si>
    <t>24/1.25 oz seasoning mix fajita</t>
  </si>
  <si>
    <t>15/6.33 oz with Coriander &amp; Annatto - Low Sodium</t>
  </si>
  <si>
    <t>14.89</t>
  </si>
  <si>
    <t>12/23 oz low sodium</t>
  </si>
  <si>
    <t>12/11 oz Sazondor Total with Pepper</t>
  </si>
  <si>
    <t>6.82</t>
  </si>
  <si>
    <t>12/25.4 oz white cooking wine-Goya</t>
  </si>
  <si>
    <t>26.35</t>
  </si>
  <si>
    <t>2.20</t>
  </si>
  <si>
    <t>1.82</t>
  </si>
  <si>
    <t>12/25.4 oz red cooking wine-Goya</t>
  </si>
  <si>
    <t>24/1.5 oz oregano leaf</t>
  </si>
  <si>
    <t>12/.4 oz oregano leaf</t>
  </si>
  <si>
    <t>12/25.4 oz golden cooking wine-Goya</t>
  </si>
  <si>
    <t>24/8 oz garlic powder</t>
  </si>
  <si>
    <t>92.50</t>
  </si>
  <si>
    <t>24/5.5 oz ground cumin</t>
  </si>
  <si>
    <t>15.97</t>
  </si>
  <si>
    <t>24/6.75 oz onion powder</t>
  </si>
  <si>
    <t>84.50</t>
  </si>
  <si>
    <t>24/0.75 oz bay leaf</t>
  </si>
  <si>
    <t>57.39</t>
  </si>
  <si>
    <t>24/6 oz ground black pepper</t>
  </si>
  <si>
    <t>6.33</t>
  </si>
  <si>
    <t>23.97</t>
  </si>
  <si>
    <t xml:space="preserve">24/26 oz Iodized Salt </t>
  </si>
  <si>
    <t>GOYA ADOBO 8 OZ.</t>
  </si>
  <si>
    <t>24/8 oz seasoning with Lemon &amp; Pepper</t>
  </si>
  <si>
    <t>35.85</t>
  </si>
  <si>
    <t>3.98</t>
  </si>
  <si>
    <t>24/8 oz seasoning with Sour Orange</t>
  </si>
  <si>
    <t>24/8 oz seasoning hot</t>
  </si>
  <si>
    <t>24/8 oz seasoning with Cumin</t>
  </si>
  <si>
    <t>GOYA ADOBO 12 OZ.</t>
  </si>
  <si>
    <t>24/12 oz seasoning with Cumin</t>
  </si>
  <si>
    <t>GOYA ADOBO 16.5 OZ.</t>
  </si>
  <si>
    <t>24/16.5 oz Seasoning with Cumin</t>
  </si>
  <si>
    <t>24/12 oz seasoning without Pepper</t>
  </si>
  <si>
    <t>24/12 oz seasoning with Pepper</t>
  </si>
  <si>
    <t>GOYA ADOBO 5.5 OZ.</t>
  </si>
  <si>
    <t>12/5.5 oz without pepper</t>
  </si>
  <si>
    <t>17.75</t>
  </si>
  <si>
    <t>1.48</t>
  </si>
  <si>
    <t>12/5.5 oz with pepper</t>
  </si>
  <si>
    <t>24/16.5 oz seasoning with Pepper</t>
  </si>
  <si>
    <t>24/8 oz seasoning with pepper</t>
  </si>
  <si>
    <t>24/8 oz seasoning without pepper</t>
  </si>
  <si>
    <t>24/16.5 oz seasoning without Pepper</t>
  </si>
  <si>
    <t>12/2.6 oz annatto seeds</t>
  </si>
  <si>
    <t>24.55</t>
  </si>
  <si>
    <t>24/7 oz annatto seeds</t>
  </si>
  <si>
    <t>87.50</t>
  </si>
  <si>
    <t>24/16.5 oz seasoning with Sour Orange</t>
  </si>
  <si>
    <t>24/16.5 oz seasoning Lemon &amp; Pepper</t>
  </si>
  <si>
    <t>24/8 oz seasoning light with pepper</t>
  </si>
  <si>
    <t>36/8 env (1.41 oz each) ham flavored Concentrate</t>
  </si>
  <si>
    <t>39.65</t>
  </si>
  <si>
    <t>18.04</t>
  </si>
  <si>
    <t>18/3.52 oz ham concentrate - 20 pkts</t>
  </si>
  <si>
    <t>41.10</t>
  </si>
  <si>
    <t>14.77</t>
  </si>
  <si>
    <t>24/8 oz seasoning light without pepper</t>
  </si>
  <si>
    <t>24/8 env/1.41 oz salad &amp; vegetable seasoning</t>
  </si>
  <si>
    <t>27.75</t>
  </si>
  <si>
    <t>18.72</t>
  </si>
  <si>
    <t>18/20 env/3.52 oz salad &amp; vegetable seasoning</t>
  </si>
  <si>
    <t>GOYA ADOBO 28 OZ.</t>
  </si>
  <si>
    <t>12/28 oz with pepper</t>
  </si>
  <si>
    <t>12/28 oz without pepper</t>
  </si>
  <si>
    <t>12/28 oz con comino</t>
  </si>
  <si>
    <t>YERBA MATE - CRUZ DE MALTA</t>
  </si>
  <si>
    <t>6/35.2 oz Yerba Mate-Cruz de Malta</t>
  </si>
  <si>
    <t>6.42</t>
  </si>
  <si>
    <t>8.59</t>
  </si>
  <si>
    <t>10/17.6 oz Yerba Mate-Cruz de Malta</t>
  </si>
  <si>
    <t>4.72</t>
  </si>
  <si>
    <t>GOYA JAR/ HOT PICKLED PEPPERS</t>
  </si>
  <si>
    <t>12/6 oz hot pickled red peppers</t>
  </si>
  <si>
    <t>7.44</t>
  </si>
  <si>
    <t>12/6 oz hot pickled green peppers</t>
  </si>
  <si>
    <t>GOYA HOT SAUCE</t>
  </si>
  <si>
    <t>36/3 oz hot sauce</t>
  </si>
  <si>
    <t>24/8 oz seasoning con Azafran</t>
  </si>
  <si>
    <t>24/6 oz hot sauce</t>
  </si>
  <si>
    <t>3.97</t>
  </si>
  <si>
    <t>24/16.5 oz seasoning with Azafran</t>
  </si>
  <si>
    <t>4.74</t>
  </si>
  <si>
    <t>12/12 oz hot sauce</t>
  </si>
  <si>
    <t>25.35</t>
  </si>
  <si>
    <t>2.11</t>
  </si>
  <si>
    <t>3.72</t>
  </si>
  <si>
    <t>12/28 oz light with pepper</t>
  </si>
  <si>
    <t>59.50</t>
  </si>
  <si>
    <t>4.96</t>
  </si>
  <si>
    <t>3.77</t>
  </si>
  <si>
    <t>12/28 oz light without pepper</t>
  </si>
  <si>
    <t>16/20 oz ketchup</t>
  </si>
  <si>
    <t>1.84</t>
  </si>
  <si>
    <t>PASTA SAUCE</t>
  </si>
  <si>
    <t>12/25 oz pasta sauce traditional</t>
  </si>
  <si>
    <t>36/1.41 oz ham &amp; pumpkin concentrate</t>
  </si>
  <si>
    <t>40.75</t>
  </si>
  <si>
    <t>12/16 oz mayonnaise</t>
  </si>
  <si>
    <t>12/30 oz mayonnaise</t>
  </si>
  <si>
    <t>5.41</t>
  </si>
  <si>
    <t>3.83</t>
  </si>
  <si>
    <t>12/16 oz mayonnaise w/lime</t>
  </si>
  <si>
    <t>12/30 oz mayonnaise w/lime</t>
  </si>
  <si>
    <t>12/16 oz mayoketchup</t>
  </si>
  <si>
    <t>12/28 oz con limon</t>
  </si>
  <si>
    <t>36/8 env (1.41 oz each) ham concentrate - reduced sodium</t>
  </si>
  <si>
    <t>CRACKERS &amp; BREAD</t>
  </si>
  <si>
    <t>GOYA CRACKER MEAL &amp; BREAD CRUMBS</t>
  </si>
  <si>
    <t>12/15 oz bread crumbs with sazonador total</t>
  </si>
  <si>
    <t>3.40</t>
  </si>
  <si>
    <t>12/28 oz con naranja agria</t>
  </si>
  <si>
    <t>12/25 oz garlic/sauce</t>
  </si>
  <si>
    <t>12/25 oz marinara</t>
  </si>
  <si>
    <t>12/25 oz meat sauce</t>
  </si>
  <si>
    <t>12/25 oz tomato &amp; basil</t>
  </si>
  <si>
    <t>6/30 oz Sazonador Total</t>
  </si>
  <si>
    <t>8.83</t>
  </si>
  <si>
    <t>11.79</t>
  </si>
  <si>
    <t>12/18 oz Sazonador Total</t>
  </si>
  <si>
    <t>12/11 oz Sazonador Total</t>
  </si>
  <si>
    <t>24/5.5 oz Sazonador Total</t>
  </si>
  <si>
    <t>24/5.5 oz Sazondor Total with Pepper</t>
  </si>
  <si>
    <t>GOYA ACHIOTINA-ANNATTO</t>
  </si>
  <si>
    <t>24/5 oz achiotina glass</t>
  </si>
  <si>
    <t>24/10.25 oz achiotina glass</t>
  </si>
  <si>
    <t>6.54</t>
  </si>
  <si>
    <t>12/23 oz sea salt</t>
  </si>
  <si>
    <t>2.01</t>
  </si>
  <si>
    <t>GOYA ADOBO 7.5 LB.</t>
  </si>
  <si>
    <t>4/120 oz con pimienta</t>
  </si>
  <si>
    <t>16.63</t>
  </si>
  <si>
    <t>21.99</t>
  </si>
  <si>
    <t>4/7.5 lb sin pimienta</t>
  </si>
  <si>
    <t>24/8 oz seasoning with Coriander &amp; Anatto</t>
  </si>
  <si>
    <t>12/28 oz con culantro y achiote</t>
  </si>
  <si>
    <t>4.17</t>
  </si>
  <si>
    <t>GOYA GARLIC</t>
  </si>
  <si>
    <t>12/9.5 oz squeeze minced garlic</t>
  </si>
  <si>
    <t>58.75</t>
  </si>
  <si>
    <t>4.90</t>
  </si>
  <si>
    <t>10.93</t>
  </si>
  <si>
    <t xml:space="preserve"> 24/7 oz salsa chipotle - estilo casero </t>
  </si>
  <si>
    <t>GOYA TOMATOES</t>
  </si>
  <si>
    <t>24/14.5 oz diced tomatoes</t>
  </si>
  <si>
    <t>12/32 oz chopped</t>
  </si>
  <si>
    <t>4.75</t>
  </si>
  <si>
    <t>12/28 oz paste</t>
  </si>
  <si>
    <t>12/4.5 oz minced</t>
  </si>
  <si>
    <t>29.25</t>
  </si>
  <si>
    <t>11.70</t>
  </si>
  <si>
    <t>12/8 oz minced</t>
  </si>
  <si>
    <t>9.38</t>
  </si>
  <si>
    <t>12/32 oz minced</t>
  </si>
  <si>
    <t>5.83</t>
  </si>
  <si>
    <t>12/14.1 oz palmitos - whole can</t>
  </si>
  <si>
    <t>12/14.1 oz palmitos- salad cut</t>
  </si>
  <si>
    <t>12/28 oz whole peeled tomatoes</t>
  </si>
  <si>
    <t>GOYA ARTICHOKE</t>
  </si>
  <si>
    <t>12/6 oz artichoke hearts</t>
  </si>
  <si>
    <t>20.75</t>
  </si>
  <si>
    <t>24/14 oz artichoke hearts (can)</t>
  </si>
  <si>
    <t>4.56</t>
  </si>
  <si>
    <t>12/6.7 oz piquillo pimientos</t>
  </si>
  <si>
    <t>3.86</t>
  </si>
  <si>
    <t>48/7 oz fancy pimientos - tin</t>
  </si>
  <si>
    <t>12/28 oz whole crushed tomatoes</t>
  </si>
  <si>
    <t>24/14 oz fancy pimientos - tin</t>
  </si>
  <si>
    <t>12/12 oz roasted pimientos</t>
  </si>
  <si>
    <t>12/11.5 oz fancy pimientos - glass</t>
  </si>
  <si>
    <t>4.30</t>
  </si>
  <si>
    <t>24/6.5 oz fancy pimientos - glass</t>
  </si>
  <si>
    <t>24/4 oz whole pimiento - glass</t>
  </si>
  <si>
    <t>6.76</t>
  </si>
  <si>
    <t>24/4 oz sliced pimiento - glass</t>
  </si>
  <si>
    <t>24/16 oz apple cider vinegar</t>
  </si>
  <si>
    <t>1.08</t>
  </si>
  <si>
    <t>36/9.2 oz EMBAJADOR</t>
  </si>
  <si>
    <t>79.95</t>
  </si>
  <si>
    <t>5.20</t>
  </si>
  <si>
    <t>12/32 oz apple cider vinegar</t>
  </si>
  <si>
    <t>GOYA TOMATO SAUCE</t>
  </si>
  <si>
    <t xml:space="preserve">48/8 oz hot tomato sauce </t>
  </si>
  <si>
    <t xml:space="preserve">24/16 oz white vinegar </t>
  </si>
  <si>
    <t xml:space="preserve"> 48/8 oz tomato, cilantro, onion, garlic </t>
  </si>
  <si>
    <t xml:space="preserve">12/32 oz white vinegar </t>
  </si>
  <si>
    <t xml:space="preserve"> 4/128 oz white vinegar</t>
  </si>
  <si>
    <t>24/16 oz red wine vinegar</t>
  </si>
  <si>
    <t>GOYA PASTAS &amp; NOODLES</t>
  </si>
  <si>
    <t>20/7 oz bow</t>
  </si>
  <si>
    <t>6/8 oz foil-soda crackers</t>
  </si>
  <si>
    <t>13.75</t>
  </si>
  <si>
    <t>6.18</t>
  </si>
  <si>
    <t xml:space="preserve"> 48/8 oz low sodium </t>
  </si>
  <si>
    <t>2/169</t>
  </si>
  <si>
    <t>6/24 oz can-soda crackers</t>
  </si>
  <si>
    <t>12/17.63 oz lasagne</t>
  </si>
  <si>
    <t>20/16 oz rigatoni</t>
  </si>
  <si>
    <t>12/29 oz Spanish style</t>
  </si>
  <si>
    <t>20/7 oz bar GOYA</t>
  </si>
  <si>
    <t>11.18</t>
  </si>
  <si>
    <t>20/7 oz bar MENIER</t>
  </si>
  <si>
    <t>75.95</t>
  </si>
  <si>
    <t>11.41</t>
  </si>
  <si>
    <t>20/7 oz bar CORTES</t>
  </si>
  <si>
    <t>8.43</t>
  </si>
  <si>
    <t>20/16 oz cut ziti</t>
  </si>
  <si>
    <t>20/16 oz fusilli</t>
  </si>
  <si>
    <t>48/8 oz Spanish style</t>
  </si>
  <si>
    <t>20/16 oz penne rigate</t>
  </si>
  <si>
    <t>24/15 oz Spanish style</t>
  </si>
  <si>
    <t>20/16 oz elbows</t>
  </si>
  <si>
    <t>20/16 oz angel hair</t>
  </si>
  <si>
    <t>GOYA TOMATO PASTE</t>
  </si>
  <si>
    <t>24/18 oz tomato paste</t>
  </si>
  <si>
    <t>2.84</t>
  </si>
  <si>
    <t xml:space="preserve"> 48/6 oz tomato paste</t>
  </si>
  <si>
    <t>12/28 oz tomato paste - Dominican style</t>
  </si>
  <si>
    <t>24/6 oz fidelini</t>
  </si>
  <si>
    <t xml:space="preserve"> 20/7 oz angel hair </t>
  </si>
  <si>
    <t>12/12 oz fidelini</t>
  </si>
  <si>
    <t>24.85</t>
  </si>
  <si>
    <t xml:space="preserve">20/7 oz fidelini </t>
  </si>
  <si>
    <t>12/12 oz angel hair</t>
  </si>
  <si>
    <t>24/6 oz angel hair</t>
  </si>
  <si>
    <t xml:space="preserve">20/7 oz alphabet </t>
  </si>
  <si>
    <t xml:space="preserve"> 20/7 oz melon seed</t>
  </si>
  <si>
    <t xml:space="preserve">20/7 oz small elbow </t>
  </si>
  <si>
    <t xml:space="preserve"> 20/7 oz spaghetti </t>
  </si>
  <si>
    <t xml:space="preserve"> 20/7 oz stars </t>
  </si>
  <si>
    <t>20/7 oz shells</t>
  </si>
  <si>
    <t>12/12 oz thick fidelini</t>
  </si>
  <si>
    <t>MALTA</t>
  </si>
  <si>
    <t>24/ 4/6 pk Goya</t>
  </si>
  <si>
    <t xml:space="preserve">24/12 oz loose - Goya </t>
  </si>
  <si>
    <t>2/2.19</t>
  </si>
  <si>
    <t>GOYA SODA 12 OZ.</t>
  </si>
  <si>
    <t xml:space="preserve"> 24/ pineapple</t>
  </si>
  <si>
    <t xml:space="preserve"> 24/ tamarind </t>
  </si>
  <si>
    <t>COOKING BASES &amp; SAUCES</t>
  </si>
  <si>
    <t xml:space="preserve"> 1728/8 oz Tomato Sauce Euro Pallet</t>
  </si>
  <si>
    <t>2/1.69</t>
  </si>
  <si>
    <t>6/21 oz Goya soda crackers plastic container</t>
  </si>
  <si>
    <t>6.32</t>
  </si>
  <si>
    <t xml:space="preserve">24/ fruit punch </t>
  </si>
  <si>
    <t>24/ cola champagne</t>
  </si>
  <si>
    <t>24/ coconut</t>
  </si>
  <si>
    <t>GOYA GINGER BEER</t>
  </si>
  <si>
    <t xml:space="preserve"> 24/12 oz ginger beer </t>
  </si>
  <si>
    <t>6/4 pk/7 oz Jamaican ginger beer</t>
  </si>
  <si>
    <t xml:space="preserve">24/ strawberry </t>
  </si>
  <si>
    <t>24 6/7 oz pk Goya</t>
  </si>
  <si>
    <t>4/7 oz 4/10 pk Goya</t>
  </si>
  <si>
    <t>5.74</t>
  </si>
  <si>
    <t>24/12 oz Malta Goya Light</t>
  </si>
  <si>
    <t>72/4.38 oz Malta 10pk - quarter pallet</t>
  </si>
  <si>
    <t>413.00</t>
  </si>
  <si>
    <t>17.35</t>
  </si>
  <si>
    <t>24/12 oz Extracto de Malta Alemana - Morena</t>
  </si>
  <si>
    <t xml:space="preserve">24/ grape </t>
  </si>
  <si>
    <t>24/12 oz 2/12 pk</t>
  </si>
  <si>
    <t>10.48</t>
  </si>
  <si>
    <t>13.99</t>
  </si>
  <si>
    <t>4/6pk/7 oz Malta Clásica Cane</t>
  </si>
  <si>
    <t>4.38</t>
  </si>
  <si>
    <t>4/6pk/12 oz Malta Clásica Cane</t>
  </si>
  <si>
    <t xml:space="preserve"> 24/12 oz Malta Goya Clásica</t>
  </si>
  <si>
    <t>SODAS 12 OZ. / 2 LITER</t>
  </si>
  <si>
    <t>4/6pk/12 oz - Tropicola</t>
  </si>
  <si>
    <t xml:space="preserve"> 4/6pk/12 oz - Tropicoco </t>
  </si>
  <si>
    <t xml:space="preserve"> 8/2 liter cola champagne - Goya </t>
  </si>
  <si>
    <t xml:space="preserve"> 8/2 liter tropicola - Goya </t>
  </si>
  <si>
    <t xml:space="preserve"> 8/2 liter coconut soda - Goya</t>
  </si>
  <si>
    <t xml:space="preserve"> 8/2 liter strawberry - Goya</t>
  </si>
  <si>
    <t xml:space="preserve">8/2 liter ginger beer </t>
  </si>
  <si>
    <t>8/2 liter fruit punch - Goya</t>
  </si>
  <si>
    <t>8/2 liter pineapple soda - Goya</t>
  </si>
  <si>
    <t xml:space="preserve"> 24/ assorted 4 flavors </t>
  </si>
  <si>
    <t>12/16 oz mayo-ketchup w/sriracha</t>
  </si>
  <si>
    <t>GOYA NECTAR 6.76 OZ.</t>
  </si>
  <si>
    <t>4/8pk 100% apple juice</t>
  </si>
  <si>
    <t>10.95</t>
  </si>
  <si>
    <t>2.74</t>
  </si>
  <si>
    <t>1.09</t>
  </si>
  <si>
    <t>12/11 oz Sazondor Total with Meat Tenderizer</t>
  </si>
  <si>
    <t>GOYA FLORIDA WATER</t>
  </si>
  <si>
    <t>12/9 oz florida water</t>
  </si>
  <si>
    <t>5.32</t>
  </si>
  <si>
    <t>4/8pk guava</t>
  </si>
  <si>
    <t>4/8pk mango</t>
  </si>
  <si>
    <t>4/8pk passion fruit</t>
  </si>
  <si>
    <t>GOYA COLADORES - CLOTH STRAINERS - PACK</t>
  </si>
  <si>
    <t>12 pack coladores - cloth strainers</t>
  </si>
  <si>
    <t>39.84</t>
  </si>
  <si>
    <t>6/12.7 oz Goya white cooking wine</t>
  </si>
  <si>
    <t>6/12.7 oz Goya red cooking wine</t>
  </si>
  <si>
    <t>6/12.7 oz Goya golden cooking wine</t>
  </si>
  <si>
    <t>6/12.7 oz Goya sherry cooking wine</t>
  </si>
  <si>
    <t>6/12.7 oz Goya marsala cooking wine</t>
  </si>
  <si>
    <t>12/7.1 oz. Goya Aji Amarillo Paste Pouch</t>
  </si>
  <si>
    <t>6.06</t>
  </si>
  <si>
    <t>12/7.1 oz. Goya Aji Panca Paste In Pouch</t>
  </si>
  <si>
    <t>12/7.1 oz. Goya Rocoto Paste Pouch</t>
  </si>
  <si>
    <t>GOYA ALOE DRINKS</t>
  </si>
  <si>
    <t>12/16.9 oz original sugar free</t>
  </si>
  <si>
    <t>12/16.9 oz original organic</t>
  </si>
  <si>
    <t>GOYA CHICKPEA PUFFS</t>
  </si>
  <si>
    <t>6/4 oz chile limon</t>
  </si>
  <si>
    <t>15.45</t>
  </si>
  <si>
    <t>14.76</t>
  </si>
  <si>
    <t>6/4 oz elote mex corn</t>
  </si>
  <si>
    <t>6/4 oz churros</t>
  </si>
  <si>
    <t>12/1 oz chile limon</t>
  </si>
  <si>
    <t>12.95</t>
  </si>
  <si>
    <t>25.44</t>
  </si>
  <si>
    <t>12/50.8 oz original flavor</t>
  </si>
  <si>
    <t>36.75</t>
  </si>
  <si>
    <t>3.06</t>
  </si>
  <si>
    <t>12/50.8 oz with mango flavor</t>
  </si>
  <si>
    <t>12/16.9 oz original flavor</t>
  </si>
  <si>
    <t>12/16.9 oz with mango flavor</t>
  </si>
  <si>
    <t>12/16.9 oz with coconut flavor</t>
  </si>
  <si>
    <t>12/16.9 oz with pineapple flavor</t>
  </si>
  <si>
    <t>12/50.8 oz with pineapple flavor</t>
  </si>
  <si>
    <t>SPARKLING SPRING WATER</t>
  </si>
  <si>
    <t xml:space="preserve">4/6pk/12 oz original </t>
  </si>
  <si>
    <t>4/6pk/12 oz pink grapefruit</t>
  </si>
  <si>
    <t xml:space="preserve"> 4/6pk/12 oz mango </t>
  </si>
  <si>
    <t xml:space="preserve"> 4/6pk/12 oz guava </t>
  </si>
  <si>
    <t xml:space="preserve">4/6pk/12 oz passion fruit </t>
  </si>
  <si>
    <t>12/1 oz elote mex corn</t>
  </si>
  <si>
    <t>12/1 oz puffs churros</t>
  </si>
  <si>
    <t>20/16 oz rotini</t>
  </si>
  <si>
    <t>20/16 oz linguine</t>
  </si>
  <si>
    <t>20/7 oz sign language pasta</t>
  </si>
  <si>
    <t>3.18</t>
  </si>
  <si>
    <t>20/7 oz rotini</t>
  </si>
  <si>
    <t xml:space="preserve">20/7 oz penne rigate </t>
  </si>
  <si>
    <t>20/7 oz rigatoni</t>
  </si>
  <si>
    <t xml:space="preserve"> 20/7 oz sombrero pasta </t>
  </si>
  <si>
    <t>12/40 oz refried red beans-doy pack</t>
  </si>
  <si>
    <t>DAIRY</t>
  </si>
  <si>
    <t>GOYA CHEESE</t>
  </si>
  <si>
    <t>8/10 oz Goya queso fresco</t>
  </si>
  <si>
    <t>8.94</t>
  </si>
  <si>
    <t>6/8 oz Goya queso quesadilla</t>
  </si>
  <si>
    <t>10.78</t>
  </si>
  <si>
    <t>8/10 oz Goya queso de freir</t>
  </si>
  <si>
    <t>3.81</t>
  </si>
  <si>
    <t>9.26</t>
  </si>
  <si>
    <t>8/10 oz Goya queso blanco</t>
  </si>
  <si>
    <t>12/9 oz Goya crackers</t>
  </si>
  <si>
    <t>6.20</t>
  </si>
  <si>
    <t xml:space="preserve">GOYA DESSERTS </t>
  </si>
  <si>
    <t>12/16 oz traditional rice pudding</t>
  </si>
  <si>
    <t>12/16 oz dulce de leche rice pudding</t>
  </si>
  <si>
    <t>12/15.9 oz Mexican chocolate pudding</t>
  </si>
  <si>
    <t>GOYA FLOUR</t>
  </si>
  <si>
    <t>12/16 oz almond</t>
  </si>
  <si>
    <t>89.95</t>
  </si>
  <si>
    <t>7.50</t>
  </si>
  <si>
    <t>12/16 oz organic coconut</t>
  </si>
  <si>
    <t>12/19 oz wheat</t>
  </si>
  <si>
    <t>12/16 oz chick peas</t>
  </si>
  <si>
    <t>12/26 oz rice</t>
  </si>
  <si>
    <t>GOYA CHIPS</t>
  </si>
  <si>
    <t>6/1 oz pineapple chips</t>
  </si>
  <si>
    <t>12.50</t>
  </si>
  <si>
    <t>47.84</t>
  </si>
  <si>
    <t>6/1 oz mango chips</t>
  </si>
  <si>
    <t>6/1 oz coconut chips</t>
  </si>
  <si>
    <t>6/1 oz beet chips</t>
  </si>
  <si>
    <t>GOYA ROOT CHIPS</t>
  </si>
  <si>
    <t>6/6 oz exotic blend</t>
  </si>
  <si>
    <t>15.50</t>
  </si>
  <si>
    <t>9.31</t>
  </si>
  <si>
    <t>6/6 oz tropical taro</t>
  </si>
  <si>
    <t>6/6 oz sweet potato</t>
  </si>
  <si>
    <t>GOYA WAFERS</t>
  </si>
  <si>
    <t xml:space="preserve">6/12 pk/1.76 oz chocolate wafers </t>
  </si>
  <si>
    <t xml:space="preserve"> 6/12 pk/1.76 oz vanilla wafers</t>
  </si>
  <si>
    <t xml:space="preserve">6/12 pk/1.76 oz strawberry wafers </t>
  </si>
  <si>
    <t xml:space="preserve">20/6.53 oz marianitas cookies - orange </t>
  </si>
  <si>
    <t xml:space="preserve">20/6.53 oz marianitas cookies - vanilla </t>
  </si>
  <si>
    <t xml:space="preserve">20/6.53 oz marianitas cookie - chocolate </t>
  </si>
  <si>
    <t>GOYA OREJITAS</t>
  </si>
  <si>
    <t>12/7.05 oz Goya Orejitas Butterfly Pastry</t>
  </si>
  <si>
    <t>GOYA MULTIGRAIN TORTILLA CHIPS</t>
  </si>
  <si>
    <t>6/10 oz white corn tortilla chips</t>
  </si>
  <si>
    <t>COOKIES, CRACKERS &amp; BREAD</t>
  </si>
  <si>
    <t xml:space="preserve"> 90/5.1 oz Golden Maria Sandwich Shipper</t>
  </si>
  <si>
    <t>GOYA PLANTAIN BITS</t>
  </si>
  <si>
    <t>7.65</t>
  </si>
  <si>
    <t>GOYA PLANTAIN CHIPS</t>
  </si>
  <si>
    <t>12/5 oz plantain chips hot &amp; spicy</t>
  </si>
  <si>
    <t>9.57</t>
  </si>
  <si>
    <t>12/5 oz plantain chips lime flavor</t>
  </si>
  <si>
    <t>GOYA TOSTONES</t>
  </si>
  <si>
    <t>24/2 oz tostones chips</t>
  </si>
  <si>
    <t>11.12</t>
  </si>
  <si>
    <t>24/2 oz tostones chip with garlic</t>
  </si>
  <si>
    <t>GOYA TOAST</t>
  </si>
  <si>
    <t>24/5 oz Goya Toast Original</t>
  </si>
  <si>
    <t>4.77</t>
  </si>
  <si>
    <t>GOYA MARIA COOKIES</t>
  </si>
  <si>
    <t xml:space="preserve">24/5.1 oz Golden Maria sandwich cookies w/h Chocolate Cream </t>
  </si>
  <si>
    <t>24/5 oz Goya Toast Low Fat</t>
  </si>
  <si>
    <t>24/5 oz Goya Toast Multigrain</t>
  </si>
  <si>
    <t>24/5 oz Goya Toast Wheat Bran</t>
  </si>
  <si>
    <t>GOYA YUCA CHIPS</t>
  </si>
  <si>
    <t>12/4 oz yuca chips garlic</t>
  </si>
  <si>
    <t>11.56</t>
  </si>
  <si>
    <t>54/5 oz Plantain Chips Shipper</t>
  </si>
  <si>
    <t>112.95</t>
  </si>
  <si>
    <t>9.25</t>
  </si>
  <si>
    <t xml:space="preserve">24/5.1 oz golden Maria sandwich vanilla </t>
  </si>
  <si>
    <t>12/4 oz sweet plantain chips</t>
  </si>
  <si>
    <t>GOYA CHICHARRONES</t>
  </si>
  <si>
    <t>24/1.75 oz pork cracklin</t>
  </si>
  <si>
    <t>16.37</t>
  </si>
  <si>
    <t>12/4.75 oz pork cracklin</t>
  </si>
  <si>
    <t>12/6 oz corn &amp; black bean chips</t>
  </si>
  <si>
    <t>20/2 oz plantain chips hot &amp; spicy</t>
  </si>
  <si>
    <t>1.20</t>
  </si>
  <si>
    <t>12.72</t>
  </si>
  <si>
    <t>12/3 oz barbecue chicharrones</t>
  </si>
  <si>
    <t>11.15</t>
  </si>
  <si>
    <t>12/6 oz corn &amp; black bean bbq chips</t>
  </si>
  <si>
    <t>10/10 oz plantain chips</t>
  </si>
  <si>
    <t>8.30</t>
  </si>
  <si>
    <t>12/5 oz plantain chips</t>
  </si>
  <si>
    <t>20/2 oz plantain chips</t>
  </si>
  <si>
    <t>12/5 oz no salt plantain chips</t>
  </si>
  <si>
    <t>12/5 oz garlic plantain chips</t>
  </si>
  <si>
    <t>12/3.5 oz plantain strips</t>
  </si>
  <si>
    <t>11.84</t>
  </si>
  <si>
    <t>12/3 oz pork rinds chicharrones</t>
  </si>
  <si>
    <t>12/3 oz chicharrones hot &amp; spicy</t>
  </si>
  <si>
    <t>12/4 oz yuca chips</t>
  </si>
  <si>
    <t>10.76</t>
  </si>
  <si>
    <t xml:space="preserve">32/3.5 oz Maria cookies </t>
  </si>
  <si>
    <t xml:space="preserve">16/7 oz Maria cookies roll </t>
  </si>
  <si>
    <t>6/28 oz Maria crackers family pack</t>
  </si>
  <si>
    <t>2.51</t>
  </si>
  <si>
    <t>GOYA LADY FINGERS &amp; PALMERITAS</t>
  </si>
  <si>
    <t xml:space="preserve"> 16/5.82 oz Palmeritas</t>
  </si>
  <si>
    <t>12/10.5 oz boxed crackers</t>
  </si>
  <si>
    <t xml:space="preserve"> 480/7 oz Maria quarter pallet </t>
  </si>
  <si>
    <t>10/21.16 oz 3 pack (flow pack)</t>
  </si>
  <si>
    <t>12/4.9 oz multigrain tortilla chips</t>
  </si>
  <si>
    <t>9.76</t>
  </si>
  <si>
    <t>GOYA CASSAVA BREAD</t>
  </si>
  <si>
    <t>10/11 oz cassava bread - Dominican style</t>
  </si>
  <si>
    <t>7.26</t>
  </si>
  <si>
    <t>12/7 oz Lady fingers</t>
  </si>
  <si>
    <t>14/8 oz cassava bread - Dominican style</t>
  </si>
  <si>
    <t>7.18</t>
  </si>
  <si>
    <t>32/3 oz Palmeritas 15.95</t>
  </si>
  <si>
    <t>32/3.5 oz chocolate</t>
  </si>
  <si>
    <t>16/7 oz chocolate</t>
  </si>
  <si>
    <t>10/12.35 oz Goya mini-maria cookies</t>
  </si>
  <si>
    <t>1.90</t>
  </si>
  <si>
    <t xml:space="preserve"> 64/7 oz Maria cookies shipper</t>
  </si>
  <si>
    <t xml:space="preserve"> 24/4.9 oz vanilla-strawberry Duplex </t>
  </si>
  <si>
    <t>24/4.9 oz chocolate-vanilla Duplex</t>
  </si>
  <si>
    <t xml:space="preserve"> 24/4.9 oz strawberry-chocolate Duplex </t>
  </si>
  <si>
    <t>16/7 oz sugar free cookies</t>
  </si>
  <si>
    <t>GOYA MASAREPA CORN MEAL</t>
  </si>
  <si>
    <t>4/5 lb white - standup pouch</t>
  </si>
  <si>
    <t>4.24</t>
  </si>
  <si>
    <t>12/17.6 oz white masarepa</t>
  </si>
  <si>
    <t>4/5 lb yellow - standup pouch</t>
  </si>
  <si>
    <t xml:space="preserve">24/4.94 oz pineapple wafers </t>
  </si>
  <si>
    <t xml:space="preserve">24/4.94 oz coconut wafers </t>
  </si>
  <si>
    <t xml:space="preserve">24/4.94 oz chocolate wafer </t>
  </si>
  <si>
    <t>TRES ESTRELLAS FLOUR</t>
  </si>
  <si>
    <t>12/17.6 oz pancake flour</t>
  </si>
  <si>
    <t>24/4.94 oz dulce de leche wafers</t>
  </si>
  <si>
    <t>24/4.94 oz guava wafers</t>
  </si>
  <si>
    <t xml:space="preserve">24/4.94 oz strawberry wafers </t>
  </si>
  <si>
    <t xml:space="preserve">24/4.94 oz mango wafers </t>
  </si>
  <si>
    <t xml:space="preserve">24/4.94 oz vanilla wafers </t>
  </si>
  <si>
    <t>12/32 oz natural turbinado sugar</t>
  </si>
  <si>
    <t>6/64 oz natural turbinado sugar</t>
  </si>
  <si>
    <t>96/28.2 oz Goya 4-pk Maria cookie - quarter pallet</t>
  </si>
  <si>
    <t>299.95</t>
  </si>
  <si>
    <t>3.12</t>
  </si>
  <si>
    <t>12/24 oz</t>
  </si>
  <si>
    <t>CEREAL &amp; OATS</t>
  </si>
  <si>
    <t>GOYA OATS</t>
  </si>
  <si>
    <t>6/32 oz Instant Oats</t>
  </si>
  <si>
    <t>12/12 oz Instant Oats</t>
  </si>
  <si>
    <t>GOYA CORN MEAL</t>
  </si>
  <si>
    <t>12/24 oz fine yellow corn meal-organic</t>
  </si>
  <si>
    <t>12/24 ozcourse yellow corn meal-organic</t>
  </si>
  <si>
    <t>GOYA DRY ORGANIC QUINOA, CHIA &amp; AMARANTH 12 OZ</t>
  </si>
  <si>
    <t>12/12 oz organic quinoa, white</t>
  </si>
  <si>
    <t>GOYA DRY PERUVIAN CORN</t>
  </si>
  <si>
    <t>12/15 oz maiz morado</t>
  </si>
  <si>
    <t>GOYA DRY PERUVIAN QUINOA SEEDS, BAGGED 12 OZ</t>
  </si>
  <si>
    <t>24/12 oz semilla de quinoa</t>
  </si>
  <si>
    <t>10/35.2 oz harina amarilla - standup pouch</t>
  </si>
  <si>
    <t>10/35.2 oz harina blanca - standup pouch</t>
  </si>
  <si>
    <t>6/5 lb blanca - pillow</t>
  </si>
  <si>
    <t>6/5 lb amarilla - pillow</t>
  </si>
  <si>
    <t>12/24 oz blanca</t>
  </si>
  <si>
    <t>12/24 oz yellow</t>
  </si>
  <si>
    <t>GOYA WHEAT FLOUR &amp; BULGUR WHEAT</t>
  </si>
  <si>
    <t>12/24 oz bulgur wheat-kiepe fine</t>
  </si>
  <si>
    <t>12/24 oz bulgur wheat-kiepe</t>
  </si>
  <si>
    <t>MASARICA</t>
  </si>
  <si>
    <t xml:space="preserve"> 10/4 lbs masarica</t>
  </si>
  <si>
    <t>4/5 lb fine yellow corn meal</t>
  </si>
  <si>
    <t>18.35</t>
  </si>
  <si>
    <t>4/5 lb coarse yellow corn meal</t>
  </si>
  <si>
    <t>GOYA MANIOC FLOUR - RICE FLOUR &amp; TAPIOCA STARCH</t>
  </si>
  <si>
    <t>4/5 lb rice flour</t>
  </si>
  <si>
    <t>GOYA BACALAITOS - AITOS</t>
  </si>
  <si>
    <t>24/4.5 oz Aitos shrimp &amp; cod fritter mix</t>
  </si>
  <si>
    <t>7.08</t>
  </si>
  <si>
    <t>12/24 oz Manioc flour - farinha de mandioca - Brazilian style</t>
  </si>
  <si>
    <t>4.26</t>
  </si>
  <si>
    <t>12/24 oz Tapioca starch - yuca harina - Polvilho Doce</t>
  </si>
  <si>
    <t>72/4.5 oz Bacalaitos Display</t>
  </si>
  <si>
    <t>99.95</t>
  </si>
  <si>
    <t>6.72</t>
  </si>
  <si>
    <t>24/4.5 oz bacalaitos</t>
  </si>
  <si>
    <t>12/24 oz coarse yellow corn meal</t>
  </si>
  <si>
    <t>12/24 oz fine yellow corn meal</t>
  </si>
  <si>
    <t>24/12 oz fine yellow corn meal</t>
  </si>
  <si>
    <t xml:space="preserve"> 24/12 oz coarse yellow corn meal </t>
  </si>
  <si>
    <t xml:space="preserve"> 24/12 oz trigo (wheat) 17.95 (.75) 1.32 (.99)</t>
  </si>
  <si>
    <t>12/24 oz wheat flour</t>
  </si>
  <si>
    <t xml:space="preserve"> 24/12 oz rice flour </t>
  </si>
  <si>
    <t>12/24 oz rice flour</t>
  </si>
  <si>
    <t>12/24 oz extra fine yellow corn meal</t>
  </si>
  <si>
    <t>12/17.6 oz rice flour</t>
  </si>
  <si>
    <t>12/17.6 oz churro flour</t>
  </si>
  <si>
    <t>12/12 oz Chocolate Drink Mix Cortes Instantaneo</t>
  </si>
  <si>
    <t>5.54</t>
  </si>
  <si>
    <t>9.85</t>
  </si>
  <si>
    <t>7.39</t>
  </si>
  <si>
    <t>TRES ESTRELLAS ATOLE</t>
  </si>
  <si>
    <t xml:space="preserve"> 12/1.52 oz estrellas atole fresa</t>
  </si>
  <si>
    <t xml:space="preserve">12/1.52 oz estrella atole vainilla 3.95 </t>
  </si>
  <si>
    <t xml:space="preserve">12/1.52 oz estrella atole chocolate </t>
  </si>
  <si>
    <t>12/24 oz corn meal - Mais Moulin</t>
  </si>
  <si>
    <t>20/7 oz con canela CORTES</t>
  </si>
  <si>
    <t>13.01</t>
  </si>
  <si>
    <t>12/10 oz molido lite pouch CORTES</t>
  </si>
  <si>
    <t>5.16</t>
  </si>
  <si>
    <t>11.02</t>
  </si>
  <si>
    <t>12/12 oz molido pouch CORTES</t>
  </si>
  <si>
    <t>10.92</t>
  </si>
  <si>
    <t>12/6 oz molido pouch CORTES</t>
  </si>
  <si>
    <t>11.17</t>
  </si>
  <si>
    <t>20/7 oz sugar free CORTES</t>
  </si>
  <si>
    <t>4.00</t>
  </si>
  <si>
    <t>12.09</t>
  </si>
  <si>
    <t>12/3.5 oz. Incaparina Multicereal Chocolate</t>
  </si>
  <si>
    <t>4.61</t>
  </si>
  <si>
    <t>12/3.5 oz. Incaparina Multicereal Vanilla</t>
  </si>
  <si>
    <t xml:space="preserve">96/4.94 oz Vanilla-Choco - Shipper </t>
  </si>
  <si>
    <t xml:space="preserve">96/4.94 oz Strawberry-Dulce Leche - Shipper </t>
  </si>
  <si>
    <t>12/3.5 oz. Incaparina Multicereal Manzana</t>
  </si>
  <si>
    <t>12/7.2 oz Incaparina Multi Grain Cereal</t>
  </si>
  <si>
    <t>12/15.9 oz. Incaparina</t>
  </si>
  <si>
    <t>21.25</t>
  </si>
  <si>
    <t>NATURA’S NECTAR</t>
  </si>
  <si>
    <t xml:space="preserve">24/11.16 oz guava nectar </t>
  </si>
  <si>
    <t xml:space="preserve"> 24/11.16 oz mango nectar</t>
  </si>
  <si>
    <t xml:space="preserve"> 24/11.16 oz apple nectar</t>
  </si>
  <si>
    <t xml:space="preserve"> 24/11.16 oz peach nectar</t>
  </si>
  <si>
    <t>24/11.16 oz pear nectar</t>
  </si>
  <si>
    <t xml:space="preserve">24/11.16 oz pineapple nectar </t>
  </si>
  <si>
    <t>ALL PURPOSE FLOUR</t>
  </si>
  <si>
    <t>10/2 lb</t>
  </si>
  <si>
    <t>1/25 lb white corn masarepa</t>
  </si>
  <si>
    <t>24.99</t>
  </si>
  <si>
    <t>GOYA COFFEE</t>
  </si>
  <si>
    <t>18/8.8 oz Café Goya Decaf - brick</t>
  </si>
  <si>
    <t>12/10 oz Café Goya Decaf - can</t>
  </si>
  <si>
    <t>8.78</t>
  </si>
  <si>
    <t>18/8.8 oz Café Goya brick-pak</t>
  </si>
  <si>
    <t>6.16</t>
  </si>
  <si>
    <t>70/8.8 oz Café Goya Brick-Pak Display</t>
  </si>
  <si>
    <t>186.50</t>
  </si>
  <si>
    <t>12/10 oz Café Goya - can</t>
  </si>
  <si>
    <t>7.82</t>
  </si>
  <si>
    <t>NESCAFE INSTANT COFFEE</t>
  </si>
  <si>
    <t>12/1.7 oz Clasico - Nestle</t>
  </si>
  <si>
    <t>3.71</t>
  </si>
  <si>
    <t>46.96</t>
  </si>
  <si>
    <t>6/3.5 oz Clasico - Nestle</t>
  </si>
  <si>
    <t>6/7.0 oz Clasico - Nestle</t>
  </si>
  <si>
    <t>33.81</t>
  </si>
  <si>
    <t>8/10.5 oz Clasico - Nestle</t>
  </si>
  <si>
    <t>118.95</t>
  </si>
  <si>
    <t>14.87</t>
  </si>
  <si>
    <t>30.16</t>
  </si>
  <si>
    <t>19.79</t>
  </si>
  <si>
    <t>6/7 oz Clasico Decaf - Nestle</t>
  </si>
  <si>
    <t>75.50</t>
  </si>
  <si>
    <t>12.58</t>
  </si>
  <si>
    <t>38.38</t>
  </si>
  <si>
    <t>16.79</t>
  </si>
  <si>
    <t>ABUELITA</t>
  </si>
  <si>
    <t>25/7.05 oz Abuelita Marqueta - Nestle</t>
  </si>
  <si>
    <t>10.64</t>
  </si>
  <si>
    <t>6/11.2 oz Abuelita Granulado - Nestle</t>
  </si>
  <si>
    <t>5.42</t>
  </si>
  <si>
    <t>10.27</t>
  </si>
  <si>
    <t>GOYA ORGANIC TEA</t>
  </si>
  <si>
    <t>12/1.32 oz lemon balm tea blend</t>
  </si>
  <si>
    <t>59.27</t>
  </si>
  <si>
    <t>12/.88 oz chamomile tea blend</t>
  </si>
  <si>
    <t>88.91</t>
  </si>
  <si>
    <t>12/1.32 oz green &amp; mint tea</t>
  </si>
  <si>
    <t>12/1.58 oz ginger tea blend</t>
  </si>
  <si>
    <t>49.52</t>
  </si>
  <si>
    <t>CAFÉ SANTO DOMINGO</t>
  </si>
  <si>
    <t>16/16 oz whole bean</t>
  </si>
  <si>
    <t>106.50</t>
  </si>
  <si>
    <t>12/10 oz decaf</t>
  </si>
  <si>
    <t>14.06</t>
  </si>
  <si>
    <t>12/1.76 oz mediterranean tea blend</t>
  </si>
  <si>
    <t>MAGGI SOUPS</t>
  </si>
  <si>
    <t xml:space="preserve">24/1.94 oz chicken noodle </t>
  </si>
  <si>
    <t xml:space="preserve">24/1.94 oz beef noodle </t>
  </si>
  <si>
    <t>24/1.94 oz chicken flavor rice</t>
  </si>
  <si>
    <t>12/3.03 oz caseras chicken with vegetable</t>
  </si>
  <si>
    <t>14.50</t>
  </si>
  <si>
    <t>8.40</t>
  </si>
  <si>
    <t xml:space="preserve">24/1.79 oz pollo con caracol </t>
  </si>
  <si>
    <t>12/3.03 oz caseras vegetable noodle</t>
  </si>
  <si>
    <t>12/1.32 oz tropical tea blend</t>
  </si>
  <si>
    <t>12/17.6 oz pre-cooked sweet corn meal mix</t>
  </si>
  <si>
    <t>8/20.28 oz pineapple nectar - 3pk</t>
  </si>
  <si>
    <t>9.95</t>
  </si>
  <si>
    <t>8/20.28 oz mango nectar - 3pk</t>
  </si>
  <si>
    <t>8/20.28 oz apple nectar - 3pk</t>
  </si>
  <si>
    <t>8/20.28 oz peach nectar - 3pk</t>
  </si>
  <si>
    <t xml:space="preserve">12/33.8 oz pineapple nectar </t>
  </si>
  <si>
    <t>16/16 oz soft pack</t>
  </si>
  <si>
    <t>12/10 oz can regular</t>
  </si>
  <si>
    <t>10.70</t>
  </si>
  <si>
    <t>20/10 oz brick regular</t>
  </si>
  <si>
    <t>7.66</t>
  </si>
  <si>
    <t>20/10 oz brick espresso</t>
  </si>
  <si>
    <t>62.35</t>
  </si>
  <si>
    <t>24/2.12 oz Sopa Criolla Gallina</t>
  </si>
  <si>
    <t xml:space="preserve">24/2.05 oz Sopa Criolla Costilla </t>
  </si>
  <si>
    <t>12/3.24 oz caseras chicken with vegetable</t>
  </si>
  <si>
    <t>7.85</t>
  </si>
  <si>
    <t>12/2.99 oz caseras vegetable noodle</t>
  </si>
  <si>
    <t xml:space="preserve">12/33.8 oz mango nectar </t>
  </si>
  <si>
    <t xml:space="preserve"> 12/33.8 oz apple nectar</t>
  </si>
  <si>
    <t>MAGGI FLAVORED BOUILLON</t>
  </si>
  <si>
    <t>24/2.82 oz vegetable cubes - 20 count</t>
  </si>
  <si>
    <t>12.43</t>
  </si>
  <si>
    <t>12/7.9 oz beef bouillon</t>
  </si>
  <si>
    <t>7.07</t>
  </si>
  <si>
    <t>12/33.8 oz peach nectar</t>
  </si>
  <si>
    <t xml:space="preserve">12/33.8 oz pear nectar </t>
  </si>
  <si>
    <t>NIDO POWDER MILK</t>
  </si>
  <si>
    <t>12/21.12 oz Nido 1+ kinder</t>
  </si>
  <si>
    <t>216.95</t>
  </si>
  <si>
    <t>18.08</t>
  </si>
  <si>
    <t>18.33</t>
  </si>
  <si>
    <t>24.19</t>
  </si>
  <si>
    <t>20/7 oz bar w/coffee CORTES</t>
  </si>
  <si>
    <t>10.72</t>
  </si>
  <si>
    <t>20/8 oz soft pack</t>
  </si>
  <si>
    <t>2.90</t>
  </si>
  <si>
    <t>7.78</t>
  </si>
  <si>
    <t>24/2.82 oz beef cubes - 20 count</t>
  </si>
  <si>
    <t>24/2.82 oz chicken cubes - 20 count</t>
  </si>
  <si>
    <t>48/2.32 oz beef cubes 2/24/6 tab</t>
  </si>
  <si>
    <t xml:space="preserve">48/2.43 oz chicken cubes - 2/24/6 tab </t>
  </si>
  <si>
    <t>24/4.86 oz chicken cubes - 12 tab</t>
  </si>
  <si>
    <t>24/2.11 oz chicken noodle</t>
  </si>
  <si>
    <t xml:space="preserve">24/2.11 oz chicken rice </t>
  </si>
  <si>
    <t xml:space="preserve"> 24/2.11 oz beef noodle </t>
  </si>
  <si>
    <t xml:space="preserve">24/2.11 oz pollo con caracol </t>
  </si>
  <si>
    <t>MAGGI FLAVORED GRANULATED BOUILLON</t>
  </si>
  <si>
    <t>12/3.5 oz chicken bouillon jar</t>
  </si>
  <si>
    <t>7.27</t>
  </si>
  <si>
    <t>12/7.9 oz chicken bouillon jar</t>
  </si>
  <si>
    <t>12/15.9 oz chicken bouillon jar</t>
  </si>
  <si>
    <t>5.22</t>
  </si>
  <si>
    <t>6/35.2 oz chicken granulated bag</t>
  </si>
  <si>
    <t>MAGGI SEASONING</t>
  </si>
  <si>
    <t>6/27 oz maggi seasoning</t>
  </si>
  <si>
    <t>24/3.38 oz seasoning sauce</t>
  </si>
  <si>
    <t>9.89</t>
  </si>
  <si>
    <t>LA LECHERA SWEETENED CONDENSED MILK</t>
  </si>
  <si>
    <t>12/11.8 oz La Lechera squeeze - Nestle</t>
  </si>
  <si>
    <t>9.07</t>
  </si>
  <si>
    <t>6/6/3.5 oz “La Lechera” mini - Nestle</t>
  </si>
  <si>
    <t>50.70</t>
  </si>
  <si>
    <t>24/14 oz “La Lechera” condensed milk - Nestle</t>
  </si>
  <si>
    <t>103.75</t>
  </si>
  <si>
    <t>6.62</t>
  </si>
  <si>
    <t>24/7.6 oz media crema/light cream - Nestle</t>
  </si>
  <si>
    <t>8.61</t>
  </si>
  <si>
    <t>24/13.4 oz “Dulce” leche - Nestle</t>
  </si>
  <si>
    <t>118.50</t>
  </si>
  <si>
    <t>4.94</t>
  </si>
  <si>
    <t>7.87</t>
  </si>
  <si>
    <t>MILO</t>
  </si>
  <si>
    <t>12/14 oz Milo Powder Jamaican - Nestle</t>
  </si>
  <si>
    <t>93.95</t>
  </si>
  <si>
    <t>7.83</t>
  </si>
  <si>
    <t>10.49</t>
  </si>
  <si>
    <t>24/8 oz Milo Ready to Drink -Nestle</t>
  </si>
  <si>
    <t>4.98</t>
  </si>
  <si>
    <t>6/12.69 oz “Nido” powdered milk</t>
  </si>
  <si>
    <t>14.61</t>
  </si>
  <si>
    <t>11.59</t>
  </si>
  <si>
    <t>12/1.76 lbs oz “Nido” powdered milk</t>
  </si>
  <si>
    <t>191.95</t>
  </si>
  <si>
    <t>16.00</t>
  </si>
  <si>
    <t>12.10</t>
  </si>
  <si>
    <t>21.29</t>
  </si>
  <si>
    <t>6/3.52 lbs “Nido”</t>
  </si>
  <si>
    <t>174.95</t>
  </si>
  <si>
    <t>29.16</t>
  </si>
  <si>
    <t>11.05</t>
  </si>
  <si>
    <t>38.89</t>
  </si>
  <si>
    <t>6/12.69 oz “Nido” 1+ kinder crecimiento</t>
  </si>
  <si>
    <t>15.37</t>
  </si>
  <si>
    <t>12.19</t>
  </si>
  <si>
    <t>24/14 oz La Lechera fat free - Nestle</t>
  </si>
  <si>
    <t>4.16</t>
  </si>
  <si>
    <t>6/56.32 oz “Nido” 1 Kinder/Crecimiento</t>
  </si>
  <si>
    <t>209.95</t>
  </si>
  <si>
    <t>34.99</t>
  </si>
  <si>
    <t>13.26</t>
  </si>
  <si>
    <t>46.69</t>
  </si>
  <si>
    <t>NESTUM CEREAL</t>
  </si>
  <si>
    <t>12/10.5 oz Nestum Wheat &amp; Honey Cereal - Nestle</t>
  </si>
  <si>
    <t>6/14.1 oz Nestum 3 Cereal - Nestle</t>
  </si>
  <si>
    <t>10.20</t>
  </si>
  <si>
    <t>12/14.1 oz Ceralac - Nestle</t>
  </si>
  <si>
    <t>12/8 oz Abuelita Instant Chocolate - Nestle</t>
  </si>
  <si>
    <t>9.18</t>
  </si>
  <si>
    <t>12/19 oz Abuelita Chocolate - Nestle</t>
  </si>
  <si>
    <t>7.58</t>
  </si>
  <si>
    <t>8.41</t>
  </si>
  <si>
    <t>12/16 oz Abuelita Syrup - Nestle</t>
  </si>
  <si>
    <t>12/11.5 oz la lechera dulche de leche squeeze - Nestle</t>
  </si>
  <si>
    <t>9.03</t>
  </si>
  <si>
    <t>12/10.6 oz Nestum 5 Cereal - Nestle</t>
  </si>
  <si>
    <t>5.08</t>
  </si>
  <si>
    <t>10.25</t>
  </si>
  <si>
    <t>12/9.5 oz Nestum Wheat &amp; Fruit - Nestle</t>
  </si>
  <si>
    <t>6.46</t>
  </si>
  <si>
    <t>14.47</t>
  </si>
  <si>
    <t>12/9.5 oz Nestum Oat &amp; Prune - Nestle</t>
  </si>
  <si>
    <t>QUAKER OATS</t>
  </si>
  <si>
    <t>12/11.1 oz Frescavena vanilla - Quaker</t>
  </si>
  <si>
    <t>12/11.1 oz Frescavena Cinnamon - Quaker</t>
  </si>
  <si>
    <t>12/11.1 oz Frescavena Strawberry - Quaker</t>
  </si>
  <si>
    <t xml:space="preserve"> 12/2.26 oz cream of chicken</t>
  </si>
  <si>
    <t xml:space="preserve"> 12/2.82 oz seafood </t>
  </si>
  <si>
    <t>12/16 oz plain farina</t>
  </si>
  <si>
    <t>12/28 oz plain farina</t>
  </si>
  <si>
    <t>62.50</t>
  </si>
  <si>
    <t>12/16 oz farina cinnamon</t>
  </si>
  <si>
    <t>ALPINA OAT SMOOTHIE</t>
  </si>
  <si>
    <t>12/33.8 oz natural</t>
  </si>
  <si>
    <t>12/32 oz cinnamon</t>
  </si>
  <si>
    <t>4/40.2 oz. original</t>
  </si>
  <si>
    <t>12/8.8 oz Alpina dulce de leche</t>
  </si>
  <si>
    <t>12/6 pk/10.5 oz Alpina dulce de leche - 6 pack</t>
  </si>
  <si>
    <t>8.21</t>
  </si>
  <si>
    <t>12/17.6 oz Alpina dulce de leche</t>
  </si>
  <si>
    <t>5.72</t>
  </si>
  <si>
    <t>4/40.2 oz. cinnamon</t>
  </si>
  <si>
    <t>4/40.2 oz. strawberry</t>
  </si>
  <si>
    <t xml:space="preserve">96/2.32 oz D.R. chicken - 6 tab </t>
  </si>
  <si>
    <t>24/2.96 oz chicken flavor bouillon</t>
  </si>
  <si>
    <t>22,95</t>
  </si>
  <si>
    <t>24/6.7 oz cinnamon</t>
  </si>
  <si>
    <t>24/6.7 oz light</t>
  </si>
  <si>
    <t>24/6.7 oz original</t>
  </si>
  <si>
    <t>24/8.89 oz chicken bouillon - 24 tab</t>
  </si>
  <si>
    <t>24/2.9 oz cosumate bouillon - chicken tomato</t>
  </si>
  <si>
    <t>12/7.9 oz cosumate bouillon - chicken tomato granuated</t>
  </si>
  <si>
    <t>36.35</t>
  </si>
  <si>
    <t>8.08</t>
  </si>
  <si>
    <t>24/7.055 oz hot chocolate mix - ground 200g CORTES</t>
  </si>
  <si>
    <t>5.65</t>
  </si>
  <si>
    <t>GOYA ORGANIC QUINOA</t>
  </si>
  <si>
    <t>12/12 oz choco-quinoa mix</t>
  </si>
  <si>
    <t>8.65</t>
  </si>
  <si>
    <t>12/8.5 oz quinoa instant powder - Organic</t>
  </si>
  <si>
    <t>10.71</t>
  </si>
  <si>
    <t>12/12 oz organic quinoa, black</t>
  </si>
  <si>
    <t>12/12 oz organic quinoa, red</t>
  </si>
  <si>
    <t>12/12 oz organic quinoa, tricolor</t>
  </si>
  <si>
    <t>12/12 oz organic amaranth</t>
  </si>
  <si>
    <t>12/12 oz organic chia</t>
  </si>
  <si>
    <t>12/14.11 oz hot chocolate mix - ground 400g CORTES</t>
  </si>
  <si>
    <t>12/20.45 oz Oat Quick Cooking - Quaker</t>
  </si>
  <si>
    <t>12/10.93 oz Oat Quick Cooking - Quaker</t>
  </si>
  <si>
    <t>12/10.93 oz Instant Oat - Quaker Fortified</t>
  </si>
  <si>
    <t>12/10.93 oz Instant Oat Cinnamon - Quaker</t>
  </si>
  <si>
    <t>12/10.93 oz Instant Oat Vanilla - Quaker</t>
  </si>
  <si>
    <t>12/10.93 oz Oat Fortified with Iron - Quaker Molida</t>
  </si>
  <si>
    <t>12/20.45 oz Instant Oat Fortified with Iron - Quaker</t>
  </si>
  <si>
    <t>12/20.45 oz Instant Oat with Cinnamon - Quaker</t>
  </si>
  <si>
    <t>1/25 lb yellow corn masarepa</t>
  </si>
  <si>
    <t>16/14.01 oz Whole Grain Oat Flour</t>
  </si>
  <si>
    <t>6.34</t>
  </si>
  <si>
    <t>12/20.1 oz Instant Oat Cinnamon - Sugar Free</t>
  </si>
  <si>
    <t>12/10.9 oz Instant Oat Cinnamon - Sugar Free</t>
  </si>
  <si>
    <t>20/2 lb Thai hom mali rice</t>
  </si>
  <si>
    <t>8/5 lb Thai hom mali rice</t>
  </si>
  <si>
    <t>84.95</t>
  </si>
  <si>
    <t>10.62</t>
  </si>
  <si>
    <t>12/7 oz yellow rice w/chickpeas</t>
  </si>
  <si>
    <t>12/7 oz mexican rice mix</t>
  </si>
  <si>
    <t>12/7 oz rice w/lentils</t>
  </si>
  <si>
    <t>GOYA POUCH/ 90 SECOND RICE MIXES</t>
  </si>
  <si>
    <t>12/8.8 oz spanish rice</t>
  </si>
  <si>
    <t>5.07</t>
  </si>
  <si>
    <t>12/8.8 oz mexican rice</t>
  </si>
  <si>
    <t>12/8.8 oz brown rice</t>
  </si>
  <si>
    <t>12/7 oz mexican rice</t>
  </si>
  <si>
    <t>12/7 oz rice &amp; black beans</t>
  </si>
  <si>
    <t>12/7 oz rice &amp; red beans</t>
  </si>
  <si>
    <t>12/14 oz membrillo paste - Sanchis Mira</t>
  </si>
  <si>
    <t>DE-ALCOHOLIZED WINE</t>
  </si>
  <si>
    <t>6/25.4 oz Tres Ceros No-Alcohol White Wine</t>
  </si>
  <si>
    <t>10.39</t>
  </si>
  <si>
    <t>6/25.4 oz Tres Ceros No-Alcohol Red Wine</t>
  </si>
  <si>
    <t>6/25.4 oz Tres Ceros No-Alcohol Sparkling Wine</t>
  </si>
  <si>
    <t>GOYA SIDRA ESPANOLA</t>
  </si>
  <si>
    <t>6/25.4 oz sidra goya</t>
  </si>
  <si>
    <t>2.14</t>
  </si>
  <si>
    <t>GOYA SANCHIS MIRA TURRONES &amp; POLVORONES</t>
  </si>
  <si>
    <t xml:space="preserve"> 96/.7 oz porciones de alicante </t>
  </si>
  <si>
    <t>2/1.59</t>
  </si>
  <si>
    <t>120/4.4 oz. Goya Chocolate Shipper</t>
  </si>
  <si>
    <t>205.50</t>
  </si>
  <si>
    <t>ANTIU XIXONA CHOCOLATE</t>
  </si>
  <si>
    <t>30/4.4 oz dark chocolate with almond</t>
  </si>
  <si>
    <t>30/4.4 oz dark chocolate</t>
  </si>
  <si>
    <t>30/4.4 oz milk chocolate</t>
  </si>
  <si>
    <t>GOYA COCKTAIL MIXERS</t>
  </si>
  <si>
    <t xml:space="preserve">12/33.8 oz margarita </t>
  </si>
  <si>
    <t>12/33.8 oz pina colada</t>
  </si>
  <si>
    <t>12/33.8 oz sangria</t>
  </si>
  <si>
    <t>48/42.75 lb. Goya Coquito Shipper</t>
  </si>
  <si>
    <t>12/10.37 oz Doradas crackers</t>
  </si>
  <si>
    <t>3.53</t>
  </si>
  <si>
    <t>12/8.57 oz Sociales wheat crackers</t>
  </si>
  <si>
    <t>14.75</t>
  </si>
  <si>
    <t>12/8.57 oz Sociales original</t>
  </si>
  <si>
    <t>12/7.76 oz Saltines traditional</t>
  </si>
  <si>
    <t>12/7.76 oz Saltines cheese &amp; butter</t>
  </si>
  <si>
    <t>12/8.96 oz Saltines whole wheat</t>
  </si>
  <si>
    <t>GOYA COOKIES</t>
  </si>
  <si>
    <t>12/14.2 oz Carnaval vanilla</t>
  </si>
  <si>
    <t xml:space="preserve">12/14.2 oz Carnaval strawberry </t>
  </si>
  <si>
    <t>19.51</t>
  </si>
  <si>
    <t>12/14.2 oz Carnaval chocolate</t>
  </si>
  <si>
    <t>12/14.2 oz Carnaval coconut</t>
  </si>
  <si>
    <t>12/14.2 oz Carnaval lime</t>
  </si>
  <si>
    <t>6/23.70 oz Saltines red tin</t>
  </si>
  <si>
    <t>LIMPIOLIN &amp; CERAMIC CLEANER</t>
  </si>
  <si>
    <t>12/34 oz Ceramika cleaner</t>
  </si>
  <si>
    <t>24/15 oz Almendra</t>
  </si>
  <si>
    <t>GOYA CANDLES</t>
  </si>
  <si>
    <t>12/ White</t>
  </si>
  <si>
    <t>12/ Blue</t>
  </si>
  <si>
    <t>12/ Green</t>
  </si>
  <si>
    <t>12/ Red</t>
  </si>
  <si>
    <t>12/ Yellow</t>
  </si>
  <si>
    <t>12/ Three Color</t>
  </si>
  <si>
    <t>12/ Cristo de los Milagros</t>
  </si>
  <si>
    <t>12/ Seven Color</t>
  </si>
  <si>
    <t>12/ Santa Marta</t>
  </si>
  <si>
    <t>12/ Virgen de Guadalupe</t>
  </si>
  <si>
    <t>12/ Gran Poder</t>
  </si>
  <si>
    <t>12/ San Martin de Porres</t>
  </si>
  <si>
    <t>12/ Mano Poderosa</t>
  </si>
  <si>
    <t>12/ Sagrado Corazon</t>
  </si>
  <si>
    <t>12/ San Lazaro</t>
  </si>
  <si>
    <t>12/ San Judas</t>
  </si>
  <si>
    <t>12/ Scent San Juan Diego</t>
  </si>
  <si>
    <t>12/ Caridad del Cobre</t>
  </si>
  <si>
    <t>12/ Sra Alta Gracia</t>
  </si>
  <si>
    <t>12/ Santa Barbara</t>
  </si>
  <si>
    <t>12/ Siete Potencias</t>
  </si>
  <si>
    <t>12/ Milagrosa</t>
  </si>
  <si>
    <t>12/ San Antonio</t>
  </si>
  <si>
    <t>12/ Santa Clara</t>
  </si>
  <si>
    <t>12/ Espiritu Santo Novena</t>
  </si>
  <si>
    <t>12/ San Miguel</t>
  </si>
  <si>
    <t>12/ San Elias</t>
  </si>
  <si>
    <t>12/ Nstra Sra del Carmen</t>
  </si>
  <si>
    <t>12/ San Alejo</t>
  </si>
  <si>
    <t>12/ Virgen Candelaria</t>
  </si>
  <si>
    <t>12/ Justo Juez</t>
  </si>
  <si>
    <t>12/ San Jose</t>
  </si>
  <si>
    <t>12/ Fast Luck</t>
  </si>
  <si>
    <t>12/ Senora Fatima</t>
  </si>
  <si>
    <t>12/ Indio Poderoso</t>
  </si>
  <si>
    <t>12/ Divino Nino Jesus</t>
  </si>
  <si>
    <t>GOYA CANDLES - 50 HOUR</t>
  </si>
  <si>
    <t xml:space="preserve"> 24/ White 50 hr candle</t>
  </si>
  <si>
    <t xml:space="preserve">24/ Yellow 50 hr candle </t>
  </si>
  <si>
    <t xml:space="preserve"> 24/ Red 50 hr candle</t>
  </si>
  <si>
    <t xml:space="preserve"> 24/ Green 50 hr candle </t>
  </si>
  <si>
    <t>12/ Juan Pablo II</t>
  </si>
  <si>
    <t>12/18.45 oz. Dia de los Muertos</t>
  </si>
  <si>
    <t>12/12 oz. bread crumbs pan molido</t>
  </si>
  <si>
    <t>12/15 oz bread crumbs</t>
  </si>
  <si>
    <t xml:space="preserve">24/15 oz sweet peas </t>
  </si>
  <si>
    <t xml:space="preserve"> 24/8.5 oz peas and carrots</t>
  </si>
  <si>
    <t xml:space="preserve">56/8 oz Goya Adobo Shipper </t>
  </si>
  <si>
    <t xml:space="preserve">24/11 oz Goya Sazonador Shipper </t>
  </si>
  <si>
    <t>DUCAL BEAN DIP</t>
  </si>
  <si>
    <t>12/9 oz chipotle</t>
  </si>
  <si>
    <t>12/9 oz ranchero</t>
  </si>
  <si>
    <t>12/9 oz jalapeno</t>
  </si>
  <si>
    <t>80/5 lb jasmine rice - quarter pallet</t>
  </si>
  <si>
    <t>634.95</t>
  </si>
  <si>
    <t>48/7 oz Jambalaya-Pilaf-Dirty - Shipper</t>
  </si>
  <si>
    <t>24/19 oz Goya Paella Shipper</t>
  </si>
  <si>
    <t>138.50</t>
  </si>
  <si>
    <t>5.77</t>
  </si>
  <si>
    <t>528/15.5 oz black beans</t>
  </si>
  <si>
    <t>528/15.5 oz chick peas</t>
  </si>
  <si>
    <t>528/15.5 oz pink beans</t>
  </si>
  <si>
    <t>528/15.5 oz red kidney beans</t>
  </si>
  <si>
    <t xml:space="preserve">420/6.33 oz Sazon Seasoning Jumbo - Quarter Pallet </t>
  </si>
  <si>
    <t xml:space="preserve"> 768/8 oz Goya Tomato Sauce – Quarter Pallet (48-8oz) </t>
  </si>
  <si>
    <t xml:space="preserve">624/ Condensed &amp; Evaporated Milk Qtr Pallet </t>
  </si>
  <si>
    <t>480/15 oz refried black beans</t>
  </si>
  <si>
    <t>709.95</t>
  </si>
  <si>
    <t>480/15 oz refried red beans</t>
  </si>
  <si>
    <t>18/14 oz frijol rojo entero</t>
  </si>
  <si>
    <t>1.22</t>
  </si>
  <si>
    <t>12/28 oz frijol rojo entero</t>
  </si>
  <si>
    <t>26.75</t>
  </si>
  <si>
    <t>3.76</t>
  </si>
  <si>
    <t>18/14 oz frijol negro entero</t>
  </si>
  <si>
    <t>12/28 oz frijol negro entero</t>
  </si>
  <si>
    <t>ALPINA YOGO YOGO</t>
  </si>
  <si>
    <t>24/6.53 oz peach drink</t>
  </si>
  <si>
    <t>24/6.53 oz strawberry</t>
  </si>
  <si>
    <t>ALPINA BONYURT</t>
  </si>
  <si>
    <t>12/5.74 oz cocoa rice</t>
  </si>
  <si>
    <t>6.10</t>
  </si>
  <si>
    <t>12/5.78 oz cookies &amp; cream</t>
  </si>
  <si>
    <t>12/5.74 oz frosted flakes</t>
  </si>
  <si>
    <t>24/6.7 oz strawberry</t>
  </si>
  <si>
    <t>GOYA AREPAS</t>
  </si>
  <si>
    <t>12/10.5 oz white corn arepitas</t>
  </si>
  <si>
    <t>12/15.9 oz arepa de Maiz blanco</t>
  </si>
  <si>
    <t>12/13.4 oz arepa de maiz de queso</t>
  </si>
  <si>
    <t>12/10.6 oz arepa de chocolo - Cachapa</t>
  </si>
  <si>
    <t>12/13.4 oz arepa de chocolo - Cachapa Rellena de queso</t>
  </si>
  <si>
    <t>6.67</t>
  </si>
  <si>
    <t>12/12.4 oz arepa de Yuca rellena de queso</t>
  </si>
  <si>
    <t>8.76</t>
  </si>
  <si>
    <t>12/15.8 oz arepa de maiz amarillo</t>
  </si>
  <si>
    <t>24/3 oz flan cheese custard</t>
  </si>
  <si>
    <t>7.95</t>
  </si>
  <si>
    <t>16/3 pks/3 oz flan - Caramel custard</t>
  </si>
  <si>
    <t>24/3 oz singles flan - caramel custard</t>
  </si>
  <si>
    <t>FROZEN READY TO EAT</t>
  </si>
  <si>
    <t>GOYA VENEZUELAN STYLE</t>
  </si>
  <si>
    <t>12/8 oz tequenos</t>
  </si>
  <si>
    <t>51.50</t>
  </si>
  <si>
    <t>GOYA EMPANADAS</t>
  </si>
  <si>
    <t>12/10 oz baked beef</t>
  </si>
  <si>
    <t>12/10 oz baked chicken</t>
  </si>
  <si>
    <t>12/10 oz baked spinach and cheese</t>
  </si>
  <si>
    <t>12/12.2 oz ham cachito</t>
  </si>
  <si>
    <t>4.66</t>
  </si>
  <si>
    <t>12/11.25 oz corn patties with cheese - Arepa con Queso</t>
  </si>
  <si>
    <t>9.66</t>
  </si>
  <si>
    <t>FROZEN</t>
  </si>
  <si>
    <t>GOYA PIGEON PEAS &amp; BEANS</t>
  </si>
  <si>
    <t>9/48 oz pigeon peas</t>
  </si>
  <si>
    <t>7.55</t>
  </si>
  <si>
    <t>10.79</t>
  </si>
  <si>
    <t>6/5 lb green pigeon peas</t>
  </si>
  <si>
    <t>17.79</t>
  </si>
  <si>
    <t>12/10 oz cheese empanadillas</t>
  </si>
  <si>
    <t>TORTILLAS</t>
  </si>
  <si>
    <t>GOYA CORN TORTILLAS</t>
  </si>
  <si>
    <t>12/22 oz 4” mini corn tortillas - taquitos</t>
  </si>
  <si>
    <t>12/10 oz pizza empanadillas</t>
  </si>
  <si>
    <t>12/10 oz chicken empanada</t>
  </si>
  <si>
    <t>12/10 oz meat empanadillas</t>
  </si>
  <si>
    <t>GOYA FLOUR TORTILLAS</t>
  </si>
  <si>
    <t>16/8.5 8 ct oz fajitas - flour tortillas</t>
  </si>
  <si>
    <t>1.53</t>
  </si>
  <si>
    <t>3.93</t>
  </si>
  <si>
    <t>GOYA MEXICAN STYLE</t>
  </si>
  <si>
    <t>12/13 oz chiles relleno</t>
  </si>
  <si>
    <t>9.22</t>
  </si>
  <si>
    <t>GOYA POTATO PUFFS - PAPA RELLENA</t>
  </si>
  <si>
    <t>12/16 oz beef potato puffs</t>
  </si>
  <si>
    <t>12/30 oz 30 ct corn tortillas</t>
  </si>
  <si>
    <t>12/12 oz papa rellena - cocktail size</t>
  </si>
  <si>
    <t>12/20 oz 8 ct burritos - flour tortillas</t>
  </si>
  <si>
    <t>6/80 oz 80 ct corn tortillas</t>
  </si>
  <si>
    <t>16/12.65 oz 8 ct soft taco - flour tortilla</t>
  </si>
  <si>
    <t>GOYA PLANTAINS</t>
  </si>
  <si>
    <t>12/11 oz platanos maduros</t>
  </si>
  <si>
    <t>16/16 oz fried plaintains - tostones</t>
  </si>
  <si>
    <t>GOYA YUCA</t>
  </si>
  <si>
    <t>27/18 oz yuca -cassava</t>
  </si>
  <si>
    <t>GOYA VEGETABLES/ROOTS</t>
  </si>
  <si>
    <t>16/24 oz yautia malanga</t>
  </si>
  <si>
    <t>24/14 oz pigeon peas</t>
  </si>
  <si>
    <t>6/5 lb yuca - cassava</t>
  </si>
  <si>
    <t>20/24 oz yuca entera</t>
  </si>
  <si>
    <t>12/32 oz tropical vegetable mix sancocho</t>
  </si>
  <si>
    <t>16/24 oz ñame</t>
  </si>
  <si>
    <t>6/28 oz</t>
  </si>
  <si>
    <t>4.11</t>
  </si>
  <si>
    <t>12/14 oz</t>
  </si>
  <si>
    <t>24/7 oz</t>
  </si>
  <si>
    <t>GOYA VEGETABLES</t>
  </si>
  <si>
    <t>12/31.2 oz/4 large ears corn-cob</t>
  </si>
  <si>
    <t>3.43</t>
  </si>
  <si>
    <t>12/36 oz/8 mini ears corn-cob</t>
  </si>
  <si>
    <t>2.97</t>
  </si>
  <si>
    <t>GOYA DISCOS</t>
  </si>
  <si>
    <t>24/14 oz discos para empanadas white-regular</t>
  </si>
  <si>
    <t>24/14 oz yellow-regular</t>
  </si>
  <si>
    <t>12/16 oz cut corn</t>
  </si>
  <si>
    <t>GOYA CARIBBEAN STYLE</t>
  </si>
  <si>
    <t>12/16 oz Cuban tamal</t>
  </si>
  <si>
    <t>12/16 oz broccoli florets</t>
  </si>
  <si>
    <t>22.75</t>
  </si>
  <si>
    <t>GOYA CROQUETTES</t>
  </si>
  <si>
    <t>12/9.6 oz ham croquettes</t>
  </si>
  <si>
    <t>GOYA FRUIT PULP &amp; FRUIT PULP BLEND</t>
  </si>
  <si>
    <t>12/14 oz mora pulp</t>
  </si>
  <si>
    <t>12/9.6 oz chicken croquettes</t>
  </si>
  <si>
    <t>12/14 oz Naranjilla/lulo pulp</t>
  </si>
  <si>
    <t>12/14 oz guava pulp</t>
  </si>
  <si>
    <t>GOYA FRENCH FRIES</t>
  </si>
  <si>
    <t>12/28 oz. french fried Potatoes</t>
  </si>
  <si>
    <t>12/16 oz mixed vegetables</t>
  </si>
  <si>
    <t>WHOLE/CHUNKS FRUIT</t>
  </si>
  <si>
    <t>12/14 oz nance</t>
  </si>
  <si>
    <t>12/14 oz coconut grated</t>
  </si>
  <si>
    <t>12/14 oz mamey pulp</t>
  </si>
  <si>
    <t>12/14 oz guanabana pulp</t>
  </si>
  <si>
    <t>12/14 oz tamarind pulp</t>
  </si>
  <si>
    <t>12/14 oz papaya chunks</t>
  </si>
  <si>
    <t>12/14 oz mango pulp</t>
  </si>
  <si>
    <t>12/14 oz tamarillo/tomate de arbol pulp</t>
  </si>
  <si>
    <t>12/14 oz maracuya passion fruit pulp</t>
  </si>
  <si>
    <t>12/14 oz lime pulp</t>
  </si>
  <si>
    <t>12/14 oz strawberry pulp</t>
  </si>
  <si>
    <t>12/14 oz pineapple chunks</t>
  </si>
  <si>
    <t>12/14 oz whole jocote-plum</t>
  </si>
  <si>
    <t>12/12 oz fried plaintain cups - tostones para rellenar</t>
  </si>
  <si>
    <t>6.52</t>
  </si>
  <si>
    <t>12/2 lb grated yuca</t>
  </si>
  <si>
    <t>FROZEN/NON-FOODS</t>
  </si>
  <si>
    <t>GOYA BANANA LEAVES</t>
  </si>
  <si>
    <t>15/1 lb banana leaves</t>
  </si>
  <si>
    <t>12/11 oz baked ripe plantains</t>
  </si>
  <si>
    <t>12/24 oz ripe plaintains</t>
  </si>
  <si>
    <t>6/40 oz ripe plaintains</t>
  </si>
  <si>
    <t>6/40 oz fried plaintains</t>
  </si>
  <si>
    <t>3.92</t>
  </si>
  <si>
    <t>6/45 oz baked ripe plantains</t>
  </si>
  <si>
    <t>10.69</t>
  </si>
  <si>
    <t>GOYA SURULLITOS</t>
  </si>
  <si>
    <t>12/17 oz corn sticks with cheese - Surullitos</t>
  </si>
  <si>
    <t>12/9.6 oz chorizo croquettes</t>
  </si>
  <si>
    <t>6/12.6 oz grated fried plantain - arañitas</t>
  </si>
  <si>
    <t>12/28 oz. french fries regular cut</t>
  </si>
  <si>
    <t>12/14 oz chirimoya pulp</t>
  </si>
  <si>
    <t>6.73</t>
  </si>
  <si>
    <t>12/14 oz lucuma pulp</t>
  </si>
  <si>
    <t>5.70</t>
  </si>
  <si>
    <t>12/16 oz peas and carrots</t>
  </si>
  <si>
    <t>12/16 oz cut okra</t>
  </si>
  <si>
    <t>12/16 oz sweet peas</t>
  </si>
  <si>
    <t>16/24 oz yuca frita</t>
  </si>
  <si>
    <t>20/16 oz thin yuca fries</t>
  </si>
  <si>
    <t>12/28 oz. shoe string french fries</t>
  </si>
  <si>
    <t>12/16 oz baby lima beans</t>
  </si>
  <si>
    <t>12/16 oz sliced carrots</t>
  </si>
  <si>
    <t>12/16 oz cut green beans</t>
  </si>
  <si>
    <t>13/16 oz morcilla - Blood Sausge - Puerto Rican Style</t>
  </si>
  <si>
    <t>62.75</t>
  </si>
  <si>
    <t>12/11oz pork pasteles - Puerto Rican Style</t>
  </si>
  <si>
    <t>RICE &amp; BEANS, 30 SECOND READY TO EAT</t>
  </si>
  <si>
    <t>12/10 oz rice with black beans</t>
  </si>
  <si>
    <t>12/10 oz yellow rice with pink beans</t>
  </si>
  <si>
    <t>24/20 oz white-large</t>
  </si>
  <si>
    <t>24/20 oz yellow-large</t>
  </si>
  <si>
    <t>16/11.6 oz tapas Criollas - dough for turnover pastries</t>
  </si>
  <si>
    <t>4.40</t>
  </si>
  <si>
    <t>16/11.6 oz tapa/empanada hojaldrada</t>
  </si>
  <si>
    <t>12/32 oz peas and carrots</t>
  </si>
  <si>
    <t>5.09</t>
  </si>
  <si>
    <t>12/32 oz cut corn</t>
  </si>
  <si>
    <t>12/32 oz mixed vegetables</t>
  </si>
  <si>
    <t>12/32 oz lima beans</t>
  </si>
  <si>
    <t>9.19</t>
  </si>
  <si>
    <t>12/28 oz fava beans</t>
  </si>
  <si>
    <t>12/16 oz chopped spinach</t>
  </si>
  <si>
    <t>12/16 oz cut leaf spinach</t>
  </si>
  <si>
    <t>10/20 oz tamal cubano in corn husk</t>
  </si>
  <si>
    <t>53.35</t>
  </si>
  <si>
    <t>5.34</t>
  </si>
  <si>
    <t>6.07</t>
  </si>
  <si>
    <t>10/20 oz pastel de masa con puerco</t>
  </si>
  <si>
    <t>12/21 oz beef taquitos</t>
  </si>
  <si>
    <t>6.85</t>
  </si>
  <si>
    <t>12/21 oz chicken taquitos</t>
  </si>
  <si>
    <t>12/16 oz vegetable fajita mix</t>
  </si>
  <si>
    <t>GOYA SALVADORIAN STYLE</t>
  </si>
  <si>
    <t>12/6 oz frozen loroco</t>
  </si>
  <si>
    <t>GOYA PONCHE - MIX FRUIT MEXICAN STYLE</t>
  </si>
  <si>
    <t>12/32 oz mix frozen fruits Mexican style</t>
  </si>
  <si>
    <t>6.19</t>
  </si>
  <si>
    <t>GOYA LOS ANDES - CORN</t>
  </si>
  <si>
    <t>6/3 lb choclo desgranado</t>
  </si>
  <si>
    <t>11.39</t>
  </si>
  <si>
    <t>GOYA CENTRAL AMERICAN STYLE</t>
  </si>
  <si>
    <t>12/22.2 oz pupusa queso con frijoles</t>
  </si>
  <si>
    <t>12/22.2 oz pupusa queso con loroco</t>
  </si>
  <si>
    <t>12/22.2 oz pupusa con queso</t>
  </si>
  <si>
    <t>12/2 pcs choclo entero</t>
  </si>
  <si>
    <t>12/16 oz choclo desgranado</t>
  </si>
  <si>
    <t>GOYA LOS ANDES - WHOLE PEPPERS</t>
  </si>
  <si>
    <t>12/16 oz aji amarillo</t>
  </si>
  <si>
    <t>12/16 oz aji rocoto</t>
  </si>
  <si>
    <t>GOYA LOS ANDES - OLLUCO &amp; POTATOES</t>
  </si>
  <si>
    <t>12/16 oz olluco</t>
  </si>
  <si>
    <t>12/16 oz papa amarilla</t>
  </si>
  <si>
    <t>12/16 oz papa nativa/nativa potatoes</t>
  </si>
  <si>
    <t>6/48 oz. mote pelado/giant white corn</t>
  </si>
  <si>
    <t xml:space="preserve"> 12/8 pcs choclo en rodajas </t>
  </si>
  <si>
    <t>GOYA CONCENTRATED NECTAR</t>
  </si>
  <si>
    <t>24/12 oz guava</t>
  </si>
  <si>
    <t>24/12 oz tamarind</t>
  </si>
  <si>
    <t>24/12 oz mango nectar</t>
  </si>
  <si>
    <t>24/12 oz guanabana</t>
  </si>
  <si>
    <t>24/12 oz passion fruit/parcha/maracuya</t>
  </si>
  <si>
    <t>24/12 oz orange juice</t>
  </si>
  <si>
    <t>109.95</t>
  </si>
  <si>
    <t>12/14 oz guava for ponche</t>
  </si>
  <si>
    <t>8/14 oz whole tomate arbol</t>
  </si>
  <si>
    <t>12/14 oz whole tejocote</t>
  </si>
  <si>
    <t>12/14 oz whole zapote-mamey</t>
  </si>
  <si>
    <t>GOYA COLOMBIAN VEGETABLES ROOTS</t>
  </si>
  <si>
    <t>12/32 oz ajiaco Colombiano</t>
  </si>
  <si>
    <t>12/2lb papa criolla</t>
  </si>
  <si>
    <t>12/1lb arracacha</t>
  </si>
  <si>
    <t>12/32 oz sancocho Colombiano</t>
  </si>
  <si>
    <t>GOYA COLOMBIAN STYLE</t>
  </si>
  <si>
    <t>12/6.35 oz pandebono</t>
  </si>
  <si>
    <t>13.33</t>
  </si>
  <si>
    <t>GOYA SPANISH STYLE</t>
  </si>
  <si>
    <t>14/17.6 oz tortilla de patata/ceb</t>
  </si>
  <si>
    <t>3.07</t>
  </si>
  <si>
    <t>12/30 oz tamalitos de elote - Mex &amp; Central Amer style</t>
  </si>
  <si>
    <t>12/14 oz cana de azucar</t>
  </si>
  <si>
    <t>12/14 oz marañon</t>
  </si>
  <si>
    <t>12/14 oz jocote corona</t>
  </si>
  <si>
    <t>12/14 oz mango verde</t>
  </si>
  <si>
    <t>GOYA WHOLE FRUIT/BLEND</t>
  </si>
  <si>
    <t>12/16 oz dragon fruit/pitaya chunks</t>
  </si>
  <si>
    <t>12/14 oz frozen soursop chunks</t>
  </si>
  <si>
    <t>8/14.11 oz churros</t>
  </si>
  <si>
    <t>21.35</t>
  </si>
  <si>
    <t>GOYA PASTRIES</t>
  </si>
  <si>
    <t>12/12 oz guava pastries</t>
  </si>
  <si>
    <t>12/12 oz guava and cheese pastries</t>
  </si>
  <si>
    <t>12/16 oz whole strawberries</t>
  </si>
  <si>
    <t>33.70</t>
  </si>
  <si>
    <t>12/16 oz berry blend</t>
  </si>
  <si>
    <t>12/16 oz tropical blend</t>
  </si>
  <si>
    <t>12/9 oz beef pastries</t>
  </si>
  <si>
    <t>9.40</t>
  </si>
  <si>
    <t>12/9 oz chicken pastries</t>
  </si>
  <si>
    <t>12/9 oz cff Jamaican beef patties mild</t>
  </si>
  <si>
    <t>9.05</t>
  </si>
  <si>
    <t>12/9 oz cff Jamaican beef patties spicy</t>
  </si>
  <si>
    <t>12/9 oz cff Jamaican chicken jerk patties</t>
  </si>
  <si>
    <t>GOYA BRAZILIAN STYLE</t>
  </si>
  <si>
    <t>12/14 oz pao de queijo</t>
  </si>
  <si>
    <t>24/3 oz bread pudding with raisins</t>
  </si>
  <si>
    <t>12/9 oz Jamaican - mild</t>
  </si>
  <si>
    <t>12/9 oz Jamaican - spicy</t>
  </si>
  <si>
    <t>12/10.5 oz mashed plantains - Mangu</t>
  </si>
  <si>
    <t>6.84</t>
  </si>
  <si>
    <t>12/16 oz Yuca Bites (Chipotle)</t>
  </si>
  <si>
    <t>12/16 oz Yuca Bites (Garlic Mojo)</t>
  </si>
  <si>
    <t>12/12 oz Yuca Cups</t>
  </si>
  <si>
    <t>12/12 oz mixed vegetables</t>
  </si>
  <si>
    <t>21.75</t>
  </si>
  <si>
    <t>12/12 oz California blend</t>
  </si>
  <si>
    <t>YUCA TOSTONES</t>
  </si>
  <si>
    <t>20/16 oz Yuca tostones</t>
  </si>
  <si>
    <t>24/14 oz discos for empanadas horneadas</t>
  </si>
  <si>
    <t>12/9.6 oz cod croquettes</t>
  </si>
  <si>
    <t>12/9.6 oz cheese croquettes</t>
  </si>
  <si>
    <t>24/16 oz mini discos para empanadas</t>
  </si>
  <si>
    <t>24/16 oz mini discos para empanadas - con color</t>
  </si>
  <si>
    <t>12/8 oz cubes</t>
  </si>
  <si>
    <t>12/10 oz Colombian beef empanadas</t>
  </si>
  <si>
    <t>8.62</t>
  </si>
  <si>
    <t>12/15.6 oz Colombian beef min empanadas</t>
  </si>
  <si>
    <t>12/10 oz Colombian chicken empanadas</t>
  </si>
  <si>
    <t>10/32 oz Hawaiian tostones</t>
  </si>
  <si>
    <t>71.95</t>
  </si>
  <si>
    <t>7.20</t>
  </si>
  <si>
    <t>5.15</t>
  </si>
  <si>
    <t>10.29</t>
  </si>
  <si>
    <t>20/16 oz green plantain pieces - mofongo</t>
  </si>
  <si>
    <t>GOYA PANA</t>
  </si>
  <si>
    <t>12/20 oz Toston de Pana</t>
  </si>
  <si>
    <t>12/14 oz nance frozen pulp</t>
  </si>
  <si>
    <t>24/3 oz flan de coco</t>
  </si>
  <si>
    <t>6/5 lb masa de guineo</t>
  </si>
  <si>
    <t>GOYA QUICK COOK 5 MINUTE YUCA</t>
  </si>
  <si>
    <t>20/16 oz fully cooked yuca</t>
  </si>
  <si>
    <t>16/12.5 oz whole wheat tortillas</t>
  </si>
  <si>
    <t>3.44</t>
  </si>
  <si>
    <t>12/15 oz riguas - Salvadorian Corn Cakes</t>
  </si>
  <si>
    <t>12/16 oz. papaya chunks</t>
  </si>
  <si>
    <t>12/16 oz. pineapple chunks</t>
  </si>
  <si>
    <t>GOYA GLUTEN FREE BEAN BURGERS</t>
  </si>
  <si>
    <t>6/10 oz black bean burger</t>
  </si>
  <si>
    <t>7.98</t>
  </si>
  <si>
    <t>12/16 oz mango chunks</t>
  </si>
  <si>
    <t>9/17.6 oz nopalitos en tiras</t>
  </si>
  <si>
    <t>3.17</t>
  </si>
  <si>
    <t>6/10 oz lentil burger</t>
  </si>
  <si>
    <t>6/10 oz chick pea burger</t>
  </si>
  <si>
    <t>12/12 oz alcapurrias de carne</t>
  </si>
  <si>
    <t>9/16 oz poblano pepper strips</t>
  </si>
  <si>
    <t>3.22</t>
  </si>
  <si>
    <t>12/9.5 oz poblano pepper quesadilla</t>
  </si>
  <si>
    <t>9.41</t>
  </si>
  <si>
    <t>13/16 oz Goya mexican chorizo</t>
  </si>
  <si>
    <t>13/16 oz Goya pr style longaniza</t>
  </si>
  <si>
    <t>GOYA PRE-COOKED CHURROS</t>
  </si>
  <si>
    <t>12/9.7 oz churros</t>
  </si>
  <si>
    <t>9.88</t>
  </si>
  <si>
    <t>12/10.6 oz churros w/chocolate</t>
  </si>
  <si>
    <t>9.04</t>
  </si>
  <si>
    <t>12/10.6 oz churros w/dulce de leche</t>
  </si>
  <si>
    <t>10/16 oz frozen acai cubes, strawberry/mango</t>
  </si>
  <si>
    <t>4.80</t>
  </si>
  <si>
    <t>GOYA SWEET POTATO FRIES</t>
  </si>
  <si>
    <t>15/16 oz Goya sweet potato fries</t>
  </si>
  <si>
    <t>12/20 oz breadfruit chunks</t>
  </si>
  <si>
    <t>24/3 oz cheese and guava flan</t>
  </si>
  <si>
    <t>VIMA SEAFOOD AND FISH</t>
  </si>
  <si>
    <t>10/16 oz raw shrimp 31/40 peeled, deveined</t>
  </si>
  <si>
    <t>6.60</t>
  </si>
  <si>
    <t>10/16 oz raw shrimp 41/50 peeled, deveined</t>
  </si>
  <si>
    <t>10/16 oz cooked shrimp 31/40 peeled, deveined</t>
  </si>
  <si>
    <t>81.95</t>
  </si>
  <si>
    <t>8.20</t>
  </si>
  <si>
    <t>10/16 oz cooked shrimp 41/50 peeled, deveined</t>
  </si>
  <si>
    <t>7.90</t>
  </si>
  <si>
    <t>10/16 oz tuna steaks, skinless/boneless</t>
  </si>
  <si>
    <t>10/16 oz wild pink salmon, skinless</t>
  </si>
  <si>
    <t>10/16 oz swai fillets</t>
  </si>
  <si>
    <t>10/16 oz tilapia fillets, skinless</t>
  </si>
  <si>
    <t>10/16 oz mahi mahi</t>
  </si>
  <si>
    <t>8.15</t>
  </si>
  <si>
    <t>10/16 oz seafood mix</t>
  </si>
  <si>
    <t>10/16 oz squid rings</t>
  </si>
  <si>
    <t>MERCHANDISING DISPLAYS</t>
  </si>
  <si>
    <t>Goya White Rack CHORIZO RACKS</t>
  </si>
  <si>
    <t xml:space="preserve">Small Chorizo Racks </t>
  </si>
  <si>
    <t>Categoria</t>
  </si>
  <si>
    <t>SubCategoria</t>
  </si>
  <si>
    <t>QUARTER PALLETS</t>
  </si>
  <si>
    <t>DISCONTINUED</t>
  </si>
  <si>
    <t>SANCHIS MIRA</t>
  </si>
  <si>
    <t>SAMPLE</t>
  </si>
  <si>
    <t>GOYA COTTON TWINE</t>
  </si>
  <si>
    <t>GOYA PARCHMENT PAPER</t>
  </si>
  <si>
    <t>TURRON</t>
  </si>
  <si>
    <t>HOLIDAY ITEM</t>
  </si>
  <si>
    <t xml:space="preserve">GOYA TOMATO SAUCE </t>
  </si>
  <si>
    <t>CHOCOLATE WAFERS 6/12 1.76 OZ</t>
  </si>
  <si>
    <t>VANILLA WAFERS 6/12 1.76 OZ</t>
  </si>
  <si>
    <t>STRAWBERRY WAFERS 6/12 1.76 OZ</t>
  </si>
  <si>
    <t>52 OZ</t>
  </si>
  <si>
    <t>GOYA MALTA CANE SUGAR CLASSICO</t>
  </si>
  <si>
    <t>New</t>
  </si>
  <si>
    <t>Estado</t>
  </si>
  <si>
    <t xml:space="preserve">FROZEN </t>
  </si>
  <si>
    <t>Rice Mix Shipper (2) 48/7oz</t>
  </si>
  <si>
    <t xml:space="preserve">Parchment Paper </t>
  </si>
  <si>
    <t>Cotton Twine 2.6oz 800Ft</t>
  </si>
  <si>
    <t>Goya Saltine Crackers Red Tin</t>
  </si>
  <si>
    <t>Alpina Yogo Yogo Peach Drink</t>
  </si>
  <si>
    <t>Alpina Yogo Yogo Strawberry</t>
  </si>
  <si>
    <t>Goya Aloe Original Sugar Free</t>
  </si>
  <si>
    <t>Goya Aloe Original Organic</t>
  </si>
  <si>
    <t>Breadfruit Chunks</t>
  </si>
  <si>
    <t xml:space="preserve">Masa de Guineo </t>
  </si>
  <si>
    <t>Goya Queso Fresco</t>
  </si>
  <si>
    <t>Goya Queso Quesadilla</t>
  </si>
  <si>
    <t>Goya Queso de Freir</t>
  </si>
  <si>
    <t>Goya Queso Blanco</t>
  </si>
  <si>
    <t>Goya Traditional Rice Pudding</t>
  </si>
  <si>
    <t>Goya Dulce de Leche Rice Pudding</t>
  </si>
  <si>
    <t>Goya Mexican Chocolate Pudding</t>
  </si>
  <si>
    <t>Rice With Black Beans</t>
  </si>
  <si>
    <t>Yellow Rice With Pink Beans</t>
  </si>
  <si>
    <t>Maggi Chicken Noodle Soup</t>
  </si>
  <si>
    <t>Maggi Beef Noodle Soup</t>
  </si>
  <si>
    <t>Maggi Chicken Flvr Rice Soup</t>
  </si>
  <si>
    <t>Maggi Casera Chkn wW Vege Soup</t>
  </si>
  <si>
    <t>Maggi Pollo S/Saracol</t>
  </si>
  <si>
    <t>Maggi Caseras Vege Noodle Soup</t>
  </si>
  <si>
    <t>Goya Avocado Oil 25.4 oz</t>
  </si>
  <si>
    <t>Cheese and Guava Flan</t>
  </si>
  <si>
    <t>Goya White Masarepa 1.1Lb</t>
  </si>
  <si>
    <t>Mahi Mahi 16 oz</t>
  </si>
  <si>
    <t>Seafood Mix 16 oz</t>
  </si>
  <si>
    <t>Squid Rings 16 oz</t>
  </si>
  <si>
    <t>Ducal Chipotle Bean Dip 9oz</t>
  </si>
  <si>
    <t>Ducal Ranchero Bean Dip 9oz</t>
  </si>
  <si>
    <t>Ducal Jalapeño Bean Dip 9oz</t>
  </si>
  <si>
    <t>Ducal frijol Rojo Entero 14oz</t>
  </si>
  <si>
    <t>Ducal frijol Rojo Entero 28oz</t>
  </si>
  <si>
    <t>Ducal frijol Negro Entero 14oz</t>
  </si>
  <si>
    <t>Ducal frijol Negro Entero 28oz</t>
  </si>
  <si>
    <t>Goya Prisma Apple Juice</t>
  </si>
  <si>
    <t>Goya Prisma Pineapple Guava</t>
  </si>
  <si>
    <t>Goya Prisma Fruit Punch</t>
  </si>
  <si>
    <t>Pre-Cooked Sweet Corn Meal Mix</t>
  </si>
  <si>
    <t>Ev Olive Oil Truffle Flv.</t>
  </si>
  <si>
    <t>Magic Xmas Cookies Bag Cinnamon</t>
  </si>
  <si>
    <t>Xmas Shop Cookies Sweet Butter</t>
  </si>
  <si>
    <t>Xmas Tree Cookies Chocolate</t>
  </si>
  <si>
    <t>Mgic Xmas Assorted Cookies</t>
  </si>
  <si>
    <t>Goya 4-Pk Maria Cookies QT Plt</t>
  </si>
  <si>
    <t>4368</t>
  </si>
  <si>
    <t>Goya Chickpea Puff Chile Limon</t>
  </si>
  <si>
    <t>4369</t>
  </si>
  <si>
    <t>Chickpea Puffs Elote Mex Corn</t>
  </si>
  <si>
    <t>4370</t>
  </si>
  <si>
    <t>Goya Chickpea Puffs Churros</t>
  </si>
  <si>
    <t>4374</t>
  </si>
  <si>
    <t>Goya Chickpea Puffs Chile Limon</t>
  </si>
  <si>
    <t>4408</t>
  </si>
  <si>
    <t>4409</t>
  </si>
  <si>
    <t>Chickpea Puffs Churros</t>
  </si>
  <si>
    <t>9514</t>
  </si>
  <si>
    <t>Goya Condensed Milk Easy Open</t>
  </si>
  <si>
    <t>Organic Thai Hom Mali Rice 2Lb</t>
  </si>
  <si>
    <t>Organic Thai Hom Mali Rice 5Lb</t>
  </si>
  <si>
    <t>Ducal Refried Red Bean DP 40oz</t>
  </si>
  <si>
    <t>Vegan Mexican Rice Mix 7oz</t>
  </si>
  <si>
    <t>Goya Yellow Corn  Masarepa  25Lb.</t>
  </si>
  <si>
    <t/>
  </si>
  <si>
    <t>150 OZ</t>
  </si>
  <si>
    <t>EP MIX SAZON &amp; CUBITOS</t>
  </si>
  <si>
    <t>PRODUCT NUMBER</t>
  </si>
  <si>
    <t>SALTED PLANTAIN CHIPS 6 X 20OZ</t>
  </si>
  <si>
    <t>GOYA SWEET PLANTAIN STRIPS</t>
  </si>
  <si>
    <t>GOYA PLANTAIN STRIPS 12 OZ</t>
  </si>
  <si>
    <t>GOYA TOSTONES LIME</t>
  </si>
  <si>
    <t>GOYA TOSTONES BBQ</t>
  </si>
  <si>
    <t>GOYA TOSTONES SWEET CHILI</t>
  </si>
  <si>
    <t>Disponible</t>
  </si>
  <si>
    <t>NATURAS ORANGE JUICE W/PULP</t>
  </si>
  <si>
    <t>16.9 Oz</t>
  </si>
  <si>
    <t>GOYA TEQUENO PRECOOKED</t>
  </si>
  <si>
    <t>ATLANTIC SALMON IN WATER</t>
  </si>
  <si>
    <t>SMOKED ATLANTIC SALMON W/OLIVE</t>
  </si>
  <si>
    <t>3.17 OZ</t>
  </si>
  <si>
    <t>CHILE LEMON FLVR PLANTAIN CHIP</t>
  </si>
  <si>
    <t>CASABITOS CASSAVA CRACKERS</t>
  </si>
  <si>
    <t>CASABITOS CASSAVA GARLIC CRKRS</t>
  </si>
  <si>
    <t>8 Oz</t>
  </si>
  <si>
    <t>CARNAVAL HALLOWEEN CHOCO COOKI</t>
  </si>
  <si>
    <t>CARNAVAL HALLOWEEN VANIL COOKI</t>
  </si>
  <si>
    <t>CARNAVAL HALLOWEEN COOKIES</t>
  </si>
  <si>
    <t>GOYA CREAM OF COCONUT 12/50 OZ</t>
  </si>
  <si>
    <t>50 OZ</t>
  </si>
  <si>
    <t>33.8 Oz</t>
  </si>
  <si>
    <t>GOYA CARNAVAL JOY 11.852 OZ</t>
  </si>
  <si>
    <t>11.85 OZ</t>
  </si>
  <si>
    <t>HOLIDAY COOKIE SHIPPER</t>
  </si>
  <si>
    <t>GOYA HONEY BRAN 9.524 OZ</t>
  </si>
  <si>
    <t>9.524 OZ</t>
  </si>
  <si>
    <t>HABANERO BBQ FLVR PLANTAINS</t>
  </si>
  <si>
    <t>JALAPEÑO FLVR PLANTAIN CHIPS</t>
  </si>
  <si>
    <t>GOYA ORIGINAL PLANTAIN CHIPS</t>
  </si>
  <si>
    <t>GOYA PLANTAINS CHIPS</t>
  </si>
  <si>
    <t>GOYA BLACK BEAN BURGER</t>
  </si>
  <si>
    <t>14.1 Oz</t>
  </si>
  <si>
    <t>GOYA LENTIL BURGER</t>
  </si>
  <si>
    <t>FROZEN BURGER</t>
  </si>
  <si>
    <t>MANGO PASSION FRUIT PULP MIX</t>
  </si>
  <si>
    <t xml:space="preserve">GOYA CHOCOLATE MARIA COOKIES		</t>
  </si>
  <si>
    <t>6LB 9OZ</t>
  </si>
  <si>
    <t>SALSA VERDE POUCH</t>
  </si>
  <si>
    <t>90 OZ</t>
  </si>
  <si>
    <t>DUCAL RFRD BLK BEANS 6/15 OZ</t>
  </si>
  <si>
    <t>DUCAL RFB BLK BEANS 35 OZ DPK</t>
  </si>
  <si>
    <t>DUCAL RFB RED BEANS 35 OZ DPK</t>
  </si>
  <si>
    <t>DUCAL RFRD SILK BEAN 35 OZ DPK</t>
  </si>
  <si>
    <t>35 OZ</t>
  </si>
  <si>
    <t>LOW SODIUM YELLOW RICE SHIPPER</t>
  </si>
  <si>
    <t>MALTA CANE SGR CLSC 12OZ 24PK</t>
  </si>
  <si>
    <t>12OZ</t>
  </si>
  <si>
    <t>EXTRA VIRGIN OLIVE OIL</t>
  </si>
  <si>
    <t>GOYA CHICKPEA BURGER</t>
  </si>
  <si>
    <t>20 Oz</t>
  </si>
  <si>
    <t>GOYA PASTELES DE YUCA C/ CERDO</t>
  </si>
  <si>
    <t>YUCA CHUNK DISPLAY READY CS</t>
  </si>
  <si>
    <t>.90 OZ</t>
  </si>
  <si>
    <t>PREMIUM EXTRA VIRGIN OLIVE OIL</t>
  </si>
  <si>
    <t>6.76 OZ</t>
  </si>
  <si>
    <t>INCAPARINA TETRAPACK</t>
  </si>
  <si>
    <t>SAZONDR TTL W/MEAT TENDERIZER</t>
  </si>
  <si>
    <t>1103</t>
  </si>
  <si>
    <t>1105</t>
  </si>
  <si>
    <t>1107</t>
  </si>
  <si>
    <t>1108</t>
  </si>
  <si>
    <t>1109</t>
  </si>
  <si>
    <t>1111</t>
  </si>
  <si>
    <t>1120</t>
  </si>
  <si>
    <t>1128</t>
  </si>
  <si>
    <t>1130</t>
  </si>
  <si>
    <t>1133</t>
  </si>
  <si>
    <t>1141</t>
  </si>
  <si>
    <t>1142</t>
  </si>
  <si>
    <t>1144</t>
  </si>
  <si>
    <t>1154</t>
  </si>
  <si>
    <t>1156</t>
  </si>
  <si>
    <t>1158</t>
  </si>
  <si>
    <t>1159</t>
  </si>
  <si>
    <t>1186</t>
  </si>
  <si>
    <t>1188</t>
  </si>
  <si>
    <t>1190</t>
  </si>
  <si>
    <t>1191</t>
  </si>
  <si>
    <t>1192</t>
  </si>
  <si>
    <t>1195</t>
  </si>
  <si>
    <t>1199</t>
  </si>
  <si>
    <t>1222</t>
  </si>
  <si>
    <t>1227</t>
  </si>
  <si>
    <t>1229</t>
  </si>
  <si>
    <t>1231</t>
  </si>
  <si>
    <t>1233</t>
  </si>
  <si>
    <t>1234</t>
  </si>
  <si>
    <t>1235</t>
  </si>
  <si>
    <t>1237</t>
  </si>
  <si>
    <t>1239</t>
  </si>
  <si>
    <t>1240</t>
  </si>
  <si>
    <t>1241</t>
  </si>
  <si>
    <t>1250</t>
  </si>
  <si>
    <t>1251</t>
  </si>
  <si>
    <t>1255</t>
  </si>
  <si>
    <t>1304</t>
  </si>
  <si>
    <t>1307</t>
  </si>
  <si>
    <t>1309</t>
  </si>
  <si>
    <t>1312</t>
  </si>
  <si>
    <t>1317</t>
  </si>
  <si>
    <t>1319</t>
  </si>
  <si>
    <t>1327</t>
  </si>
  <si>
    <t>1331</t>
  </si>
  <si>
    <t>1332</t>
  </si>
  <si>
    <t>1333</t>
  </si>
  <si>
    <t>1335</t>
  </si>
  <si>
    <t>1337</t>
  </si>
  <si>
    <t>1341</t>
  </si>
  <si>
    <t>1345</t>
  </si>
  <si>
    <t>1346</t>
  </si>
  <si>
    <t>1351</t>
  </si>
  <si>
    <t>1353</t>
  </si>
  <si>
    <t>1360</t>
  </si>
  <si>
    <t>1363</t>
  </si>
  <si>
    <t>1368</t>
  </si>
  <si>
    <t>1370</t>
  </si>
  <si>
    <t>1373</t>
  </si>
  <si>
    <t>1375</t>
  </si>
  <si>
    <t>1377</t>
  </si>
  <si>
    <t>1417</t>
  </si>
  <si>
    <t>1419</t>
  </si>
  <si>
    <t>1421</t>
  </si>
  <si>
    <t>1425</t>
  </si>
  <si>
    <t>1427</t>
  </si>
  <si>
    <t>1429</t>
  </si>
  <si>
    <t>1431</t>
  </si>
  <si>
    <t>1460</t>
  </si>
  <si>
    <t>1461</t>
  </si>
  <si>
    <t>1465</t>
  </si>
  <si>
    <t>1467</t>
  </si>
  <si>
    <t>1469</t>
  </si>
  <si>
    <t>1473</t>
  </si>
  <si>
    <t>1475</t>
  </si>
  <si>
    <t>1477</t>
  </si>
  <si>
    <t>1478</t>
  </si>
  <si>
    <t>1479</t>
  </si>
  <si>
    <t>1480</t>
  </si>
  <si>
    <t>1485</t>
  </si>
  <si>
    <t>1489</t>
  </si>
  <si>
    <t>1490</t>
  </si>
  <si>
    <t>1491</t>
  </si>
  <si>
    <t>1492</t>
  </si>
  <si>
    <t>1494</t>
  </si>
  <si>
    <t>1495</t>
  </si>
  <si>
    <t>1496</t>
  </si>
  <si>
    <t>1501</t>
  </si>
  <si>
    <t>1508</t>
  </si>
  <si>
    <t>1510</t>
  </si>
  <si>
    <t>1511</t>
  </si>
  <si>
    <t>1512</t>
  </si>
  <si>
    <t>1513</t>
  </si>
  <si>
    <t>1518</t>
  </si>
  <si>
    <t>1565</t>
  </si>
  <si>
    <t>1566</t>
  </si>
  <si>
    <t>1567</t>
  </si>
  <si>
    <t>1685</t>
  </si>
  <si>
    <t>1686</t>
  </si>
  <si>
    <t>1980</t>
  </si>
  <si>
    <t>1981</t>
  </si>
  <si>
    <t>1982</t>
  </si>
  <si>
    <t>1983</t>
  </si>
  <si>
    <t>1984</t>
  </si>
  <si>
    <t>1986</t>
  </si>
  <si>
    <t>2001</t>
  </si>
  <si>
    <t>2002</t>
  </si>
  <si>
    <t>2003</t>
  </si>
  <si>
    <t>2004</t>
  </si>
  <si>
    <t>2005</t>
  </si>
  <si>
    <t>2006</t>
  </si>
  <si>
    <t>2007</t>
  </si>
  <si>
    <t>2009</t>
  </si>
  <si>
    <t>2010</t>
  </si>
  <si>
    <t>2021</t>
  </si>
  <si>
    <t>2022</t>
  </si>
  <si>
    <t>2023</t>
  </si>
  <si>
    <t>2025</t>
  </si>
  <si>
    <t>2026</t>
  </si>
  <si>
    <t>2043</t>
  </si>
  <si>
    <t>2051</t>
  </si>
  <si>
    <t>2052</t>
  </si>
  <si>
    <t>2054</t>
  </si>
  <si>
    <t>2055</t>
  </si>
  <si>
    <t>2059</t>
  </si>
  <si>
    <t>2062</t>
  </si>
  <si>
    <t>2063</t>
  </si>
  <si>
    <t>2067</t>
  </si>
  <si>
    <t>2071</t>
  </si>
  <si>
    <t>2072</t>
  </si>
  <si>
    <t>2073</t>
  </si>
  <si>
    <t>2076</t>
  </si>
  <si>
    <t>2077</t>
  </si>
  <si>
    <t>2078</t>
  </si>
  <si>
    <t>2079</t>
  </si>
  <si>
    <t>2080</t>
  </si>
  <si>
    <t>2081</t>
  </si>
  <si>
    <t>2089</t>
  </si>
  <si>
    <t>2090</t>
  </si>
  <si>
    <t>2091</t>
  </si>
  <si>
    <t>2101</t>
  </si>
  <si>
    <t>2105</t>
  </si>
  <si>
    <t>2106</t>
  </si>
  <si>
    <t>2131</t>
  </si>
  <si>
    <t>2132</t>
  </si>
  <si>
    <t>2133</t>
  </si>
  <si>
    <t>2138</t>
  </si>
  <si>
    <t>2145</t>
  </si>
  <si>
    <t>2146</t>
  </si>
  <si>
    <t>2148</t>
  </si>
  <si>
    <t>2149</t>
  </si>
  <si>
    <t>2150</t>
  </si>
  <si>
    <t>2151</t>
  </si>
  <si>
    <t>2152</t>
  </si>
  <si>
    <t>2153</t>
  </si>
  <si>
    <t>2154</t>
  </si>
  <si>
    <t>2159</t>
  </si>
  <si>
    <t>2161</t>
  </si>
  <si>
    <t>2162</t>
  </si>
  <si>
    <t>2163</t>
  </si>
  <si>
    <t>2164</t>
  </si>
  <si>
    <t>2165</t>
  </si>
  <si>
    <t>2166</t>
  </si>
  <si>
    <t>2168</t>
  </si>
  <si>
    <t>2169</t>
  </si>
  <si>
    <t>2171</t>
  </si>
  <si>
    <t>2182</t>
  </si>
  <si>
    <t>2195</t>
  </si>
  <si>
    <t>2197</t>
  </si>
  <si>
    <t>2198</t>
  </si>
  <si>
    <t>2199</t>
  </si>
  <si>
    <t>2200</t>
  </si>
  <si>
    <t>2201</t>
  </si>
  <si>
    <t>2203</t>
  </si>
  <si>
    <t>2204</t>
  </si>
  <si>
    <t>2272</t>
  </si>
  <si>
    <t>2273</t>
  </si>
  <si>
    <t>2284</t>
  </si>
  <si>
    <t>2286</t>
  </si>
  <si>
    <t>2287</t>
  </si>
  <si>
    <t>2288</t>
  </si>
  <si>
    <t>2289</t>
  </si>
  <si>
    <t>2330</t>
  </si>
  <si>
    <t>2331</t>
  </si>
  <si>
    <t>2332</t>
  </si>
  <si>
    <t>2333</t>
  </si>
  <si>
    <t>2334</t>
  </si>
  <si>
    <t>2335</t>
  </si>
  <si>
    <t>2340</t>
  </si>
  <si>
    <t>2341</t>
  </si>
  <si>
    <t>2342</t>
  </si>
  <si>
    <t>2343</t>
  </si>
  <si>
    <t>2344</t>
  </si>
  <si>
    <t>2345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</si>
  <si>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</si>
  <si>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</si>
  <si>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</si>
  <si>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</si>
  <si>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</si>
  <si>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</si>
  <si>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</si>
  <si>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</si>
  <si>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</si>
  <si>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</si>
  <si>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</si>
  <si>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</si>
  <si>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2361</t>
  </si>
  <si>
    <t>2362</t>
  </si>
  <si>
    <t>2363</t>
  </si>
  <si>
    <t>2364</t>
  </si>
  <si>
    <t>2365</t>
  </si>
  <si>
    <t>2366</t>
  </si>
  <si>
    <t>2372</t>
  </si>
  <si>
    <t>2385</t>
  </si>
  <si>
    <t>2389</t>
  </si>
  <si>
    <t>2390</t>
  </si>
  <si>
    <t>2391</t>
  </si>
  <si>
    <t>2400</t>
  </si>
  <si>
    <t>2402</t>
  </si>
  <si>
    <t>2403</t>
  </si>
  <si>
    <t>2406</t>
  </si>
  <si>
    <t>2407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</si>
  <si>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</si>
  <si>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</si>
  <si>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</si>
  <si>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</si>
  <si>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</si>
  <si>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</si>
  <si>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</si>
  <si>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</si>
  <si>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</si>
  <si>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</si>
  <si>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</si>
  <si>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</si>
  <si>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</si>
  <si>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</si>
  <si>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2425</t>
  </si>
  <si>
    <t>2426</t>
  </si>
  <si>
    <t>2427</t>
  </si>
  <si>
    <t>2428</t>
  </si>
  <si>
    <t>2429</t>
  </si>
  <si>
    <t>2430</t>
  </si>
  <si>
    <t>2432</t>
  </si>
  <si>
    <t>2435</t>
  </si>
  <si>
    <t>2437</t>
  </si>
  <si>
    <t>2438</t>
  </si>
  <si>
    <t>2439</t>
  </si>
  <si>
    <t>2442</t>
  </si>
  <si>
    <t>2443</t>
  </si>
  <si>
    <t>2444</t>
  </si>
  <si>
    <t>2446</t>
  </si>
  <si>
    <t>2449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</si>
  <si>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</si>
  <si>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</si>
  <si>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</si>
  <si>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</si>
  <si>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</si>
  <si>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</si>
  <si>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</si>
  <si>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</si>
  <si>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</si>
  <si>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</si>
  <si>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</si>
  <si>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2463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</si>
  <si>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</si>
  <si>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</si>
  <si>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</si>
  <si>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</si>
  <si>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</si>
  <si>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</si>
  <si>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</si>
  <si>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</si>
  <si>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</si>
  <si>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</si>
  <si>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</si>
  <si>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</si>
  <si>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</si>
  <si>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</si>
  <si>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</si>
  <si>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</si>
  <si>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</si>
  <si>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</si>
  <si>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</si>
  <si>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</si>
  <si>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</si>
  <si>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</si>
  <si>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</si>
  <si>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</si>
  <si>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</si>
  <si>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</si>
  <si>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</si>
  <si>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</si>
  <si>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</si>
  <si>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</si>
  <si>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</si>
  <si>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</si>
  <si>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</si>
  <si>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</si>
  <si>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</si>
  <si>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</si>
  <si>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</si>
  <si>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</si>
  <si>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</si>
  <si>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</si>
  <si>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2506</t>
  </si>
  <si>
    <t>2509</t>
  </si>
  <si>
    <t>2510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</si>
  <si>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</si>
  <si>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</si>
  <si>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</si>
  <si>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</si>
  <si>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</si>
  <si>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</si>
  <si>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</si>
  <si>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</si>
  <si>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</si>
  <si>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</si>
  <si>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</si>
  <si>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</si>
  <si>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</si>
  <si>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</si>
  <si>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</si>
  <si>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</si>
  <si>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</si>
  <si>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2531</t>
  </si>
  <si>
    <t>2533</t>
  </si>
  <si>
    <t>2534</t>
  </si>
  <si>
    <t>2535</t>
  </si>
  <si>
    <t>2536</t>
  </si>
  <si>
    <t>2537</t>
  </si>
  <si>
    <t>2538</t>
  </si>
  <si>
    <t>2539</t>
  </si>
  <si>
    <t>2541</t>
  </si>
  <si>
    <t>2542</t>
  </si>
  <si>
    <t>2543</t>
  </si>
  <si>
    <t>2545</t>
  </si>
  <si>
    <t>2546</t>
  </si>
  <si>
    <t>2547</t>
  </si>
  <si>
    <t>2548</t>
  </si>
  <si>
    <t>2551</t>
  </si>
  <si>
    <t>2552</t>
  </si>
  <si>
    <t>2553</t>
  </si>
  <si>
    <t>2555</t>
  </si>
  <si>
    <t>2556</t>
  </si>
  <si>
    <t>2563</t>
  </si>
  <si>
    <t>2565</t>
  </si>
  <si>
    <t>2567</t>
  </si>
  <si>
    <t>2569</t>
  </si>
  <si>
    <t>2570</t>
  </si>
  <si>
    <t>2571</t>
  </si>
  <si>
    <t>2573</t>
  </si>
  <si>
    <t>2577</t>
  </si>
  <si>
    <t>2579</t>
  </si>
  <si>
    <t>2581</t>
  </si>
  <si>
    <t>2582</t>
  </si>
  <si>
    <t>2584</t>
  </si>
  <si>
    <t>2587</t>
  </si>
  <si>
    <t>2588</t>
  </si>
  <si>
    <t>2589</t>
  </si>
  <si>
    <t>2590</t>
  </si>
  <si>
    <t>2592</t>
  </si>
  <si>
    <t>2594</t>
  </si>
  <si>
    <t>2595</t>
  </si>
  <si>
    <t>2596</t>
  </si>
  <si>
    <t>2597</t>
  </si>
  <si>
    <t>2598</t>
  </si>
  <si>
    <t>2599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</si>
  <si>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</si>
  <si>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</si>
  <si>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</si>
  <si>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</si>
  <si>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</si>
  <si>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</si>
  <si>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</si>
  <si>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</si>
  <si>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</si>
  <si>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</si>
  <si>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</si>
  <si>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</si>
  <si>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</si>
  <si>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</si>
  <si>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</si>
  <si>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</si>
  <si>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</si>
  <si>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</si>
  <si>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</si>
  <si>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</si>
  <si>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</si>
  <si>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</si>
  <si>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</si>
  <si>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</si>
  <si>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</si>
  <si>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</si>
  <si>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</si>
  <si>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</si>
  <si>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</si>
  <si>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</si>
  <si>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</si>
  <si>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</si>
  <si>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</si>
  <si>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</si>
  <si>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</si>
  <si>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</si>
  <si>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</si>
  <si>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</si>
  <si>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</si>
  <si>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</si>
  <si>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</si>
  <si>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</si>
  <si>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</si>
  <si>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</si>
  <si>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</si>
  <si>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</si>
  <si>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2649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</si>
  <si>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</si>
  <si>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</si>
  <si>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</si>
  <si>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</si>
  <si>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</si>
  <si>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</si>
  <si>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</si>
  <si>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</si>
  <si>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</si>
  <si>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</si>
  <si>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</si>
  <si>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</si>
  <si>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</si>
  <si>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</si>
  <si>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</si>
  <si>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</si>
  <si>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</si>
  <si>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</si>
  <si>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</si>
  <si>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2672</t>
  </si>
  <si>
    <t>2674</t>
  </si>
  <si>
    <t>2675</t>
  </si>
  <si>
    <t>2677</t>
  </si>
  <si>
    <t>2679</t>
  </si>
  <si>
    <t>2680</t>
  </si>
  <si>
    <t>2682</t>
  </si>
  <si>
    <t>2683</t>
  </si>
  <si>
    <t>2684</t>
  </si>
  <si>
    <t>2685</t>
  </si>
  <si>
    <t>2688</t>
  </si>
  <si>
    <t>2691</t>
  </si>
  <si>
    <t>2700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</si>
  <si>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</si>
  <si>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</si>
  <si>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</si>
  <si>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</si>
  <si>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</si>
  <si>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</si>
  <si>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</si>
  <si>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</si>
  <si>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</si>
  <si>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</si>
  <si>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2713</t>
  </si>
  <si>
    <t>2714</t>
  </si>
  <si>
    <t>2715</t>
  </si>
  <si>
    <t>2716</t>
  </si>
  <si>
    <t>2717</t>
  </si>
  <si>
    <t>2718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</si>
  <si>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</si>
  <si>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</si>
  <si>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</si>
  <si>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</si>
  <si>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</si>
  <si>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</si>
  <si>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</si>
  <si>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</si>
  <si>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</si>
  <si>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</si>
  <si>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</si>
  <si>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</si>
  <si>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</si>
  <si>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</si>
  <si>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</si>
  <si>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</si>
  <si>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</si>
  <si>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</si>
  <si>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</si>
  <si>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</si>
  <si>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</si>
  <si>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</si>
  <si>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</si>
  <si>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</si>
  <si>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</si>
  <si>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</si>
  <si>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</si>
  <si>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</si>
  <si>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</si>
  <si>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</si>
  <si>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</si>
  <si>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</si>
  <si>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</si>
  <si>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2755</t>
  </si>
  <si>
    <t>2756</t>
  </si>
  <si>
    <t>2760</t>
  </si>
  <si>
    <t>2761</t>
  </si>
  <si>
    <t>2762</t>
  </si>
  <si>
    <t>2763</t>
  </si>
  <si>
    <t>2765</t>
  </si>
  <si>
    <t>2766</t>
  </si>
  <si>
    <t>2767</t>
  </si>
  <si>
    <t>2769</t>
  </si>
  <si>
    <t>2770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</si>
  <si>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</si>
  <si>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</si>
  <si>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</si>
  <si>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</si>
  <si>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</si>
  <si>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</si>
  <si>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</si>
  <si>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</si>
  <si>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</si>
  <si>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</si>
  <si>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</si>
  <si>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</si>
  <si>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</si>
  <si>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2791</t>
  </si>
  <si>
    <t>2792</t>
  </si>
  <si>
    <t>2795</t>
  </si>
  <si>
    <t>2796</t>
  </si>
  <si>
    <t>2799</t>
  </si>
  <si>
    <t>2800</t>
  </si>
  <si>
    <t>2802</t>
  </si>
  <si>
    <t>2803</t>
  </si>
  <si>
    <t>2804</t>
  </si>
  <si>
    <t>2806</t>
  </si>
  <si>
    <t>2807</t>
  </si>
  <si>
    <t>2808</t>
  </si>
  <si>
    <t>2809</t>
  </si>
  <si>
    <t>2820</t>
  </si>
  <si>
    <t>2821</t>
  </si>
  <si>
    <t>2822</t>
  </si>
  <si>
    <t>2823</t>
  </si>
  <si>
    <t>2824</t>
  </si>
  <si>
    <t>2825</t>
  </si>
  <si>
    <t>2826</t>
  </si>
  <si>
    <t>2828</t>
  </si>
  <si>
    <t>2829</t>
  </si>
  <si>
    <t>2830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</si>
  <si>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</si>
  <si>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</si>
  <si>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</si>
  <si>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</si>
  <si>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</si>
  <si>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</si>
  <si>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</si>
  <si>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</si>
  <si>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</si>
  <si>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</si>
  <si>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</si>
  <si>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</si>
  <si>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</si>
  <si>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</si>
  <si>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</si>
  <si>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</si>
  <si>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</si>
  <si>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</si>
  <si>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</si>
  <si>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</si>
  <si>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</si>
  <si>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</si>
  <si>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</si>
  <si>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2856</t>
  </si>
  <si>
    <t>2857</t>
  </si>
  <si>
    <t>2858</t>
  </si>
  <si>
    <t>2860</t>
  </si>
  <si>
    <t>2861</t>
  </si>
  <si>
    <t>2862</t>
  </si>
  <si>
    <t>2863</t>
  </si>
  <si>
    <t>2865</t>
  </si>
  <si>
    <t>2866</t>
  </si>
  <si>
    <t>2868</t>
  </si>
  <si>
    <t>2870</t>
  </si>
  <si>
    <t>2871</t>
  </si>
  <si>
    <t>2872</t>
  </si>
  <si>
    <t>2873</t>
  </si>
  <si>
    <t>2874</t>
  </si>
  <si>
    <t>2876</t>
  </si>
  <si>
    <t>2877</t>
  </si>
  <si>
    <t>2878</t>
  </si>
  <si>
    <t>2879</t>
  </si>
  <si>
    <t>2880</t>
  </si>
  <si>
    <t>2882</t>
  </si>
  <si>
    <t>2883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</si>
  <si>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</si>
  <si>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</si>
  <si>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</si>
  <si>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</si>
  <si>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</si>
  <si>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</si>
  <si>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</si>
  <si>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</si>
  <si>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</si>
  <si>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</si>
  <si>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</si>
  <si>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</si>
  <si>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</si>
  <si>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</si>
  <si>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</si>
  <si>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</si>
  <si>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</si>
  <si>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</si>
  <si>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</si>
  <si>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</si>
  <si>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</si>
  <si>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</si>
  <si>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</si>
  <si>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</si>
  <si>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</si>
  <si>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</si>
  <si>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</si>
  <si>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</si>
  <si>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</si>
  <si>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</si>
  <si>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</si>
  <si>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</si>
  <si>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</si>
  <si>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</si>
  <si>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</si>
  <si>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</si>
  <si>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</si>
  <si>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</si>
  <si>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</si>
  <si>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</si>
  <si>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</si>
  <si>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</si>
  <si>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</si>
  <si>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</si>
  <si>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2938</t>
  </si>
  <si>
    <t>2939</t>
  </si>
  <si>
    <t>2940</t>
  </si>
  <si>
    <t>2941</t>
  </si>
  <si>
    <t>2942</t>
  </si>
  <si>
    <t>2943</t>
  </si>
  <si>
    <t>2944</t>
  </si>
  <si>
    <t>2945</t>
  </si>
  <si>
    <t>2947</t>
  </si>
  <si>
    <t>2949</t>
  </si>
  <si>
    <t>2950</t>
  </si>
  <si>
    <t>2951</t>
  </si>
  <si>
    <t>2952</t>
  </si>
  <si>
    <t>2954</t>
  </si>
  <si>
    <t>2962</t>
  </si>
  <si>
    <t>2967</t>
  </si>
  <si>
    <t>2971</t>
  </si>
  <si>
    <t>2972</t>
  </si>
  <si>
    <t>2973</t>
  </si>
  <si>
    <t>2976</t>
  </si>
  <si>
    <t>2980</t>
  </si>
  <si>
    <t>2982</t>
  </si>
  <si>
    <t>2983</t>
  </si>
  <si>
    <t>2984</t>
  </si>
  <si>
    <t>2985</t>
  </si>
  <si>
    <t>2986</t>
  </si>
  <si>
    <t>2987</t>
  </si>
  <si>
    <t>2989</t>
  </si>
  <si>
    <t>2990</t>
  </si>
  <si>
    <t>2991</t>
  </si>
  <si>
    <t>2996</t>
  </si>
  <si>
    <t>2997</t>
  </si>
  <si>
    <t>2999</t>
  </si>
  <si>
    <t>3002</t>
  </si>
  <si>
    <t>3011</t>
  </si>
  <si>
    <t>3039</t>
  </si>
  <si>
    <t>3047</t>
  </si>
  <si>
    <t>3049</t>
  </si>
  <si>
    <t>3051</t>
  </si>
  <si>
    <t>3055</t>
  </si>
  <si>
    <t>3057</t>
  </si>
  <si>
    <t>3058</t>
  </si>
  <si>
    <t>3059</t>
  </si>
  <si>
    <t>3060</t>
  </si>
  <si>
    <t>3061</t>
  </si>
  <si>
    <t>3062</t>
  </si>
  <si>
    <t>3063</t>
  </si>
  <si>
    <t>3065</t>
  </si>
  <si>
    <t>3069</t>
  </si>
  <si>
    <t>3077</t>
  </si>
  <si>
    <t>3078</t>
  </si>
  <si>
    <t>3079</t>
  </si>
  <si>
    <t>3080</t>
  </si>
  <si>
    <t>3082</t>
  </si>
  <si>
    <t>3083</t>
  </si>
  <si>
    <t>3084</t>
  </si>
  <si>
    <t>3087</t>
  </si>
  <si>
    <t>3088</t>
  </si>
  <si>
    <t>3090</t>
  </si>
  <si>
    <t>3091</t>
  </si>
  <si>
    <t>3093</t>
  </si>
  <si>
    <t>3098</t>
  </si>
  <si>
    <t>3107</t>
  </si>
  <si>
    <t>3113</t>
  </si>
  <si>
    <t>3114</t>
  </si>
  <si>
    <t>3115</t>
  </si>
  <si>
    <t>3116</t>
  </si>
  <si>
    <t>3124</t>
  </si>
  <si>
    <t>3125</t>
  </si>
  <si>
    <t>3126</t>
  </si>
  <si>
    <t>3127</t>
  </si>
  <si>
    <t>3130</t>
  </si>
  <si>
    <t>3131</t>
  </si>
  <si>
    <t>3133</t>
  </si>
  <si>
    <t>3134</t>
  </si>
  <si>
    <t>3135</t>
  </si>
  <si>
    <t>3138</t>
  </si>
  <si>
    <t>3139</t>
  </si>
  <si>
    <t>3140</t>
  </si>
  <si>
    <t>3145</t>
  </si>
  <si>
    <t>3148</t>
  </si>
  <si>
    <t>3165</t>
  </si>
  <si>
    <t>3166</t>
  </si>
  <si>
    <t>3167</t>
  </si>
  <si>
    <t>3168</t>
  </si>
  <si>
    <t>3169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</si>
  <si>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</si>
  <si>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</si>
  <si>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</si>
  <si>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</si>
  <si>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</si>
  <si>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</si>
  <si>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</si>
  <si>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</si>
  <si>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</si>
  <si>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</si>
  <si>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3190</t>
  </si>
  <si>
    <t>3191</t>
  </si>
  <si>
    <t>3192</t>
  </si>
  <si>
    <t>3200</t>
  </si>
  <si>
    <t>3201</t>
  </si>
  <si>
    <t>3202</t>
  </si>
  <si>
    <t>3204</t>
  </si>
  <si>
    <t>3205</t>
  </si>
  <si>
    <t>3206</t>
  </si>
  <si>
    <t>3210</t>
  </si>
  <si>
    <t>3211</t>
  </si>
  <si>
    <t>3212</t>
  </si>
  <si>
    <t>3214</t>
  </si>
  <si>
    <t>3215</t>
  </si>
  <si>
    <t>3216</t>
  </si>
  <si>
    <t>3237</t>
  </si>
  <si>
    <t>3239</t>
  </si>
  <si>
    <t>3240</t>
  </si>
  <si>
    <t>3241</t>
  </si>
  <si>
    <t>3242</t>
  </si>
  <si>
    <t>3243</t>
  </si>
  <si>
    <t>3245</t>
  </si>
  <si>
    <t>3246</t>
  </si>
  <si>
    <t>3249</t>
  </si>
  <si>
    <t>3250</t>
  </si>
  <si>
    <t>3294</t>
  </si>
  <si>
    <t>3295</t>
  </si>
  <si>
    <t>3313</t>
  </si>
  <si>
    <t>3314</t>
  </si>
  <si>
    <t>3321</t>
  </si>
  <si>
    <t>3322</t>
  </si>
  <si>
    <t>3324</t>
  </si>
  <si>
    <t>3327</t>
  </si>
  <si>
    <t>3328</t>
  </si>
  <si>
    <t>3330</t>
  </si>
  <si>
    <t>3331</t>
  </si>
  <si>
    <t>3333</t>
  </si>
  <si>
    <t>3341</t>
  </si>
  <si>
    <t>3346</t>
  </si>
  <si>
    <t>3347</t>
  </si>
  <si>
    <t>3349</t>
  </si>
  <si>
    <t>3350</t>
  </si>
  <si>
    <t>3353</t>
  </si>
  <si>
    <t>3354</t>
  </si>
  <si>
    <t>3356</t>
  </si>
  <si>
    <t>3358</t>
  </si>
  <si>
    <t>3359</t>
  </si>
  <si>
    <t>3360</t>
  </si>
  <si>
    <t>3361</t>
  </si>
  <si>
    <t>3362</t>
  </si>
  <si>
    <t>3366</t>
  </si>
  <si>
    <t>3376</t>
  </si>
  <si>
    <t>3377</t>
  </si>
  <si>
    <t>3379</t>
  </si>
  <si>
    <t>3380</t>
  </si>
  <si>
    <t>3381</t>
  </si>
  <si>
    <t>3387</t>
  </si>
  <si>
    <t>3388</t>
  </si>
  <si>
    <t>3401</t>
  </si>
  <si>
    <t>3402</t>
  </si>
  <si>
    <t>3403</t>
  </si>
  <si>
    <t>3462</t>
  </si>
  <si>
    <t>3464</t>
  </si>
  <si>
    <t>3467</t>
  </si>
  <si>
    <t>3519</t>
  </si>
  <si>
    <t>3520</t>
  </si>
  <si>
    <t>3521</t>
  </si>
  <si>
    <t>3523</t>
  </si>
  <si>
    <t>3524</t>
  </si>
  <si>
    <t>3526</t>
  </si>
  <si>
    <t>3527</t>
  </si>
  <si>
    <t>3541</t>
  </si>
  <si>
    <t>3548</t>
  </si>
  <si>
    <t>3550</t>
  </si>
  <si>
    <t>3551</t>
  </si>
  <si>
    <t>3555</t>
  </si>
  <si>
    <t>3560</t>
  </si>
  <si>
    <t>3565</t>
  </si>
  <si>
    <t>3567</t>
  </si>
  <si>
    <t>3568</t>
  </si>
  <si>
    <t>3573</t>
  </si>
  <si>
    <t>3574</t>
  </si>
  <si>
    <t>3585</t>
  </si>
  <si>
    <t>3590</t>
  </si>
  <si>
    <t>3596</t>
  </si>
  <si>
    <t>3599</t>
  </si>
  <si>
    <t>3600</t>
  </si>
  <si>
    <t>3602</t>
  </si>
  <si>
    <t>3607</t>
  </si>
  <si>
    <t>3609</t>
  </si>
  <si>
    <t>3610</t>
  </si>
  <si>
    <t>3611</t>
  </si>
  <si>
    <t>3612</t>
  </si>
  <si>
    <t>3613</t>
  </si>
  <si>
    <t>3615</t>
  </si>
  <si>
    <t>3616</t>
  </si>
  <si>
    <t>3617</t>
  </si>
  <si>
    <t>3620</t>
  </si>
  <si>
    <t>3621</t>
  </si>
  <si>
    <t>3622</t>
  </si>
  <si>
    <t>3624</t>
  </si>
  <si>
    <t>3625</t>
  </si>
  <si>
    <t>3626</t>
  </si>
  <si>
    <t>3627</t>
  </si>
  <si>
    <t>3630</t>
  </si>
  <si>
    <t>3631</t>
  </si>
  <si>
    <t>3632</t>
  </si>
  <si>
    <t>3633</t>
  </si>
  <si>
    <t>3634</t>
  </si>
  <si>
    <t>3637</t>
  </si>
  <si>
    <t>3638</t>
  </si>
  <si>
    <t>3639</t>
  </si>
  <si>
    <t>3640</t>
  </si>
  <si>
    <t>3645</t>
  </si>
  <si>
    <t>3646</t>
  </si>
  <si>
    <t>3647</t>
  </si>
  <si>
    <t>3648</t>
  </si>
  <si>
    <t>3649</t>
  </si>
  <si>
    <t>3664</t>
  </si>
  <si>
    <t>3666</t>
  </si>
  <si>
    <t>3669</t>
  </si>
  <si>
    <t>3670</t>
  </si>
  <si>
    <t>3671</t>
  </si>
  <si>
    <t>3672</t>
  </si>
  <si>
    <t>3673</t>
  </si>
  <si>
    <t>3675</t>
  </si>
  <si>
    <t>3676</t>
  </si>
  <si>
    <t>3677</t>
  </si>
  <si>
    <t>3680</t>
  </si>
  <si>
    <t>3681</t>
  </si>
  <si>
    <t>3686</t>
  </si>
  <si>
    <t>3687</t>
  </si>
  <si>
    <t>3690</t>
  </si>
  <si>
    <t>3691</t>
  </si>
  <si>
    <t>3694</t>
  </si>
  <si>
    <t>3695</t>
  </si>
  <si>
    <t>3696</t>
  </si>
  <si>
    <t>3706</t>
  </si>
  <si>
    <t>3713</t>
  </si>
  <si>
    <t>3714</t>
  </si>
  <si>
    <t>3718</t>
  </si>
  <si>
    <t>3720</t>
  </si>
  <si>
    <t>3721</t>
  </si>
  <si>
    <t>3724</t>
  </si>
  <si>
    <t>3726</t>
  </si>
  <si>
    <t>3727</t>
  </si>
  <si>
    <t>3728</t>
  </si>
  <si>
    <t>3729</t>
  </si>
  <si>
    <t>3732</t>
  </si>
  <si>
    <t>3733</t>
  </si>
  <si>
    <t>3734</t>
  </si>
  <si>
    <t>3736</t>
  </si>
  <si>
    <t>3737</t>
  </si>
  <si>
    <t>3740</t>
  </si>
  <si>
    <t>3741</t>
  </si>
  <si>
    <t>3742</t>
  </si>
  <si>
    <t>3743</t>
  </si>
  <si>
    <t>3746</t>
  </si>
  <si>
    <t>3748</t>
  </si>
  <si>
    <t>3750</t>
  </si>
  <si>
    <t>3756</t>
  </si>
  <si>
    <t>3760</t>
  </si>
  <si>
    <t>3761</t>
  </si>
  <si>
    <t>3763</t>
  </si>
  <si>
    <t>3767</t>
  </si>
  <si>
    <t>3769</t>
  </si>
  <si>
    <t>3772</t>
  </si>
  <si>
    <t>3773</t>
  </si>
  <si>
    <t>3774</t>
  </si>
  <si>
    <t>3776</t>
  </si>
  <si>
    <t>3777</t>
  </si>
  <si>
    <t>3778</t>
  </si>
  <si>
    <t>3779</t>
  </si>
  <si>
    <t>3781</t>
  </si>
  <si>
    <t>3782</t>
  </si>
  <si>
    <t>3783</t>
  </si>
  <si>
    <t>3784</t>
  </si>
  <si>
    <t>3785</t>
  </si>
  <si>
    <t>3786</t>
  </si>
  <si>
    <t>3787</t>
  </si>
  <si>
    <t>3789</t>
  </si>
  <si>
    <t>3790</t>
  </si>
  <si>
    <t>3791</t>
  </si>
  <si>
    <t>3792</t>
  </si>
  <si>
    <t>3793</t>
  </si>
  <si>
    <t>3794</t>
  </si>
  <si>
    <t>3801</t>
  </si>
  <si>
    <t>3802</t>
  </si>
  <si>
    <t>3804</t>
  </si>
  <si>
    <t>3805</t>
  </si>
  <si>
    <t>3806</t>
  </si>
  <si>
    <t>3807</t>
  </si>
  <si>
    <t>3808</t>
  </si>
  <si>
    <t>3810</t>
  </si>
  <si>
    <t>3811</t>
  </si>
  <si>
    <t>3812</t>
  </si>
  <si>
    <t>3813</t>
  </si>
  <si>
    <t>3814</t>
  </si>
  <si>
    <t>3815</t>
  </si>
  <si>
    <t>3816</t>
  </si>
  <si>
    <t>3817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</si>
  <si>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</si>
  <si>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</si>
  <si>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</si>
  <si>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</si>
  <si>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</si>
  <si>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</si>
  <si>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</si>
  <si>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</si>
  <si>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</si>
  <si>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</si>
  <si>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</si>
  <si>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</si>
  <si>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</si>
  <si>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</si>
  <si>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</si>
  <si>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</si>
  <si>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</si>
  <si>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</si>
  <si>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</si>
  <si>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</si>
  <si>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</si>
  <si>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</si>
  <si>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</si>
  <si>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</si>
  <si>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</si>
  <si>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3846</t>
  </si>
  <si>
    <t>3847</t>
  </si>
  <si>
    <t>3852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</si>
  <si>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</si>
  <si>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</si>
  <si>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</si>
  <si>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</si>
  <si>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</si>
  <si>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</si>
  <si>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</si>
  <si>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</si>
  <si>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</si>
  <si>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3864</t>
  </si>
  <si>
    <t>3865</t>
  </si>
  <si>
    <t>3867</t>
  </si>
  <si>
    <t>3868</t>
  </si>
  <si>
    <t>3869</t>
  </si>
  <si>
    <t>3870</t>
  </si>
  <si>
    <t>3871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</si>
  <si>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</si>
  <si>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</si>
  <si>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</si>
  <si>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</si>
  <si>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</si>
  <si>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</si>
  <si>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</si>
  <si>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</si>
  <si>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</si>
  <si>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</si>
  <si>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</si>
  <si>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</si>
  <si>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</si>
  <si>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3888</t>
  </si>
  <si>
    <t>3889</t>
  </si>
  <si>
    <t>3890</t>
  </si>
  <si>
    <t>3892</t>
  </si>
  <si>
    <t>3893</t>
  </si>
  <si>
    <t>3903</t>
  </si>
  <si>
    <t>3904</t>
  </si>
  <si>
    <t>3905</t>
  </si>
  <si>
    <t>3907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</si>
  <si>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</si>
  <si>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</si>
  <si>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</si>
  <si>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</si>
  <si>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</si>
  <si>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</si>
  <si>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</si>
  <si>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</si>
  <si>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</si>
  <si>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</si>
  <si>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</si>
  <si>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</si>
  <si>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</si>
  <si>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</si>
  <si>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</si>
  <si>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</si>
  <si>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</si>
  <si>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</si>
  <si>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</si>
  <si>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</si>
  <si>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</si>
  <si>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</si>
  <si>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</si>
  <si>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</si>
  <si>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</si>
  <si>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</si>
  <si>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</si>
  <si>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</si>
  <si>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</si>
  <si>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3941</t>
  </si>
  <si>
    <t>3942</t>
  </si>
  <si>
    <t>3948</t>
  </si>
  <si>
    <t>3950</t>
  </si>
  <si>
    <t>3951</t>
  </si>
  <si>
    <t>3952</t>
  </si>
  <si>
    <t>3953</t>
  </si>
  <si>
    <t>3955</t>
  </si>
  <si>
    <t>3956</t>
  </si>
  <si>
    <t>3957</t>
  </si>
  <si>
    <t>3958</t>
  </si>
  <si>
    <t>3959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</si>
  <si>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</si>
  <si>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</si>
  <si>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</si>
  <si>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</si>
  <si>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</si>
  <si>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</si>
  <si>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</si>
  <si>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</si>
  <si>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</si>
  <si>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</si>
  <si>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</si>
  <si>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</si>
  <si>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</si>
  <si>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</si>
  <si>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</si>
  <si>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</si>
  <si>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</si>
  <si>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</si>
  <si>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</si>
  <si>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</si>
  <si>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</si>
  <si>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</si>
  <si>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</si>
  <si>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</si>
  <si>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</si>
  <si>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</si>
  <si>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3988</t>
  </si>
  <si>
    <t>3990</t>
  </si>
  <si>
    <t>3993</t>
  </si>
  <si>
    <t>3995</t>
  </si>
  <si>
    <t>3996</t>
  </si>
  <si>
    <t>3998</t>
  </si>
  <si>
    <t>4000</t>
  </si>
  <si>
    <t>4002</t>
  </si>
  <si>
    <t>4003</t>
  </si>
  <si>
    <t>4004</t>
  </si>
  <si>
    <t>4006</t>
  </si>
  <si>
    <t>4008</t>
  </si>
  <si>
    <t>4012</t>
  </si>
  <si>
    <t>4015</t>
  </si>
  <si>
    <t>4018</t>
  </si>
  <si>
    <t>4021</t>
  </si>
  <si>
    <t>4025</t>
  </si>
  <si>
    <t>4035</t>
  </si>
  <si>
    <t>4037</t>
  </si>
  <si>
    <t>4039</t>
  </si>
  <si>
    <t>4053</t>
  </si>
  <si>
    <t>4056</t>
  </si>
  <si>
    <t>4060</t>
  </si>
  <si>
    <t>4063</t>
  </si>
  <si>
    <t>4100</t>
  </si>
  <si>
    <t>4101</t>
  </si>
  <si>
    <t>4102</t>
  </si>
  <si>
    <t>4103</t>
  </si>
  <si>
    <t>4104</t>
  </si>
  <si>
    <t>4105</t>
  </si>
  <si>
    <t>4106</t>
  </si>
  <si>
    <t>4132</t>
  </si>
  <si>
    <t>4134</t>
  </si>
  <si>
    <t>4135</t>
  </si>
  <si>
    <t>4142</t>
  </si>
  <si>
    <t>4162</t>
  </si>
  <si>
    <t>4165</t>
  </si>
  <si>
    <t>4166</t>
  </si>
  <si>
    <t>4169</t>
  </si>
  <si>
    <t>4170</t>
  </si>
  <si>
    <t>4174</t>
  </si>
  <si>
    <t>4176</t>
  </si>
  <si>
    <t>4178</t>
  </si>
  <si>
    <t>4231</t>
  </si>
  <si>
    <t>4240</t>
  </si>
  <si>
    <t>4241</t>
  </si>
  <si>
    <t>4242</t>
  </si>
  <si>
    <t>4243</t>
  </si>
  <si>
    <t>4244</t>
  </si>
  <si>
    <t>4280</t>
  </si>
  <si>
    <t>4281</t>
  </si>
  <si>
    <t>4288</t>
  </si>
  <si>
    <t>4327</t>
  </si>
  <si>
    <t>4334</t>
  </si>
  <si>
    <t>4335</t>
  </si>
  <si>
    <t>4393</t>
  </si>
  <si>
    <t>4394</t>
  </si>
  <si>
    <t>4395</t>
  </si>
  <si>
    <t>4396</t>
  </si>
  <si>
    <t>4397</t>
  </si>
  <si>
    <t>4398</t>
  </si>
  <si>
    <t>4402</t>
  </si>
  <si>
    <t>4497</t>
  </si>
  <si>
    <t>4498</t>
  </si>
  <si>
    <t>4499</t>
  </si>
  <si>
    <t>4505</t>
  </si>
  <si>
    <t>4506</t>
  </si>
  <si>
    <t>4507</t>
  </si>
  <si>
    <t>4508</t>
  </si>
  <si>
    <t>4509</t>
  </si>
  <si>
    <t>4536</t>
  </si>
  <si>
    <t>4537</t>
  </si>
  <si>
    <t>4538</t>
  </si>
  <si>
    <t>4539</t>
  </si>
  <si>
    <t>4545</t>
  </si>
  <si>
    <t>4547</t>
  </si>
  <si>
    <t>4549</t>
  </si>
  <si>
    <t>4711</t>
  </si>
  <si>
    <t>4815</t>
  </si>
  <si>
    <t>4816</t>
  </si>
  <si>
    <t>4817</t>
  </si>
  <si>
    <t>4818</t>
  </si>
  <si>
    <t>4819</t>
  </si>
  <si>
    <t>4845</t>
  </si>
  <si>
    <t>4846</t>
  </si>
  <si>
    <t>4847</t>
  </si>
  <si>
    <t>4852</t>
  </si>
  <si>
    <t>4853</t>
  </si>
  <si>
    <t>4854</t>
  </si>
  <si>
    <t>4868</t>
  </si>
  <si>
    <t>4869</t>
  </si>
  <si>
    <t>4870</t>
  </si>
  <si>
    <t>4872</t>
  </si>
  <si>
    <t>4873</t>
  </si>
  <si>
    <t>4879</t>
  </si>
  <si>
    <t>4880</t>
  </si>
  <si>
    <t>4881</t>
  </si>
  <si>
    <t>4887</t>
  </si>
  <si>
    <t>4888</t>
  </si>
  <si>
    <t>4889</t>
  </si>
  <si>
    <t>4892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</si>
  <si>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</si>
  <si>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</si>
  <si>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</si>
  <si>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</si>
  <si>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</si>
  <si>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</si>
  <si>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</si>
  <si>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</si>
  <si>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</si>
  <si>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</si>
  <si>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</si>
  <si>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4914</t>
  </si>
  <si>
    <t>4915</t>
  </si>
  <si>
    <t>4916</t>
  </si>
  <si>
    <t>4917</t>
  </si>
  <si>
    <t>4918</t>
  </si>
  <si>
    <t>4919</t>
  </si>
  <si>
    <t>4920</t>
  </si>
  <si>
    <t>4921</t>
  </si>
  <si>
    <t>4923</t>
  </si>
  <si>
    <t>4924</t>
  </si>
  <si>
    <t>4925</t>
  </si>
  <si>
    <t>4926</t>
  </si>
  <si>
    <t>4927</t>
  </si>
  <si>
    <t>4932</t>
  </si>
  <si>
    <t>4933</t>
  </si>
  <si>
    <t>4934</t>
  </si>
  <si>
    <t>4935</t>
  </si>
  <si>
    <t>4936</t>
  </si>
  <si>
    <t>4941</t>
  </si>
  <si>
    <t>4942</t>
  </si>
  <si>
    <t>4943</t>
  </si>
  <si>
    <t>4944</t>
  </si>
  <si>
    <t>4946</t>
  </si>
  <si>
    <t>4947</t>
  </si>
  <si>
    <t>4948</t>
  </si>
  <si>
    <t>4949</t>
  </si>
  <si>
    <t>4951</t>
  </si>
  <si>
    <t>4956</t>
  </si>
  <si>
    <t>4961</t>
  </si>
  <si>
    <t>4962</t>
  </si>
  <si>
    <t>4963</t>
  </si>
  <si>
    <t>4967</t>
  </si>
  <si>
    <t>4968</t>
  </si>
  <si>
    <t>4969</t>
  </si>
  <si>
    <t>4970</t>
  </si>
  <si>
    <t>4972</t>
  </si>
  <si>
    <t>4987</t>
  </si>
  <si>
    <t>4988</t>
  </si>
  <si>
    <t>4989</t>
  </si>
  <si>
    <t>4990</t>
  </si>
  <si>
    <t>4999</t>
  </si>
  <si>
    <t>5000</t>
  </si>
  <si>
    <t>5001</t>
  </si>
  <si>
    <t>5005</t>
  </si>
  <si>
    <t>5008</t>
  </si>
  <si>
    <t>5009</t>
  </si>
  <si>
    <t>5010</t>
  </si>
  <si>
    <t>5011</t>
  </si>
  <si>
    <t>5014</t>
  </si>
  <si>
    <t>5015</t>
  </si>
  <si>
    <t>5016</t>
  </si>
  <si>
    <t>5017</t>
  </si>
  <si>
    <t>5018</t>
  </si>
  <si>
    <t>5019</t>
  </si>
  <si>
    <t>5023</t>
  </si>
  <si>
    <t>5024</t>
  </si>
  <si>
    <t>5025</t>
  </si>
  <si>
    <t>5026</t>
  </si>
  <si>
    <t>5030</t>
  </si>
  <si>
    <t>5031</t>
  </si>
  <si>
    <t>5034</t>
  </si>
  <si>
    <t>5036</t>
  </si>
  <si>
    <t>5047</t>
  </si>
  <si>
    <t>5052</t>
  </si>
  <si>
    <t>5053</t>
  </si>
  <si>
    <t>5057</t>
  </si>
  <si>
    <t>5073</t>
  </si>
  <si>
    <t>5074</t>
  </si>
  <si>
    <t>5075</t>
  </si>
  <si>
    <t>5076</t>
  </si>
  <si>
    <t>5077</t>
  </si>
  <si>
    <t>5078</t>
  </si>
  <si>
    <t>5079</t>
  </si>
  <si>
    <t>5080</t>
  </si>
  <si>
    <t>5083</t>
  </si>
  <si>
    <t>5086</t>
  </si>
  <si>
    <t>5087</t>
  </si>
  <si>
    <t>5089</t>
  </si>
  <si>
    <t>5090</t>
  </si>
  <si>
    <t>5091</t>
  </si>
  <si>
    <t>5093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</si>
  <si>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</si>
  <si>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</si>
  <si>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</si>
  <si>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</si>
  <si>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</si>
  <si>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</si>
  <si>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</si>
  <si>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</si>
  <si>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</si>
  <si>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</si>
  <si>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5108</t>
  </si>
  <si>
    <t>5109</t>
  </si>
  <si>
    <t>5110</t>
  </si>
  <si>
    <t>5111</t>
  </si>
  <si>
    <t>5122</t>
  </si>
  <si>
    <t>5127</t>
  </si>
  <si>
    <t>5128</t>
  </si>
  <si>
    <t>5129</t>
  </si>
  <si>
    <t>5131</t>
  </si>
  <si>
    <t>5139</t>
  </si>
  <si>
    <t>5140</t>
  </si>
  <si>
    <t>5141</t>
  </si>
  <si>
    <t>5142</t>
  </si>
  <si>
    <t>5143</t>
  </si>
  <si>
    <t>5154</t>
  </si>
  <si>
    <t>5155</t>
  </si>
  <si>
    <t>5158</t>
  </si>
  <si>
    <t>5159</t>
  </si>
  <si>
    <t>5164</t>
  </si>
  <si>
    <t>5165</t>
  </si>
  <si>
    <t>5168</t>
  </si>
  <si>
    <t>5169</t>
  </si>
  <si>
    <t>5172</t>
  </si>
  <si>
    <t>5174</t>
  </si>
  <si>
    <t>5176</t>
  </si>
  <si>
    <t>5177</t>
  </si>
  <si>
    <t>5188</t>
  </si>
  <si>
    <t>5189</t>
  </si>
  <si>
    <t>5198</t>
  </si>
  <si>
    <t>5199</t>
  </si>
  <si>
    <t>5223</t>
  </si>
  <si>
    <t>5229</t>
  </si>
  <si>
    <t>5236</t>
  </si>
  <si>
    <t>5237</t>
  </si>
  <si>
    <t>5238</t>
  </si>
  <si>
    <t>5251</t>
  </si>
  <si>
    <t>5252</t>
  </si>
  <si>
    <t>5253</t>
  </si>
  <si>
    <t>5254</t>
  </si>
  <si>
    <t>5255</t>
  </si>
  <si>
    <t>5256</t>
  </si>
  <si>
    <t>5267</t>
  </si>
  <si>
    <t>5268</t>
  </si>
  <si>
    <t>5276</t>
  </si>
  <si>
    <t>5277</t>
  </si>
  <si>
    <t>5278</t>
  </si>
  <si>
    <t>5279</t>
  </si>
  <si>
    <t>5280</t>
  </si>
  <si>
    <t>5281</t>
  </si>
  <si>
    <t>5284</t>
  </si>
  <si>
    <t>5287</t>
  </si>
  <si>
    <t>5288</t>
  </si>
  <si>
    <t>5289</t>
  </si>
  <si>
    <t>5290</t>
  </si>
  <si>
    <t>5291</t>
  </si>
  <si>
    <t>5292</t>
  </si>
  <si>
    <t>5293</t>
  </si>
  <si>
    <t>5294</t>
  </si>
  <si>
    <t>5302</t>
  </si>
  <si>
    <t>5308</t>
  </si>
  <si>
    <t>5309</t>
  </si>
  <si>
    <t>5342</t>
  </si>
  <si>
    <t>5405</t>
  </si>
  <si>
    <t>5407</t>
  </si>
  <si>
    <t>5408</t>
  </si>
  <si>
    <t>5409</t>
  </si>
  <si>
    <t>5410</t>
  </si>
  <si>
    <t>5432</t>
  </si>
  <si>
    <t>5433</t>
  </si>
  <si>
    <t>5438</t>
  </si>
  <si>
    <t>5439</t>
  </si>
  <si>
    <t>5447</t>
  </si>
  <si>
    <t>5448</t>
  </si>
  <si>
    <t>5453</t>
  </si>
  <si>
    <t>5467</t>
  </si>
  <si>
    <t>5473</t>
  </si>
  <si>
    <t>5479</t>
  </si>
  <si>
    <t>5488</t>
  </si>
  <si>
    <t>5496</t>
  </si>
  <si>
    <t>5497</t>
  </si>
  <si>
    <t>5500</t>
  </si>
  <si>
    <t>5501</t>
  </si>
  <si>
    <t>5502</t>
  </si>
  <si>
    <t>5514</t>
  </si>
  <si>
    <t>5515</t>
  </si>
  <si>
    <t>5516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</si>
  <si>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</si>
  <si>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</si>
  <si>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</si>
  <si>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</si>
  <si>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</si>
  <si>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</si>
  <si>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</si>
  <si>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</si>
  <si>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</si>
  <si>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</si>
  <si>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</si>
  <si>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</si>
  <si>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</si>
  <si>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</si>
  <si>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</si>
  <si>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</si>
  <si>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</si>
  <si>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5545</t>
  </si>
  <si>
    <t>5552</t>
  </si>
  <si>
    <t>5553</t>
  </si>
  <si>
    <t>5559</t>
  </si>
  <si>
    <t>5560</t>
  </si>
  <si>
    <t>5562</t>
  </si>
  <si>
    <t>5574</t>
  </si>
  <si>
    <t>5596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</si>
  <si>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</si>
  <si>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</si>
  <si>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</si>
  <si>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</si>
  <si>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</si>
  <si>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</si>
  <si>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</si>
  <si>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</si>
  <si>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</si>
  <si>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</si>
  <si>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5623</t>
  </si>
  <si>
    <t>5624</t>
  </si>
  <si>
    <t>5634</t>
  </si>
  <si>
    <t>5635</t>
  </si>
  <si>
    <t>5636</t>
  </si>
  <si>
    <t>5637</t>
  </si>
  <si>
    <t>5640</t>
  </si>
  <si>
    <t>5648</t>
  </si>
  <si>
    <t>5668</t>
  </si>
  <si>
    <t>5670</t>
  </si>
  <si>
    <t>5677</t>
  </si>
  <si>
    <t>5678</t>
  </si>
  <si>
    <t>5683</t>
  </si>
  <si>
    <t>5684</t>
  </si>
  <si>
    <t>5689</t>
  </si>
  <si>
    <t>5690</t>
  </si>
  <si>
    <t>5702</t>
  </si>
  <si>
    <t>5769</t>
  </si>
  <si>
    <t>5921</t>
  </si>
  <si>
    <t>5922</t>
  </si>
  <si>
    <t>5925</t>
  </si>
  <si>
    <t>5926</t>
  </si>
  <si>
    <t>5927</t>
  </si>
  <si>
    <t>5928</t>
  </si>
  <si>
    <t>5929</t>
  </si>
  <si>
    <t>5932</t>
  </si>
  <si>
    <t>5934</t>
  </si>
  <si>
    <t>5939</t>
  </si>
  <si>
    <t>5942</t>
  </si>
  <si>
    <t>5943</t>
  </si>
  <si>
    <t>5944</t>
  </si>
  <si>
    <t>5945</t>
  </si>
  <si>
    <t>5946</t>
  </si>
  <si>
    <t>5947</t>
  </si>
  <si>
    <t>5948</t>
  </si>
  <si>
    <t>5949</t>
  </si>
  <si>
    <t>5963</t>
  </si>
  <si>
    <t>5977</t>
  </si>
  <si>
    <t>5978</t>
  </si>
  <si>
    <t>5979</t>
  </si>
  <si>
    <t>5990</t>
  </si>
  <si>
    <t>5991</t>
  </si>
  <si>
    <t>5992</t>
  </si>
  <si>
    <t>5996</t>
  </si>
  <si>
    <t>5997</t>
  </si>
  <si>
    <t>5998</t>
  </si>
  <si>
    <t>6037</t>
  </si>
  <si>
    <t>6038</t>
  </si>
  <si>
    <t>6039</t>
  </si>
  <si>
    <t>6040</t>
  </si>
  <si>
    <t>6041</t>
  </si>
  <si>
    <t>6042</t>
  </si>
  <si>
    <t>6043</t>
  </si>
  <si>
    <t>6045</t>
  </si>
  <si>
    <t>6046</t>
  </si>
  <si>
    <t>6055</t>
  </si>
  <si>
    <t>6056</t>
  </si>
  <si>
    <t>6057</t>
  </si>
  <si>
    <t>6058</t>
  </si>
  <si>
    <t>6071</t>
  </si>
  <si>
    <t>6072</t>
  </si>
  <si>
    <t>6073</t>
  </si>
  <si>
    <t>6074</t>
  </si>
  <si>
    <t>6114</t>
  </si>
  <si>
    <t>6115</t>
  </si>
  <si>
    <t>6116</t>
  </si>
  <si>
    <t>6117</t>
  </si>
  <si>
    <t>6130</t>
  </si>
  <si>
    <t>6135</t>
  </si>
  <si>
    <t>6136</t>
  </si>
  <si>
    <t>6137</t>
  </si>
  <si>
    <t>6138</t>
  </si>
  <si>
    <t>6139</t>
  </si>
  <si>
    <t>6140</t>
  </si>
  <si>
    <t>6145</t>
  </si>
  <si>
    <t>6147</t>
  </si>
  <si>
    <t>6148</t>
  </si>
  <si>
    <t>6150</t>
  </si>
  <si>
    <t>6160</t>
  </si>
  <si>
    <t>6164</t>
  </si>
  <si>
    <t>6165</t>
  </si>
  <si>
    <t>6166</t>
  </si>
  <si>
    <t>6168</t>
  </si>
  <si>
    <t>6169</t>
  </si>
  <si>
    <t>6178</t>
  </si>
  <si>
    <t>6179</t>
  </si>
  <si>
    <t>6187</t>
  </si>
  <si>
    <t>6188</t>
  </si>
  <si>
    <t>6189</t>
  </si>
  <si>
    <t>6191</t>
  </si>
  <si>
    <t>6193</t>
  </si>
  <si>
    <t>6194</t>
  </si>
  <si>
    <t>6220</t>
  </si>
  <si>
    <t>6221</t>
  </si>
  <si>
    <t>6225</t>
  </si>
  <si>
    <t>6253</t>
  </si>
  <si>
    <t>6259</t>
  </si>
  <si>
    <t>6263</t>
  </si>
  <si>
    <t>6264</t>
  </si>
  <si>
    <t>6265</t>
  </si>
  <si>
    <t>6266</t>
  </si>
  <si>
    <t>6268</t>
  </si>
  <si>
    <t>6269</t>
  </si>
  <si>
    <t>6273</t>
  </si>
  <si>
    <t>6274</t>
  </si>
  <si>
    <t>6284</t>
  </si>
  <si>
    <t>6285</t>
  </si>
  <si>
    <t>6289</t>
  </si>
  <si>
    <t>6290</t>
  </si>
  <si>
    <t>6293</t>
  </si>
  <si>
    <t>6294</t>
  </si>
  <si>
    <t>6386</t>
  </si>
  <si>
    <t>6387</t>
  </si>
  <si>
    <t>6388</t>
  </si>
  <si>
    <t>6397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</si>
  <si>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</si>
  <si>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</si>
  <si>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</si>
  <si>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</si>
  <si>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</si>
  <si>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</si>
  <si>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</si>
  <si>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</si>
  <si>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</si>
  <si>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</si>
  <si>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</si>
  <si>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</si>
  <si>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</si>
  <si>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</si>
  <si>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</si>
  <si>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</si>
  <si>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</si>
  <si>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</si>
  <si>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</si>
  <si>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</si>
  <si>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</si>
  <si>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6438</t>
  </si>
  <si>
    <t>6440</t>
  </si>
  <si>
    <t>6441</t>
  </si>
  <si>
    <t>6442</t>
  </si>
  <si>
    <t>6443</t>
  </si>
  <si>
    <t>6445</t>
  </si>
  <si>
    <t>6656</t>
  </si>
  <si>
    <t>6697</t>
  </si>
  <si>
    <t>6700</t>
  </si>
  <si>
    <t>6702</t>
  </si>
  <si>
    <t>6703</t>
  </si>
  <si>
    <t>6706</t>
  </si>
  <si>
    <t>6709</t>
  </si>
  <si>
    <t>6710</t>
  </si>
  <si>
    <t>6711</t>
  </si>
  <si>
    <t>6712</t>
  </si>
  <si>
    <t>6713</t>
  </si>
  <si>
    <t>6714</t>
  </si>
  <si>
    <t>6715</t>
  </si>
  <si>
    <t>6718</t>
  </si>
  <si>
    <t>6719</t>
  </si>
  <si>
    <t>6720</t>
  </si>
  <si>
    <t>6722</t>
  </si>
  <si>
    <t>6728</t>
  </si>
  <si>
    <t>6731</t>
  </si>
  <si>
    <t>6737</t>
  </si>
  <si>
    <t>6751</t>
  </si>
  <si>
    <t>6766</t>
  </si>
  <si>
    <t>6777</t>
  </si>
  <si>
    <t>6778</t>
  </si>
  <si>
    <t>6790</t>
  </si>
  <si>
    <t>6791</t>
  </si>
  <si>
    <t>6795</t>
  </si>
  <si>
    <t>6806</t>
  </si>
  <si>
    <t>6807</t>
  </si>
  <si>
    <t>6824</t>
  </si>
  <si>
    <t>6830</t>
  </si>
  <si>
    <t>6831</t>
  </si>
  <si>
    <t>6834</t>
  </si>
  <si>
    <t>6835</t>
  </si>
  <si>
    <t>6859</t>
  </si>
  <si>
    <t>6860</t>
  </si>
  <si>
    <t>6871</t>
  </si>
  <si>
    <t>6872</t>
  </si>
  <si>
    <t>6880</t>
  </si>
  <si>
    <t>6883</t>
  </si>
  <si>
    <t>6884</t>
  </si>
  <si>
    <t>6888</t>
  </si>
  <si>
    <t>6895</t>
  </si>
  <si>
    <t>6896</t>
  </si>
  <si>
    <t>6897</t>
  </si>
  <si>
    <t>6913</t>
  </si>
  <si>
    <t>6955</t>
  </si>
  <si>
    <t>7102</t>
  </si>
  <si>
    <t>7103</t>
  </si>
  <si>
    <t>7104</t>
  </si>
  <si>
    <t>7106</t>
  </si>
  <si>
    <t>7108</t>
  </si>
  <si>
    <t>7110</t>
  </si>
  <si>
    <t>7111</t>
  </si>
  <si>
    <t>7112</t>
  </si>
  <si>
    <t>7114</t>
  </si>
  <si>
    <t>7115</t>
  </si>
  <si>
    <t>7116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</si>
  <si>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</si>
  <si>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</si>
  <si>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</si>
  <si>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</si>
  <si>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</si>
  <si>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</si>
  <si>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</si>
  <si>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</si>
  <si>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</si>
  <si>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7128</t>
  </si>
  <si>
    <t>7130</t>
  </si>
  <si>
    <t>7132</t>
  </si>
  <si>
    <t>7134</t>
  </si>
  <si>
    <t>7137</t>
  </si>
  <si>
    <t>7138</t>
  </si>
  <si>
    <t>7139</t>
  </si>
  <si>
    <t>7140</t>
  </si>
  <si>
    <t>7141</t>
  </si>
  <si>
    <t>7145</t>
  </si>
  <si>
    <t>7146</t>
  </si>
  <si>
    <t>7147</t>
  </si>
  <si>
    <t>7148</t>
  </si>
  <si>
    <t>7150</t>
  </si>
  <si>
    <t>7153</t>
  </si>
  <si>
    <t>7154</t>
  </si>
  <si>
    <t>7155</t>
  </si>
  <si>
    <t>7156</t>
  </si>
  <si>
    <t>7157</t>
  </si>
  <si>
    <t>7158</t>
  </si>
  <si>
    <t>7161</t>
  </si>
  <si>
    <t>7164</t>
  </si>
  <si>
    <t>7169</t>
  </si>
  <si>
    <t>7475</t>
  </si>
  <si>
    <t>7476</t>
  </si>
  <si>
    <t>7605</t>
  </si>
  <si>
    <t>7607</t>
  </si>
  <si>
    <t>7608</t>
  </si>
  <si>
    <t>7741</t>
  </si>
  <si>
    <t>7742</t>
  </si>
  <si>
    <t>7779</t>
  </si>
  <si>
    <t>7780</t>
  </si>
  <si>
    <t>7781</t>
  </si>
  <si>
    <t>7782</t>
  </si>
  <si>
    <t>7795</t>
  </si>
  <si>
    <t>7796</t>
  </si>
  <si>
    <t>7804</t>
  </si>
  <si>
    <t>7806</t>
  </si>
  <si>
    <t>7822</t>
  </si>
  <si>
    <t>7951</t>
  </si>
  <si>
    <t>8407</t>
  </si>
  <si>
    <t>8408</t>
  </si>
  <si>
    <t>8440</t>
  </si>
  <si>
    <t>8441</t>
  </si>
  <si>
    <t>8442</t>
  </si>
  <si>
    <t>8453</t>
  </si>
  <si>
    <t>8454</t>
  </si>
  <si>
    <t>8455</t>
  </si>
  <si>
    <t>8459</t>
  </si>
  <si>
    <t>8460</t>
  </si>
  <si>
    <t>8464</t>
  </si>
  <si>
    <t>8466</t>
  </si>
  <si>
    <t>8467</t>
  </si>
  <si>
    <t>8468</t>
  </si>
  <si>
    <t>8469</t>
  </si>
  <si>
    <t>8472</t>
  </si>
  <si>
    <t>8473</t>
  </si>
  <si>
    <t>8476</t>
  </si>
  <si>
    <t>8485</t>
  </si>
  <si>
    <t>8487</t>
  </si>
  <si>
    <t>8491</t>
  </si>
  <si>
    <t>8492</t>
  </si>
  <si>
    <t>8493</t>
  </si>
  <si>
    <t>8498</t>
  </si>
  <si>
    <t>8499</t>
  </si>
  <si>
    <t>8516</t>
  </si>
  <si>
    <t>8518</t>
  </si>
  <si>
    <t>8519</t>
  </si>
  <si>
    <t>8520</t>
  </si>
  <si>
    <t>8521</t>
  </si>
  <si>
    <t>8523</t>
  </si>
  <si>
    <t>8524</t>
  </si>
  <si>
    <t>8525</t>
  </si>
  <si>
    <t>8801</t>
  </si>
  <si>
    <t>8802</t>
  </si>
  <si>
    <t>8872</t>
  </si>
  <si>
    <t>8873</t>
  </si>
  <si>
    <t>8874</t>
  </si>
  <si>
    <t>8977</t>
  </si>
  <si>
    <t>8985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</si>
  <si>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</si>
  <si>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</si>
  <si>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</si>
  <si>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</si>
  <si>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</si>
  <si>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</si>
  <si>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</si>
  <si>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</si>
  <si>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</si>
  <si>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</si>
  <si>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</si>
  <si>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</si>
  <si>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</si>
  <si>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</si>
  <si>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9023</t>
  </si>
  <si>
    <t>9024</t>
  </si>
  <si>
    <t>9026</t>
  </si>
  <si>
    <t>9027</t>
  </si>
  <si>
    <t>9028</t>
  </si>
  <si>
    <t>9030</t>
  </si>
  <si>
    <t>9031</t>
  </si>
  <si>
    <t>9034</t>
  </si>
  <si>
    <t>9035</t>
  </si>
  <si>
    <t>9038</t>
  </si>
  <si>
    <t>9040</t>
  </si>
  <si>
    <t>9041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</si>
  <si>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</si>
  <si>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</si>
  <si>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</si>
  <si>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</si>
  <si>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</si>
  <si>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</si>
  <si>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</si>
  <si>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</si>
  <si>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</si>
  <si>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</si>
  <si>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</si>
  <si>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</si>
  <si>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</si>
  <si>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</si>
  <si>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</si>
  <si>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</si>
  <si>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</si>
  <si>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</si>
  <si>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</si>
  <si>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</si>
  <si>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</si>
  <si>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</si>
  <si>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</si>
  <si>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</si>
  <si>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</si>
  <si>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</si>
  <si>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</si>
  <si>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</si>
  <si>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</si>
  <si>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</si>
  <si>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</si>
  <si>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</si>
  <si>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</si>
  <si>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</si>
  <si>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</si>
  <si>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</si>
  <si>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</si>
  <si>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</si>
  <si>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</si>
  <si>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</si>
  <si>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</si>
  <si>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</si>
  <si>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</si>
  <si>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</si>
  <si>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</si>
  <si>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9092</t>
  </si>
  <si>
    <t>9094</t>
  </si>
  <si>
    <t>9095</t>
  </si>
  <si>
    <t>9098</t>
  </si>
  <si>
    <t>9100</t>
  </si>
  <si>
    <t>9101</t>
  </si>
  <si>
    <t>9102</t>
  </si>
  <si>
    <t>9105</t>
  </si>
  <si>
    <t>9109</t>
  </si>
  <si>
    <t>9116</t>
  </si>
  <si>
    <t>9119</t>
  </si>
  <si>
    <t>9121</t>
  </si>
  <si>
    <t>9123</t>
  </si>
  <si>
    <t>9124</t>
  </si>
  <si>
    <t>9129</t>
  </si>
  <si>
    <t>9130</t>
  </si>
  <si>
    <t>9131</t>
  </si>
  <si>
    <t>9133</t>
  </si>
  <si>
    <t>9135</t>
  </si>
  <si>
    <t>9136</t>
  </si>
  <si>
    <t>9137</t>
  </si>
  <si>
    <t>9138</t>
  </si>
  <si>
    <t>9139</t>
  </si>
  <si>
    <t>9151</t>
  </si>
  <si>
    <t>9152</t>
  </si>
  <si>
    <t>9155</t>
  </si>
  <si>
    <t>9156</t>
  </si>
  <si>
    <t>9162</t>
  </si>
  <si>
    <t>9163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</si>
  <si>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</si>
  <si>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</si>
  <si>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</si>
  <si>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</si>
  <si>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</si>
  <si>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</si>
  <si>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</si>
  <si>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</si>
  <si>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</si>
  <si>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9193</t>
  </si>
  <si>
    <t>9195</t>
  </si>
  <si>
    <t>9196</t>
  </si>
  <si>
    <t>9197</t>
  </si>
  <si>
    <t>9198</t>
  </si>
  <si>
    <t>9202</t>
  </si>
  <si>
    <t>9206</t>
  </si>
  <si>
    <t>9209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</si>
  <si>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</si>
  <si>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</si>
  <si>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</si>
  <si>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</si>
  <si>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</si>
  <si>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</si>
  <si>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</si>
  <si>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</si>
  <si>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</si>
  <si>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</si>
  <si>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</si>
  <si>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</si>
  <si>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</si>
  <si>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</si>
  <si>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</si>
  <si>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</si>
  <si>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</si>
  <si>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</si>
  <si>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9233</t>
  </si>
  <si>
    <t>9240</t>
  </si>
  <si>
    <t>9241</t>
  </si>
  <si>
    <t>9250</t>
  </si>
  <si>
    <t>9251</t>
  </si>
  <si>
    <t>9252</t>
  </si>
  <si>
    <t>9253</t>
  </si>
  <si>
    <t>9257</t>
  </si>
  <si>
    <t>9268</t>
  </si>
  <si>
    <t>9278</t>
  </si>
  <si>
    <t>9279</t>
  </si>
  <si>
    <t>9280</t>
  </si>
  <si>
    <t>9281</t>
  </si>
  <si>
    <t>9283</t>
  </si>
  <si>
    <t>9284</t>
  </si>
  <si>
    <t>9285</t>
  </si>
  <si>
    <t>9290</t>
  </si>
  <si>
    <t>9291</t>
  </si>
  <si>
    <t>9295</t>
  </si>
  <si>
    <t>9296</t>
  </si>
  <si>
    <t>9297</t>
  </si>
  <si>
    <t>9298</t>
  </si>
  <si>
    <t>9299</t>
  </si>
  <si>
    <t>9303</t>
  </si>
  <si>
    <t>9304</t>
  </si>
  <si>
    <t>9305</t>
  </si>
  <si>
    <t>9311</t>
  </si>
  <si>
    <t>9313</t>
  </si>
  <si>
    <t>9314</t>
  </si>
  <si>
    <t>9332</t>
  </si>
  <si>
    <t>9336</t>
  </si>
  <si>
    <t>9337</t>
  </si>
  <si>
    <t>9339</t>
  </si>
  <si>
    <t>9340</t>
  </si>
  <si>
    <t>9344</t>
  </si>
  <si>
    <t>9349</t>
  </si>
  <si>
    <t>9350</t>
  </si>
  <si>
    <t>9357</t>
  </si>
  <si>
    <t>9359</t>
  </si>
  <si>
    <t>9360</t>
  </si>
  <si>
    <t>9361</t>
  </si>
  <si>
    <t>9362</t>
  </si>
  <si>
    <t>9363</t>
  </si>
  <si>
    <t>9371</t>
  </si>
  <si>
    <t>9373</t>
  </si>
  <si>
    <t>9392</t>
  </si>
  <si>
    <t>9393</t>
  </si>
  <si>
    <t>9394</t>
  </si>
  <si>
    <t>9398</t>
  </si>
  <si>
    <t>9399</t>
  </si>
  <si>
    <t>9411</t>
  </si>
  <si>
    <t>9425</t>
  </si>
  <si>
    <t>9430</t>
  </si>
  <si>
    <t>9444</t>
  </si>
  <si>
    <t>9450</t>
  </si>
  <si>
    <t>9455</t>
  </si>
  <si>
    <t>9456</t>
  </si>
  <si>
    <t>9458</t>
  </si>
  <si>
    <t>9464</t>
  </si>
  <si>
    <t>9465</t>
  </si>
  <si>
    <t>9466</t>
  </si>
  <si>
    <t>9477</t>
  </si>
  <si>
    <t>9478</t>
  </si>
  <si>
    <t>9491</t>
  </si>
  <si>
    <t>9492</t>
  </si>
  <si>
    <t>9493</t>
  </si>
  <si>
    <t>9494</t>
  </si>
  <si>
    <t>9501</t>
  </si>
  <si>
    <t>9505</t>
  </si>
  <si>
    <t>9518</t>
  </si>
  <si>
    <t>9528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</si>
  <si>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</si>
  <si>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</si>
  <si>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</si>
  <si>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</si>
  <si>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</si>
  <si>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</si>
  <si>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</si>
  <si>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</si>
  <si>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</si>
  <si>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</si>
  <si>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</si>
  <si>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9549</t>
  </si>
  <si>
    <t>9573</t>
  </si>
  <si>
    <t>9740</t>
  </si>
  <si>
    <t>9742</t>
  </si>
  <si>
    <t>9746</t>
  </si>
  <si>
    <t>9747</t>
  </si>
  <si>
    <t>9748</t>
  </si>
  <si>
    <t>9749</t>
  </si>
  <si>
    <t>9750</t>
  </si>
  <si>
    <t>9753</t>
  </si>
  <si>
    <t>9760</t>
  </si>
  <si>
    <t>9761</t>
  </si>
  <si>
    <t>9762</t>
  </si>
  <si>
    <t>9763</t>
  </si>
  <si>
    <t>9766</t>
  </si>
  <si>
    <t>9767</t>
  </si>
  <si>
    <t>9768</t>
  </si>
  <si>
    <t>9769</t>
  </si>
  <si>
    <t>9770</t>
  </si>
  <si>
    <t>9772</t>
  </si>
  <si>
    <t>9773</t>
  </si>
  <si>
    <t>9774</t>
  </si>
  <si>
    <t>9775</t>
  </si>
  <si>
    <t>9776</t>
  </si>
  <si>
    <t>9777</t>
  </si>
  <si>
    <t>9778</t>
  </si>
  <si>
    <t>9779</t>
  </si>
  <si>
    <t>9781</t>
  </si>
  <si>
    <t>9782</t>
  </si>
  <si>
    <t>9783</t>
  </si>
  <si>
    <t>9784</t>
  </si>
  <si>
    <t>9785</t>
  </si>
  <si>
    <t>9786</t>
  </si>
  <si>
    <t>9788</t>
  </si>
  <si>
    <t>9790</t>
  </si>
  <si>
    <t>9795</t>
  </si>
  <si>
    <t>9796</t>
  </si>
  <si>
    <t>9797</t>
  </si>
  <si>
    <t>9798</t>
  </si>
  <si>
    <t>9799</t>
  </si>
  <si>
    <t>9803</t>
  </si>
  <si>
    <t>9807</t>
  </si>
  <si>
    <t>9813</t>
  </si>
  <si>
    <t>9821</t>
  </si>
  <si>
    <t>9838</t>
  </si>
  <si>
    <t>9840</t>
  </si>
  <si>
    <t>9841</t>
  </si>
  <si>
    <t>9842</t>
  </si>
  <si>
    <t>9846</t>
  </si>
  <si>
    <t>9859</t>
  </si>
  <si>
    <t>9861</t>
  </si>
  <si>
    <t>9862</t>
  </si>
  <si>
    <t>9868</t>
  </si>
  <si>
    <t>9869</t>
  </si>
  <si>
    <t>9870</t>
  </si>
  <si>
    <t>9872</t>
  </si>
  <si>
    <t>9874</t>
  </si>
  <si>
    <t>9883</t>
  </si>
  <si>
    <t>9884</t>
  </si>
  <si>
    <t>9895</t>
  </si>
  <si>
    <t>9902</t>
  </si>
  <si>
    <t>9948</t>
  </si>
  <si>
    <t>9951</t>
  </si>
  <si>
    <t>9952</t>
  </si>
  <si>
    <t>9953</t>
  </si>
  <si>
    <t>9954</t>
  </si>
  <si>
    <t>9955</t>
  </si>
  <si>
    <t>9957</t>
  </si>
  <si>
    <t>9958</t>
  </si>
  <si>
    <t>9959</t>
  </si>
  <si>
    <t>9960</t>
  </si>
  <si>
    <t>9961</t>
  </si>
  <si>
    <t>9964</t>
  </si>
  <si>
    <t>9965</t>
  </si>
  <si>
    <t>9966</t>
  </si>
  <si>
    <t>9967</t>
  </si>
  <si>
    <t>9968</t>
  </si>
  <si>
    <t>9971</t>
  </si>
  <si>
    <t>9972</t>
  </si>
  <si>
    <t>9973</t>
  </si>
  <si>
    <t>9974</t>
  </si>
  <si>
    <t>9975</t>
  </si>
  <si>
    <t>9988</t>
  </si>
  <si>
    <t>LAWSON COMPANY</t>
  </si>
  <si>
    <t>LAWSON LOCATION</t>
  </si>
  <si>
    <t>COMPANY</t>
  </si>
  <si>
    <t>PACK SIZE</t>
  </si>
  <si>
    <t>PRODUCT SIZE</t>
  </si>
  <si>
    <t>PRODUCT PACKED TYPE</t>
  </si>
  <si>
    <t>PRODUCT DESCRIPTION</t>
  </si>
  <si>
    <t>QUANTITY ON HAND</t>
  </si>
  <si>
    <t>QUANTITY ON ORDER</t>
  </si>
  <si>
    <t>8 WEEK DEMAND CYCLE</t>
  </si>
  <si>
    <t>AVG. DEMD</t>
  </si>
  <si>
    <t>WEEKLY SUPPLY</t>
  </si>
  <si>
    <t>AVAILABLE WEEKS SUPPLY</t>
  </si>
  <si>
    <t>100</t>
  </si>
  <si>
    <t>01</t>
  </si>
  <si>
    <t>BOT</t>
  </si>
  <si>
    <t>CAN</t>
  </si>
  <si>
    <t>101 OZ</t>
  </si>
  <si>
    <t>JAR</t>
  </si>
  <si>
    <t>DIS</t>
  </si>
  <si>
    <t>POU</t>
  </si>
  <si>
    <t>SALSITA TOMATO SAUCE W CHEESE</t>
  </si>
  <si>
    <t>SALSITA CENTROAMERICA RANCHERA</t>
  </si>
  <si>
    <t>SALSITA SOFRITO CRIOLLO 7 OZ</t>
  </si>
  <si>
    <t>BAG</t>
  </si>
  <si>
    <t>BOX</t>
  </si>
  <si>
    <t>GOYA CANARY BEANS 24 Oz</t>
  </si>
  <si>
    <t>UNT</t>
  </si>
  <si>
    <t>TET</t>
  </si>
  <si>
    <t>ENV</t>
  </si>
  <si>
    <t>LA MODERNA SOCCER PASTA 7 OZ</t>
  </si>
  <si>
    <t>BAR</t>
  </si>
  <si>
    <t>13.75 OZ</t>
  </si>
  <si>
    <t>CHAO MEIN CANTONESA 13.75 OZ</t>
  </si>
  <si>
    <t>LA MODERNA ALPHABET 16 OZ</t>
  </si>
  <si>
    <t>TUB</t>
  </si>
  <si>
    <t>SAZON GOYA AZAFRAN 18PK 1.41OZ</t>
  </si>
  <si>
    <t>GOYA MALTA CANE SUGAR 6/4 PACK</t>
  </si>
  <si>
    <t>GOYA ALOE VERA DRNK WTRMLN FLV</t>
  </si>
  <si>
    <t>GOYA ALOE VERA DRNK SUGAR FREE</t>
  </si>
  <si>
    <t>GOYA ALOE VERA DRINK ORGANIC</t>
  </si>
  <si>
    <t>GOYA ALOE VERA DRNK ORG 1.5 LT</t>
  </si>
  <si>
    <t>GOYA ALOE VERA DRNK MNGO 1.5LT</t>
  </si>
  <si>
    <t>GOYA ALOE VERA DRINK ORIG FLV</t>
  </si>
  <si>
    <t>GOYA ALOE VERA DRNK W/MNGO FLV</t>
  </si>
  <si>
    <t>GOYA ALOE VERA DRNK W/COCO FLV</t>
  </si>
  <si>
    <t>GOYA ALOE VERA DRNK PNAPPL FLV</t>
  </si>
  <si>
    <t>GOYA ALOE VERA DRNK PNAPL1.5LT</t>
  </si>
  <si>
    <t>WRP</t>
  </si>
  <si>
    <t>CUP</t>
  </si>
  <si>
    <t>PLANTAIN CHIPS TUB 6 X 20OZ</t>
  </si>
  <si>
    <t>INCAPARINA READY TO DRINK</t>
  </si>
  <si>
    <t>BRI</t>
  </si>
  <si>
    <t>GOYA YELLOW MASAREPA 1.1 LB</t>
  </si>
  <si>
    <t>TIN</t>
  </si>
  <si>
    <t>11.852 OZ</t>
  </si>
  <si>
    <t>CHILES CHIPOTLES 4-6PK CLUB</t>
  </si>
  <si>
    <t>CLB</t>
  </si>
  <si>
    <t>JALAPENO FLVR PLANTAIN CHIPS</t>
  </si>
  <si>
    <t>PLANTAIN CHIP/COCO WTR 1/2 PLT</t>
  </si>
  <si>
    <t>12.3 OZ</t>
  </si>
  <si>
    <t>AREPAS DE YUCA C/QUESO 12.3 OZ</t>
  </si>
  <si>
    <t>GOYA GRATED YUCA 32 OZ</t>
  </si>
  <si>
    <t>GOYA CHOCLO  2 PIECES</t>
  </si>
  <si>
    <t>SOFRITO CUBES 16 OZ</t>
  </si>
  <si>
    <t>RECAITO CUBES 16 OZ</t>
  </si>
  <si>
    <t>FROZEN ACAI CUBES  STRAW/MANGO</t>
  </si>
  <si>
    <t>RAW SHRIMP 31/40 PEELD DEVEIND</t>
  </si>
  <si>
    <t>RAW SHRIMP 41/50 PEELD DEVEIND</t>
  </si>
  <si>
    <t>COOKED SHRIMP 31/40 PEELD DVND</t>
  </si>
  <si>
    <t>COOKED SHRIMP 41/50 PEELD DVND</t>
  </si>
  <si>
    <t>TUNA STEAKS  SKINLESS/BONELESS</t>
  </si>
  <si>
    <t>TILAPIA FILLETS  SKINLESS 16OZ</t>
  </si>
  <si>
    <t>GOYA 90 CLASSIC CAP</t>
  </si>
  <si>
    <t>GOYA FRIJOL THE BODEGA CAT CAP</t>
  </si>
  <si>
    <t>GOYA ACEITE DE OLIVA TEE SM</t>
  </si>
  <si>
    <t>GOYA ACEITE DE OLIVA TEE MD</t>
  </si>
  <si>
    <t>GOYA ACEITE DE OLIVA TEE LG</t>
  </si>
  <si>
    <t>GOYA ACEITE DE OLIVA TEE XL</t>
  </si>
  <si>
    <t>GOYA ACEITE DE OLIVA TEE 2XL</t>
  </si>
  <si>
    <t>GOYA STICKER SHEET</t>
  </si>
  <si>
    <t>GOYA FRIJOL BODEGA CAT TEE SM</t>
  </si>
  <si>
    <t>GOYA FRIJOL BODEGA CAT TEE MD</t>
  </si>
  <si>
    <t>GOYA FRIJOL BODEGA CAT TEE LG</t>
  </si>
  <si>
    <t>GOYA FRIJOL BODEGA CAT TEE XL</t>
  </si>
  <si>
    <t>GOYA PLATANOS TEE SM</t>
  </si>
  <si>
    <t>GOYA PLATANOS TEE MD</t>
  </si>
  <si>
    <t>GOYA PLATANOS TEE LG</t>
  </si>
  <si>
    <t>GOYA PLATANOS TEE XL</t>
  </si>
  <si>
    <t>GOYA PLATANOS TEE 2XL</t>
  </si>
  <si>
    <t>GOYA BEAN CHARM</t>
  </si>
  <si>
    <t>GOYA MARIA COOKIE CHARM</t>
  </si>
  <si>
    <t>GOYA COCONUT DRINK CHARM</t>
  </si>
  <si>
    <t>GOYA ADOBO BOTTLE CHARM</t>
  </si>
  <si>
    <t>GOYA FRIJOL BODEGA HOODIE SM</t>
  </si>
  <si>
    <t>GOYA FRIJOL BODEGA HOODIE MD</t>
  </si>
  <si>
    <t>GOYA FRIJOL BODEGA HOODIE LG</t>
  </si>
  <si>
    <t>GOYA FRIJOL BODEGA HOODIE XL</t>
  </si>
  <si>
    <t>GOYA BEAN SOCK</t>
  </si>
  <si>
    <t>GOYA ADOBO SOCK</t>
  </si>
  <si>
    <t>GOYA TOTE BAG</t>
  </si>
  <si>
    <t>GOYA BEAN STRESS RELIEVER</t>
  </si>
  <si>
    <t>GOYA ADOBO STRESS RELIEVER</t>
  </si>
  <si>
    <t>GOYA COCONUT WTR PLUSH DOG TOY</t>
  </si>
  <si>
    <t>GOYA BRACELET CHAIN</t>
  </si>
  <si>
    <t>GOYA CLOG CHARM</t>
  </si>
  <si>
    <t>GOYA 90 POP ART TEE SM</t>
  </si>
  <si>
    <t>GOYA 90 POP ART TEE MD</t>
  </si>
  <si>
    <t>GOYA 90 POP ART TEE LG</t>
  </si>
  <si>
    <t>GOYA 90 POP ART TEE XL</t>
  </si>
  <si>
    <t>GOYA 90 POP ART TEE 2XL</t>
  </si>
  <si>
    <t>GOYA 90 SABOR TEE SM</t>
  </si>
  <si>
    <t>GOYA 90 SABOR TEE MD</t>
  </si>
  <si>
    <t>GOYA 90 SABOR TEE LG</t>
  </si>
  <si>
    <t>GOYA 90 SABOR TEE XL</t>
  </si>
  <si>
    <t>GOYA 90 SABOR TEE 2XL</t>
  </si>
  <si>
    <t>GOYA UNANUE &amp; SONS, INC.TEE SM</t>
  </si>
  <si>
    <t>GOYA UNANUE &amp; SONS, INC.TEE MD</t>
  </si>
  <si>
    <t>GOYA UNANUE &amp; SONS, INC.TEE LG</t>
  </si>
  <si>
    <t>GOYA UNANUE &amp; SONS, INC.TEE XL</t>
  </si>
  <si>
    <t>GOYA UNANUE &amp; SONS INC.TEE 2XL</t>
  </si>
  <si>
    <t>GOYA COOL BEAN TEE SM</t>
  </si>
  <si>
    <t>GOYA COOL BEAN TEE MD</t>
  </si>
  <si>
    <t>GOYA COOL BEAN TEE LG</t>
  </si>
  <si>
    <t>GOYA COOL BEAN TEE XL</t>
  </si>
  <si>
    <t>GOYA COOL BEAN TEE 2XL</t>
  </si>
  <si>
    <t>MERCHANDISING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</si>
</sst>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#,##0"/>
    <numFmt numFmtId="165" formatCode="###"/>
    <numFmt numFmtId="166" formatCode="####0"/>
    <numFmt numFmtId="167" formatCode="###,###,###.00"/>
    <numFmt numFmtId="168" formatCode="##,###.0"/>
    <numFmt numFmtId="169" formatCode="######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name val="Calibri Light"/>
      <family val="1"/>
      <scheme val="major"/>
    </font>
    <font>
      <sz val="8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4" fillId="0" borderId="0"/>
    <xf numFmtId="0" fontId="7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 applyProtection="1">
      <alignment horizontal="left"/>
      <protection locked="0"/>
    </xf>
    <xf numFmtId="0" fontId="0" fillId="0" borderId="0" xfId="0" applyNumberFormat="1"/>
    <xf numFmtId="164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9" fontId="0" fillId="0" borderId="0" xfId="1" applyFont="1" applyAlignment="1" applyProtection="1">
      <alignment horizontal="left"/>
      <protection locked="0"/>
    </xf>
    <xf numFmtId="9" fontId="0" fillId="0" borderId="0" xfId="1" applyFont="1"/>
    <xf numFmtId="0" fontId="0" fillId="0" borderId="0" xfId="0" applyAlignment="1" applyProtection="1">
      <alignment horizontal="right"/>
      <protection locked="0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NumberFormat="1" applyAlignment="1" applyProtection="1">
      <alignment horizontal="right"/>
      <protection locked="0"/>
    </xf>
    <xf numFmtId="1" fontId="0" fillId="0" borderId="0" xfId="0" applyNumberFormat="1"/>
    <xf numFmtId="0" fontId="1" fillId="0" borderId="0" xfId="0" applyFont="1" applyAlignment="1">
      <alignment horizontal="left"/>
    </xf>
    <xf numFmtId="9" fontId="1" fillId="0" borderId="0" xfId="1" applyFont="1" applyAlignment="1">
      <alignment horizontal="left"/>
    </xf>
    <xf numFmtId="0" fontId="5" fillId="0" borderId="1" xfId="2" applyFont="1" applyBorder="1" applyAlignment="1">
      <alignment wrapText="1"/>
    </xf>
    <xf numFmtId="49" fontId="5" fillId="0" borderId="2" xfId="2" applyNumberFormat="1" applyFont="1" applyBorder="1" applyAlignment="1">
      <alignment horizontal="center" wrapText="1"/>
    </xf>
    <xf numFmtId="0" fontId="5" fillId="0" borderId="2" xfId="2" applyFont="1" applyBorder="1" applyAlignment="1">
      <alignment horizontal="center" wrapText="1"/>
    </xf>
    <xf numFmtId="0" fontId="5" fillId="2" borderId="2" xfId="2" applyFont="1" applyFill="1" applyBorder="1" applyAlignment="1">
      <alignment horizontal="center" wrapText="1"/>
    </xf>
    <xf numFmtId="0" fontId="5" fillId="2" borderId="1" xfId="2" applyFont="1" applyFill="1" applyBorder="1" applyAlignment="1">
      <alignment wrapText="1"/>
    </xf>
    <xf numFmtId="0" fontId="5" fillId="0" borderId="2" xfId="2" applyFont="1" applyFill="1" applyBorder="1" applyAlignment="1">
      <alignment horizontal="center" wrapText="1"/>
    </xf>
    <xf numFmtId="0" fontId="5" fillId="0" borderId="1" xfId="2" applyFont="1" applyFill="1" applyBorder="1" applyAlignment="1">
      <alignment wrapText="1"/>
    </xf>
    <xf numFmtId="0" fontId="1" fillId="0" borderId="0" xfId="0" applyFont="1" applyAlignment="1">
      <alignment horizontal="right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 applyProtection="1">
      <alignment horizontal="left" wrapText="1"/>
      <protection locked="0"/>
    </xf>
    <xf numFmtId="0" fontId="0" fillId="0" borderId="0" xfId="0" applyNumberFormat="1" applyAlignment="1" applyProtection="1">
      <alignment horizontal="left"/>
      <protection locked="0"/>
    </xf>
    <xf numFmtId="0" fontId="3" fillId="0" borderId="0" xfId="0" applyFont="1" applyAlignment="1" applyProtection="1">
      <alignment horizontal="right" wrapText="1"/>
      <protection locked="0"/>
    </xf>
    <xf numFmtId="166" fontId="0" fillId="0" borderId="0" xfId="0" applyNumberFormat="1" applyAlignment="1" applyProtection="1">
      <alignment horizontal="right"/>
      <protection locked="0"/>
    </xf>
    <xf numFmtId="167" fontId="0" fillId="0" borderId="0" xfId="0" applyNumberFormat="1" applyAlignment="1" applyProtection="1">
      <alignment horizontal="right"/>
      <protection locked="0"/>
    </xf>
    <xf numFmtId="168" fontId="0" fillId="0" borderId="0" xfId="0" applyNumberFormat="1" applyAlignment="1" applyProtection="1">
      <alignment horizontal="right"/>
      <protection locked="0"/>
    </xf>
    <xf numFmtId="169" fontId="0" fillId="0" borderId="0" xfId="0" applyNumberFormat="1" applyAlignment="1" applyProtection="1">
      <alignment horizontal="right"/>
      <protection locked="0"/>
    </xf>
  </cellXfs>
  <cellStyles count="4">
    <cellStyle name="Normal" xfId="0" builtinId="0"/>
    <cellStyle name="Normal 2" xfId="2" xr:uid="{F1249829-718D-45A3-8BAE-003035C7395D}"/>
    <cellStyle name="Normal 3" xfId="3" xr:uid="{D9B62241-2729-48FE-B7E4-3DFC58C18D1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qlexe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I2">
            <v>1045</v>
          </cell>
        </row>
        <row r="3">
          <cell r="I3">
            <v>3063</v>
          </cell>
        </row>
        <row r="4">
          <cell r="I4">
            <v>3740</v>
          </cell>
        </row>
        <row r="5">
          <cell r="I5">
            <v>243</v>
          </cell>
        </row>
        <row r="6">
          <cell r="I6">
            <v>1434</v>
          </cell>
        </row>
        <row r="7">
          <cell r="I7">
            <v>134</v>
          </cell>
        </row>
        <row r="8">
          <cell r="I8">
            <v>3</v>
          </cell>
        </row>
        <row r="9">
          <cell r="I9">
            <v>78</v>
          </cell>
        </row>
        <row r="10">
          <cell r="I10">
            <v>67</v>
          </cell>
        </row>
        <row r="11">
          <cell r="I11">
            <v>124</v>
          </cell>
        </row>
        <row r="12">
          <cell r="I12">
            <v>495</v>
          </cell>
        </row>
        <row r="13">
          <cell r="I13">
            <v>436</v>
          </cell>
        </row>
        <row r="14">
          <cell r="I14">
            <v>43</v>
          </cell>
        </row>
        <row r="15">
          <cell r="I15">
            <v>357</v>
          </cell>
        </row>
        <row r="16">
          <cell r="I16">
            <v>38</v>
          </cell>
        </row>
        <row r="17">
          <cell r="I17">
            <v>225</v>
          </cell>
        </row>
        <row r="18">
          <cell r="I18">
            <v>89</v>
          </cell>
        </row>
        <row r="19">
          <cell r="I19">
            <v>327</v>
          </cell>
        </row>
        <row r="20">
          <cell r="I20">
            <v>83</v>
          </cell>
        </row>
        <row r="21">
          <cell r="I21">
            <v>168</v>
          </cell>
        </row>
        <row r="22">
          <cell r="I22">
            <v>28</v>
          </cell>
        </row>
        <row r="23">
          <cell r="I23">
            <v>32</v>
          </cell>
        </row>
        <row r="24">
          <cell r="I24">
            <v>251</v>
          </cell>
        </row>
        <row r="25">
          <cell r="I25">
            <v>550</v>
          </cell>
        </row>
        <row r="26">
          <cell r="I26">
            <v>155</v>
          </cell>
        </row>
        <row r="27">
          <cell r="I27">
            <v>526</v>
          </cell>
        </row>
        <row r="28">
          <cell r="I28">
            <v>917</v>
          </cell>
        </row>
        <row r="29">
          <cell r="I29">
            <v>703</v>
          </cell>
        </row>
        <row r="30">
          <cell r="I30">
            <v>164</v>
          </cell>
        </row>
        <row r="31">
          <cell r="I31">
            <v>412</v>
          </cell>
        </row>
        <row r="32">
          <cell r="I32">
            <v>610</v>
          </cell>
        </row>
        <row r="33">
          <cell r="I33">
            <v>1080</v>
          </cell>
        </row>
        <row r="34">
          <cell r="I34">
            <v>972</v>
          </cell>
        </row>
        <row r="35">
          <cell r="I35">
            <v>163</v>
          </cell>
        </row>
        <row r="36">
          <cell r="I36">
            <v>411</v>
          </cell>
        </row>
        <row r="37">
          <cell r="I37">
            <v>233</v>
          </cell>
        </row>
        <row r="38">
          <cell r="I38">
            <v>166</v>
          </cell>
        </row>
        <row r="39">
          <cell r="I39">
            <v>1608</v>
          </cell>
        </row>
        <row r="40">
          <cell r="I40">
            <v>63</v>
          </cell>
        </row>
        <row r="41">
          <cell r="I41">
            <v>374</v>
          </cell>
        </row>
        <row r="42">
          <cell r="I42">
            <v>662</v>
          </cell>
        </row>
        <row r="43">
          <cell r="I43">
            <v>322</v>
          </cell>
        </row>
        <row r="44">
          <cell r="I44">
            <v>187</v>
          </cell>
        </row>
        <row r="45">
          <cell r="I45">
            <v>1851</v>
          </cell>
        </row>
        <row r="46">
          <cell r="I46">
            <v>716</v>
          </cell>
        </row>
        <row r="47">
          <cell r="I47">
            <v>2230</v>
          </cell>
        </row>
        <row r="48">
          <cell r="I48">
            <v>438</v>
          </cell>
        </row>
        <row r="49">
          <cell r="I49">
            <v>111</v>
          </cell>
        </row>
        <row r="50">
          <cell r="I50">
            <v>243</v>
          </cell>
        </row>
        <row r="51">
          <cell r="I51">
            <v>183</v>
          </cell>
        </row>
        <row r="52">
          <cell r="I52">
            <v>845</v>
          </cell>
        </row>
        <row r="53">
          <cell r="I53">
            <v>222</v>
          </cell>
        </row>
        <row r="54">
          <cell r="I54">
            <v>51</v>
          </cell>
        </row>
        <row r="55">
          <cell r="I55">
            <v>59</v>
          </cell>
        </row>
        <row r="56">
          <cell r="I56">
            <v>396</v>
          </cell>
        </row>
        <row r="57">
          <cell r="I57">
            <v>12</v>
          </cell>
        </row>
        <row r="58">
          <cell r="I58">
            <v>37</v>
          </cell>
        </row>
        <row r="59">
          <cell r="I59">
            <v>57</v>
          </cell>
        </row>
        <row r="60">
          <cell r="I60">
            <v>880</v>
          </cell>
        </row>
        <row r="61">
          <cell r="I61">
            <v>813</v>
          </cell>
        </row>
        <row r="62">
          <cell r="I62">
            <v>1166</v>
          </cell>
        </row>
        <row r="63">
          <cell r="I63">
            <v>210</v>
          </cell>
        </row>
        <row r="64">
          <cell r="I64">
            <v>1746</v>
          </cell>
        </row>
        <row r="65">
          <cell r="I65">
            <v>2749</v>
          </cell>
        </row>
        <row r="66">
          <cell r="I66">
            <v>625</v>
          </cell>
        </row>
        <row r="67">
          <cell r="I67">
            <v>275</v>
          </cell>
        </row>
        <row r="68">
          <cell r="I68">
            <v>150</v>
          </cell>
        </row>
        <row r="69">
          <cell r="I69">
            <v>672</v>
          </cell>
        </row>
        <row r="70">
          <cell r="I70">
            <v>332</v>
          </cell>
        </row>
        <row r="71">
          <cell r="I71">
            <v>455</v>
          </cell>
        </row>
        <row r="72">
          <cell r="I72">
            <v>444</v>
          </cell>
        </row>
        <row r="73">
          <cell r="I73">
            <v>589</v>
          </cell>
        </row>
        <row r="74">
          <cell r="I74">
            <v>818</v>
          </cell>
        </row>
        <row r="75">
          <cell r="I75">
            <v>4720</v>
          </cell>
        </row>
        <row r="76">
          <cell r="I76">
            <v>251</v>
          </cell>
        </row>
        <row r="77">
          <cell r="I77">
            <v>508</v>
          </cell>
        </row>
        <row r="78">
          <cell r="I78">
            <v>3305</v>
          </cell>
        </row>
        <row r="79">
          <cell r="I79">
            <v>686</v>
          </cell>
        </row>
        <row r="80">
          <cell r="I80">
            <v>2990</v>
          </cell>
        </row>
        <row r="81">
          <cell r="I81">
            <v>177</v>
          </cell>
        </row>
        <row r="82">
          <cell r="I82">
            <v>78</v>
          </cell>
        </row>
        <row r="83">
          <cell r="I83">
            <v>30</v>
          </cell>
        </row>
        <row r="84">
          <cell r="I84">
            <v>138</v>
          </cell>
        </row>
        <row r="85">
          <cell r="I85">
            <v>321</v>
          </cell>
        </row>
        <row r="86">
          <cell r="I86">
            <v>0</v>
          </cell>
        </row>
        <row r="87">
          <cell r="I87">
            <v>186</v>
          </cell>
        </row>
        <row r="88">
          <cell r="I88">
            <v>1078</v>
          </cell>
        </row>
        <row r="89">
          <cell r="I89">
            <v>349</v>
          </cell>
        </row>
        <row r="90">
          <cell r="I90">
            <v>239</v>
          </cell>
        </row>
        <row r="91">
          <cell r="I91">
            <v>57</v>
          </cell>
        </row>
        <row r="92">
          <cell r="I92">
            <v>249</v>
          </cell>
        </row>
        <row r="93">
          <cell r="I93">
            <v>484</v>
          </cell>
        </row>
        <row r="94">
          <cell r="I94">
            <v>122</v>
          </cell>
        </row>
        <row r="95">
          <cell r="I95">
            <v>112</v>
          </cell>
        </row>
        <row r="96">
          <cell r="I96">
            <v>42</v>
          </cell>
        </row>
        <row r="97">
          <cell r="I97">
            <v>11</v>
          </cell>
        </row>
        <row r="98">
          <cell r="I98">
            <v>33</v>
          </cell>
        </row>
        <row r="99">
          <cell r="I99">
            <v>18</v>
          </cell>
        </row>
        <row r="100">
          <cell r="I100">
            <v>591</v>
          </cell>
        </row>
        <row r="101">
          <cell r="I101">
            <v>97</v>
          </cell>
        </row>
        <row r="102">
          <cell r="I102">
            <v>0</v>
          </cell>
        </row>
        <row r="103">
          <cell r="I103">
            <v>44</v>
          </cell>
        </row>
        <row r="104">
          <cell r="I104">
            <v>156</v>
          </cell>
        </row>
        <row r="105">
          <cell r="I105">
            <v>155</v>
          </cell>
        </row>
        <row r="106">
          <cell r="I106">
            <v>37</v>
          </cell>
        </row>
        <row r="107">
          <cell r="I107">
            <v>66</v>
          </cell>
        </row>
        <row r="108">
          <cell r="I108">
            <v>287920</v>
          </cell>
        </row>
        <row r="109">
          <cell r="I109">
            <v>34869</v>
          </cell>
        </row>
        <row r="110">
          <cell r="I110">
            <v>60463</v>
          </cell>
        </row>
        <row r="111">
          <cell r="I111">
            <v>36941</v>
          </cell>
        </row>
        <row r="112">
          <cell r="I112">
            <v>20732</v>
          </cell>
        </row>
        <row r="113">
          <cell r="I113">
            <v>5047</v>
          </cell>
        </row>
        <row r="114">
          <cell r="I114">
            <v>317</v>
          </cell>
        </row>
        <row r="115">
          <cell r="I115">
            <v>12006</v>
          </cell>
        </row>
        <row r="116">
          <cell r="I116">
            <v>0</v>
          </cell>
        </row>
        <row r="117">
          <cell r="I117">
            <v>4633</v>
          </cell>
        </row>
        <row r="118">
          <cell r="I118">
            <v>1013</v>
          </cell>
        </row>
        <row r="119">
          <cell r="I119">
            <v>124</v>
          </cell>
        </row>
        <row r="120">
          <cell r="I120">
            <v>1545</v>
          </cell>
        </row>
        <row r="121">
          <cell r="I121">
            <v>119</v>
          </cell>
        </row>
        <row r="122">
          <cell r="I122">
            <v>1155</v>
          </cell>
        </row>
        <row r="123">
          <cell r="I123">
            <v>1729</v>
          </cell>
        </row>
        <row r="124">
          <cell r="I124">
            <v>2529</v>
          </cell>
        </row>
        <row r="125">
          <cell r="I125">
            <v>1690</v>
          </cell>
        </row>
        <row r="126">
          <cell r="I126">
            <v>2366</v>
          </cell>
        </row>
        <row r="127">
          <cell r="I127">
            <v>447</v>
          </cell>
        </row>
        <row r="128">
          <cell r="I128">
            <v>888</v>
          </cell>
        </row>
        <row r="129">
          <cell r="I129">
            <v>78</v>
          </cell>
        </row>
        <row r="130">
          <cell r="I130">
            <v>5324</v>
          </cell>
        </row>
        <row r="131">
          <cell r="I131">
            <v>855</v>
          </cell>
        </row>
        <row r="132">
          <cell r="I132">
            <v>144</v>
          </cell>
        </row>
        <row r="133">
          <cell r="I133">
            <v>172</v>
          </cell>
        </row>
        <row r="134">
          <cell r="I134">
            <v>1017</v>
          </cell>
        </row>
        <row r="135">
          <cell r="I135">
            <v>971</v>
          </cell>
        </row>
        <row r="136">
          <cell r="I136">
            <v>73</v>
          </cell>
        </row>
        <row r="137">
          <cell r="I137">
            <v>381</v>
          </cell>
        </row>
        <row r="138">
          <cell r="I138">
            <v>132</v>
          </cell>
        </row>
        <row r="139">
          <cell r="I139">
            <v>1523</v>
          </cell>
        </row>
        <row r="140">
          <cell r="I140">
            <v>0</v>
          </cell>
        </row>
        <row r="141">
          <cell r="I141">
            <v>535</v>
          </cell>
        </row>
        <row r="142">
          <cell r="I142">
            <v>247</v>
          </cell>
        </row>
        <row r="143">
          <cell r="I143">
            <v>1121</v>
          </cell>
        </row>
        <row r="144">
          <cell r="I144">
            <v>802</v>
          </cell>
        </row>
        <row r="145">
          <cell r="I145">
            <v>698</v>
          </cell>
        </row>
        <row r="146">
          <cell r="I146">
            <v>0</v>
          </cell>
        </row>
        <row r="147">
          <cell r="I147">
            <v>0</v>
          </cell>
        </row>
        <row r="148">
          <cell r="I148">
            <v>41</v>
          </cell>
        </row>
        <row r="149">
          <cell r="I149">
            <v>8</v>
          </cell>
        </row>
        <row r="150">
          <cell r="I150">
            <v>6</v>
          </cell>
        </row>
        <row r="151">
          <cell r="I151">
            <v>8127</v>
          </cell>
        </row>
        <row r="152">
          <cell r="I152">
            <v>2206</v>
          </cell>
        </row>
        <row r="153">
          <cell r="I153">
            <v>1989</v>
          </cell>
        </row>
        <row r="154">
          <cell r="I154">
            <v>967</v>
          </cell>
        </row>
        <row r="155">
          <cell r="I155">
            <v>1101</v>
          </cell>
        </row>
        <row r="156">
          <cell r="I156">
            <v>1475</v>
          </cell>
        </row>
        <row r="157">
          <cell r="I157">
            <v>89</v>
          </cell>
        </row>
        <row r="158">
          <cell r="I158">
            <v>477</v>
          </cell>
        </row>
        <row r="159">
          <cell r="I159">
            <v>285</v>
          </cell>
        </row>
        <row r="160">
          <cell r="I160">
            <v>44</v>
          </cell>
        </row>
        <row r="161">
          <cell r="I161">
            <v>0</v>
          </cell>
        </row>
        <row r="162">
          <cell r="I162">
            <v>3315</v>
          </cell>
        </row>
        <row r="163">
          <cell r="I163">
            <v>28545</v>
          </cell>
        </row>
        <row r="164">
          <cell r="I164">
            <v>1661</v>
          </cell>
        </row>
        <row r="165">
          <cell r="I165">
            <v>1177</v>
          </cell>
        </row>
        <row r="166">
          <cell r="I166">
            <v>4136</v>
          </cell>
        </row>
        <row r="167">
          <cell r="I167">
            <v>368</v>
          </cell>
        </row>
        <row r="168">
          <cell r="I168">
            <v>49</v>
          </cell>
        </row>
        <row r="169">
          <cell r="I169">
            <v>90</v>
          </cell>
        </row>
        <row r="170">
          <cell r="I170">
            <v>2509</v>
          </cell>
        </row>
        <row r="171">
          <cell r="I171">
            <v>0</v>
          </cell>
        </row>
        <row r="172">
          <cell r="I172">
            <v>0</v>
          </cell>
        </row>
        <row r="173">
          <cell r="I173">
            <v>79</v>
          </cell>
        </row>
        <row r="174">
          <cell r="I174">
            <v>1516</v>
          </cell>
        </row>
        <row r="175">
          <cell r="I175">
            <v>229</v>
          </cell>
        </row>
        <row r="176">
          <cell r="I176">
            <v>549</v>
          </cell>
        </row>
        <row r="177">
          <cell r="I177">
            <v>349</v>
          </cell>
        </row>
        <row r="178">
          <cell r="I178">
            <v>570</v>
          </cell>
        </row>
        <row r="179">
          <cell r="I179">
            <v>371</v>
          </cell>
        </row>
        <row r="180">
          <cell r="I180">
            <v>0</v>
          </cell>
        </row>
        <row r="181">
          <cell r="I181">
            <v>368</v>
          </cell>
        </row>
        <row r="182">
          <cell r="I182">
            <v>2236</v>
          </cell>
        </row>
        <row r="183">
          <cell r="I183">
            <v>131</v>
          </cell>
        </row>
        <row r="184">
          <cell r="I184">
            <v>64</v>
          </cell>
        </row>
        <row r="185">
          <cell r="I185">
            <v>3947</v>
          </cell>
        </row>
        <row r="186">
          <cell r="I186">
            <v>4588</v>
          </cell>
        </row>
        <row r="187">
          <cell r="I187">
            <v>8268</v>
          </cell>
        </row>
        <row r="188">
          <cell r="I188">
            <v>3167</v>
          </cell>
        </row>
        <row r="189">
          <cell r="I189">
            <v>1978</v>
          </cell>
        </row>
        <row r="190">
          <cell r="I190">
            <v>1637</v>
          </cell>
        </row>
        <row r="191">
          <cell r="I191">
            <v>3513</v>
          </cell>
        </row>
        <row r="192">
          <cell r="I192">
            <v>1122</v>
          </cell>
        </row>
        <row r="193">
          <cell r="I193">
            <v>5061</v>
          </cell>
        </row>
        <row r="194">
          <cell r="I194">
            <v>1173</v>
          </cell>
        </row>
        <row r="195">
          <cell r="I195">
            <v>6179</v>
          </cell>
        </row>
        <row r="196">
          <cell r="I196">
            <v>2849</v>
          </cell>
        </row>
        <row r="197">
          <cell r="I197">
            <v>176</v>
          </cell>
        </row>
        <row r="198">
          <cell r="I198">
            <v>491</v>
          </cell>
        </row>
        <row r="199">
          <cell r="I199">
            <v>896</v>
          </cell>
        </row>
        <row r="200">
          <cell r="I200">
            <v>549</v>
          </cell>
        </row>
        <row r="201">
          <cell r="I201">
            <v>57</v>
          </cell>
        </row>
        <row r="202">
          <cell r="I202">
            <v>195</v>
          </cell>
        </row>
        <row r="203">
          <cell r="I203">
            <v>2062</v>
          </cell>
        </row>
        <row r="204">
          <cell r="I204">
            <v>2510</v>
          </cell>
        </row>
        <row r="205">
          <cell r="I205">
            <v>263</v>
          </cell>
        </row>
        <row r="206">
          <cell r="I206">
            <v>154</v>
          </cell>
        </row>
        <row r="207">
          <cell r="I207">
            <v>516</v>
          </cell>
        </row>
        <row r="208">
          <cell r="I208">
            <v>346</v>
          </cell>
        </row>
        <row r="209">
          <cell r="I209">
            <v>707</v>
          </cell>
        </row>
        <row r="210">
          <cell r="I210">
            <v>310</v>
          </cell>
        </row>
        <row r="211">
          <cell r="I211">
            <v>1225</v>
          </cell>
        </row>
        <row r="212">
          <cell r="I212">
            <v>180</v>
          </cell>
        </row>
        <row r="213">
          <cell r="I213">
            <v>2582</v>
          </cell>
        </row>
        <row r="214">
          <cell r="I214">
            <v>0</v>
          </cell>
        </row>
        <row r="215">
          <cell r="I215">
            <v>1333</v>
          </cell>
        </row>
        <row r="216">
          <cell r="I216">
            <v>471</v>
          </cell>
        </row>
        <row r="217">
          <cell r="I217">
            <v>58</v>
          </cell>
        </row>
        <row r="218">
          <cell r="I218">
            <v>283</v>
          </cell>
        </row>
        <row r="219">
          <cell r="I219">
            <v>680</v>
          </cell>
        </row>
        <row r="220">
          <cell r="I220">
            <v>3908</v>
          </cell>
        </row>
        <row r="221">
          <cell r="I221">
            <v>18916</v>
          </cell>
        </row>
        <row r="222">
          <cell r="I222">
            <v>1126</v>
          </cell>
        </row>
        <row r="223">
          <cell r="I223">
            <v>12633</v>
          </cell>
        </row>
        <row r="224">
          <cell r="I224">
            <v>929</v>
          </cell>
        </row>
        <row r="225">
          <cell r="I225">
            <v>0</v>
          </cell>
        </row>
        <row r="226">
          <cell r="I226">
            <v>4274</v>
          </cell>
        </row>
        <row r="227">
          <cell r="I227">
            <v>5774</v>
          </cell>
        </row>
        <row r="228">
          <cell r="I228">
            <v>235</v>
          </cell>
        </row>
        <row r="229">
          <cell r="I229">
            <v>213</v>
          </cell>
        </row>
        <row r="230">
          <cell r="I230">
            <v>4075</v>
          </cell>
        </row>
        <row r="231">
          <cell r="I231">
            <v>10524</v>
          </cell>
        </row>
        <row r="232">
          <cell r="I232">
            <v>4005</v>
          </cell>
        </row>
        <row r="233">
          <cell r="I233">
            <v>117</v>
          </cell>
        </row>
        <row r="234">
          <cell r="I234">
            <v>12060</v>
          </cell>
        </row>
        <row r="235">
          <cell r="I235">
            <v>18058</v>
          </cell>
        </row>
        <row r="236">
          <cell r="I236">
            <v>140</v>
          </cell>
        </row>
        <row r="237">
          <cell r="I237">
            <v>17134</v>
          </cell>
        </row>
        <row r="238">
          <cell r="I238">
            <v>2008</v>
          </cell>
        </row>
        <row r="239">
          <cell r="I239">
            <v>121</v>
          </cell>
        </row>
        <row r="240">
          <cell r="I240">
            <v>8594</v>
          </cell>
        </row>
        <row r="241">
          <cell r="I241">
            <v>115</v>
          </cell>
        </row>
        <row r="242">
          <cell r="I242">
            <v>305</v>
          </cell>
        </row>
        <row r="243">
          <cell r="I243">
            <v>2217</v>
          </cell>
        </row>
        <row r="244">
          <cell r="I244">
            <v>2867</v>
          </cell>
        </row>
        <row r="245">
          <cell r="I245">
            <v>1645</v>
          </cell>
        </row>
        <row r="246">
          <cell r="I246">
            <v>11102</v>
          </cell>
        </row>
        <row r="247">
          <cell r="I247">
            <v>12440</v>
          </cell>
        </row>
        <row r="248">
          <cell r="I248">
            <v>21</v>
          </cell>
        </row>
        <row r="249">
          <cell r="I249">
            <v>312</v>
          </cell>
        </row>
        <row r="250">
          <cell r="I250">
            <v>3449</v>
          </cell>
        </row>
        <row r="251">
          <cell r="I251">
            <v>5690</v>
          </cell>
        </row>
        <row r="252">
          <cell r="I252">
            <v>3091</v>
          </cell>
        </row>
        <row r="253">
          <cell r="I253">
            <v>4668</v>
          </cell>
        </row>
        <row r="254">
          <cell r="I254">
            <v>1316</v>
          </cell>
        </row>
        <row r="255">
          <cell r="I255">
            <v>812</v>
          </cell>
        </row>
        <row r="256">
          <cell r="I256">
            <v>1089</v>
          </cell>
        </row>
        <row r="257">
          <cell r="I257">
            <v>80</v>
          </cell>
        </row>
        <row r="258">
          <cell r="I258">
            <v>379</v>
          </cell>
        </row>
        <row r="259">
          <cell r="I259">
            <v>503</v>
          </cell>
        </row>
        <row r="260">
          <cell r="I260">
            <v>3578</v>
          </cell>
        </row>
        <row r="261">
          <cell r="I261">
            <v>305</v>
          </cell>
        </row>
        <row r="262">
          <cell r="I262">
            <v>2335</v>
          </cell>
        </row>
        <row r="263">
          <cell r="I263">
            <v>997</v>
          </cell>
        </row>
        <row r="264">
          <cell r="I264">
            <v>1320</v>
          </cell>
        </row>
        <row r="265">
          <cell r="I265">
            <v>926</v>
          </cell>
        </row>
        <row r="266">
          <cell r="I266">
            <v>2934</v>
          </cell>
        </row>
        <row r="267">
          <cell r="I267">
            <v>10375</v>
          </cell>
        </row>
        <row r="268">
          <cell r="I268">
            <v>50199</v>
          </cell>
        </row>
        <row r="269">
          <cell r="I269">
            <v>133</v>
          </cell>
        </row>
        <row r="270">
          <cell r="I270">
            <v>0</v>
          </cell>
        </row>
        <row r="271">
          <cell r="I271">
            <v>2721</v>
          </cell>
        </row>
        <row r="272">
          <cell r="I272">
            <v>1222</v>
          </cell>
        </row>
        <row r="273">
          <cell r="I273">
            <v>7643</v>
          </cell>
        </row>
        <row r="274">
          <cell r="I274">
            <v>6027</v>
          </cell>
        </row>
        <row r="275">
          <cell r="I275">
            <v>1155</v>
          </cell>
        </row>
        <row r="276">
          <cell r="I276">
            <v>5266</v>
          </cell>
        </row>
        <row r="277">
          <cell r="I277">
            <v>1476</v>
          </cell>
        </row>
        <row r="278">
          <cell r="I278">
            <v>11310</v>
          </cell>
        </row>
        <row r="279">
          <cell r="I279">
            <v>4404</v>
          </cell>
        </row>
        <row r="280">
          <cell r="I280">
            <v>5710</v>
          </cell>
        </row>
        <row r="281">
          <cell r="I281">
            <v>13967</v>
          </cell>
        </row>
        <row r="282">
          <cell r="I282">
            <v>2225</v>
          </cell>
        </row>
        <row r="283">
          <cell r="I283">
            <v>1295</v>
          </cell>
        </row>
        <row r="284">
          <cell r="I284">
            <v>1701</v>
          </cell>
        </row>
        <row r="285">
          <cell r="I285">
            <v>9102</v>
          </cell>
        </row>
        <row r="286">
          <cell r="I286">
            <v>1106</v>
          </cell>
        </row>
        <row r="287">
          <cell r="I287">
            <v>2158</v>
          </cell>
        </row>
        <row r="288">
          <cell r="I288">
            <v>5229</v>
          </cell>
        </row>
        <row r="289">
          <cell r="I289">
            <v>698</v>
          </cell>
        </row>
        <row r="290">
          <cell r="I290">
            <v>2663</v>
          </cell>
        </row>
        <row r="291">
          <cell r="I291">
            <v>313</v>
          </cell>
        </row>
        <row r="292">
          <cell r="I292">
            <v>2018</v>
          </cell>
        </row>
        <row r="293">
          <cell r="I293">
            <v>4000</v>
          </cell>
        </row>
        <row r="294">
          <cell r="I294">
            <v>2516</v>
          </cell>
        </row>
        <row r="295">
          <cell r="I295">
            <v>469</v>
          </cell>
        </row>
        <row r="296">
          <cell r="I296">
            <v>1719</v>
          </cell>
        </row>
        <row r="297">
          <cell r="I297">
            <v>1061</v>
          </cell>
        </row>
        <row r="298">
          <cell r="I298">
            <v>3803</v>
          </cell>
        </row>
        <row r="299">
          <cell r="I299">
            <v>1429</v>
          </cell>
        </row>
        <row r="300">
          <cell r="I300">
            <v>972</v>
          </cell>
        </row>
        <row r="301">
          <cell r="I301">
            <v>974</v>
          </cell>
        </row>
        <row r="302">
          <cell r="I302">
            <v>70</v>
          </cell>
        </row>
        <row r="303">
          <cell r="I303">
            <v>1933</v>
          </cell>
        </row>
        <row r="304">
          <cell r="I304">
            <v>1205</v>
          </cell>
        </row>
        <row r="305">
          <cell r="I305">
            <v>4591</v>
          </cell>
        </row>
        <row r="306">
          <cell r="I306">
            <v>256</v>
          </cell>
        </row>
        <row r="307">
          <cell r="I307">
            <v>454</v>
          </cell>
        </row>
        <row r="308">
          <cell r="I308">
            <v>0</v>
          </cell>
        </row>
        <row r="309">
          <cell r="I309">
            <v>0</v>
          </cell>
        </row>
        <row r="310">
          <cell r="I310">
            <v>0</v>
          </cell>
        </row>
        <row r="311">
          <cell r="I311">
            <v>384</v>
          </cell>
        </row>
        <row r="312">
          <cell r="I312">
            <v>771</v>
          </cell>
        </row>
        <row r="313">
          <cell r="I313">
            <v>2925</v>
          </cell>
        </row>
        <row r="314">
          <cell r="I314">
            <v>1152</v>
          </cell>
        </row>
        <row r="315">
          <cell r="I315">
            <v>652</v>
          </cell>
        </row>
        <row r="316">
          <cell r="I316">
            <v>1214</v>
          </cell>
        </row>
        <row r="317">
          <cell r="I317">
            <v>483</v>
          </cell>
        </row>
        <row r="318">
          <cell r="I318">
            <v>1386</v>
          </cell>
        </row>
        <row r="319">
          <cell r="I319">
            <v>1451</v>
          </cell>
        </row>
        <row r="320">
          <cell r="I320">
            <v>3492</v>
          </cell>
        </row>
        <row r="321">
          <cell r="I321">
            <v>1181</v>
          </cell>
        </row>
        <row r="322">
          <cell r="I322">
            <v>631</v>
          </cell>
        </row>
        <row r="323">
          <cell r="I323">
            <v>1520</v>
          </cell>
        </row>
        <row r="324">
          <cell r="I324">
            <v>566</v>
          </cell>
        </row>
        <row r="325">
          <cell r="I325">
            <v>178</v>
          </cell>
        </row>
        <row r="326">
          <cell r="I326">
            <v>505</v>
          </cell>
        </row>
        <row r="327">
          <cell r="I327">
            <v>2926</v>
          </cell>
        </row>
        <row r="328">
          <cell r="I328">
            <v>263</v>
          </cell>
        </row>
        <row r="329">
          <cell r="I329">
            <v>0</v>
          </cell>
        </row>
        <row r="330">
          <cell r="I330">
            <v>479</v>
          </cell>
        </row>
        <row r="331">
          <cell r="I331">
            <v>31</v>
          </cell>
        </row>
        <row r="332">
          <cell r="I332">
            <v>42</v>
          </cell>
        </row>
        <row r="333">
          <cell r="I333">
            <v>427</v>
          </cell>
        </row>
        <row r="334">
          <cell r="I334">
            <v>914</v>
          </cell>
        </row>
        <row r="335">
          <cell r="I335">
            <v>1874</v>
          </cell>
        </row>
        <row r="336">
          <cell r="I336">
            <v>143</v>
          </cell>
        </row>
        <row r="337">
          <cell r="I337">
            <v>4</v>
          </cell>
        </row>
        <row r="338">
          <cell r="I338">
            <v>417</v>
          </cell>
        </row>
        <row r="339">
          <cell r="I339">
            <v>121</v>
          </cell>
        </row>
        <row r="340">
          <cell r="I340">
            <v>358</v>
          </cell>
        </row>
        <row r="341">
          <cell r="I341">
            <v>73</v>
          </cell>
        </row>
        <row r="342">
          <cell r="I342">
            <v>56</v>
          </cell>
        </row>
        <row r="343">
          <cell r="I343">
            <v>441</v>
          </cell>
        </row>
        <row r="344">
          <cell r="I344">
            <v>3328</v>
          </cell>
        </row>
        <row r="345">
          <cell r="I345">
            <v>4363</v>
          </cell>
        </row>
        <row r="346">
          <cell r="I346">
            <v>28385</v>
          </cell>
        </row>
        <row r="347">
          <cell r="I347">
            <v>63</v>
          </cell>
        </row>
        <row r="348">
          <cell r="I348">
            <v>9743</v>
          </cell>
        </row>
        <row r="349">
          <cell r="I349">
            <v>444</v>
          </cell>
        </row>
        <row r="350">
          <cell r="I350">
            <v>15421</v>
          </cell>
        </row>
        <row r="351">
          <cell r="I351">
            <v>2577</v>
          </cell>
        </row>
        <row r="352">
          <cell r="I352">
            <v>1094</v>
          </cell>
        </row>
        <row r="353">
          <cell r="I353">
            <v>715</v>
          </cell>
        </row>
        <row r="354">
          <cell r="I354">
            <v>0</v>
          </cell>
        </row>
        <row r="355">
          <cell r="I355">
            <v>610</v>
          </cell>
        </row>
        <row r="356">
          <cell r="I356">
            <v>280</v>
          </cell>
        </row>
        <row r="357">
          <cell r="I357">
            <v>0</v>
          </cell>
        </row>
        <row r="358">
          <cell r="I358">
            <v>0</v>
          </cell>
        </row>
        <row r="359">
          <cell r="I359">
            <v>175</v>
          </cell>
        </row>
        <row r="360">
          <cell r="I360">
            <v>235</v>
          </cell>
        </row>
        <row r="361">
          <cell r="I361">
            <v>364</v>
          </cell>
        </row>
        <row r="362">
          <cell r="I362">
            <v>69</v>
          </cell>
        </row>
        <row r="363">
          <cell r="I363">
            <v>155</v>
          </cell>
        </row>
        <row r="364">
          <cell r="I364">
            <v>317</v>
          </cell>
        </row>
        <row r="365">
          <cell r="I365">
            <v>471</v>
          </cell>
        </row>
        <row r="366">
          <cell r="I366">
            <v>1037</v>
          </cell>
        </row>
        <row r="367">
          <cell r="I367">
            <v>145</v>
          </cell>
        </row>
        <row r="368">
          <cell r="I368">
            <v>1146</v>
          </cell>
        </row>
        <row r="369">
          <cell r="I369">
            <v>1661</v>
          </cell>
        </row>
        <row r="370">
          <cell r="I370">
            <v>182</v>
          </cell>
        </row>
        <row r="371">
          <cell r="I371">
            <v>522</v>
          </cell>
        </row>
        <row r="372">
          <cell r="I372">
            <v>1531</v>
          </cell>
        </row>
        <row r="373">
          <cell r="I373">
            <v>36</v>
          </cell>
        </row>
        <row r="374">
          <cell r="I374">
            <v>1996</v>
          </cell>
        </row>
        <row r="375">
          <cell r="I375">
            <v>2173</v>
          </cell>
        </row>
        <row r="376">
          <cell r="I376">
            <v>797</v>
          </cell>
        </row>
        <row r="377">
          <cell r="I377">
            <v>293</v>
          </cell>
        </row>
        <row r="378">
          <cell r="I378">
            <v>77</v>
          </cell>
        </row>
        <row r="379">
          <cell r="I379">
            <v>32</v>
          </cell>
        </row>
        <row r="380">
          <cell r="I380">
            <v>30</v>
          </cell>
        </row>
        <row r="381">
          <cell r="I381">
            <v>565</v>
          </cell>
        </row>
        <row r="382">
          <cell r="I382">
            <v>159</v>
          </cell>
        </row>
        <row r="383">
          <cell r="I383">
            <v>38</v>
          </cell>
        </row>
        <row r="384">
          <cell r="I384">
            <v>476</v>
          </cell>
        </row>
        <row r="385">
          <cell r="I385">
            <v>0</v>
          </cell>
        </row>
        <row r="386">
          <cell r="I386">
            <v>3980</v>
          </cell>
        </row>
        <row r="387">
          <cell r="I387">
            <v>3617</v>
          </cell>
        </row>
        <row r="388">
          <cell r="I388">
            <v>12753</v>
          </cell>
        </row>
        <row r="389">
          <cell r="I389">
            <v>26300</v>
          </cell>
        </row>
        <row r="390">
          <cell r="I390">
            <v>969</v>
          </cell>
        </row>
        <row r="391">
          <cell r="I391">
            <v>19159</v>
          </cell>
        </row>
        <row r="392">
          <cell r="I392">
            <v>2</v>
          </cell>
        </row>
        <row r="393">
          <cell r="I393">
            <v>133</v>
          </cell>
        </row>
        <row r="394">
          <cell r="I394">
            <v>42</v>
          </cell>
        </row>
        <row r="395">
          <cell r="I395">
            <v>1041</v>
          </cell>
        </row>
        <row r="396">
          <cell r="I396">
            <v>27</v>
          </cell>
        </row>
        <row r="397">
          <cell r="I397">
            <v>2156</v>
          </cell>
        </row>
        <row r="398">
          <cell r="I398">
            <v>4514</v>
          </cell>
        </row>
        <row r="399">
          <cell r="I399">
            <v>1882</v>
          </cell>
        </row>
        <row r="400">
          <cell r="I400">
            <v>2554</v>
          </cell>
        </row>
        <row r="401">
          <cell r="I401">
            <v>2228</v>
          </cell>
        </row>
        <row r="402">
          <cell r="I402">
            <v>2964</v>
          </cell>
        </row>
        <row r="403">
          <cell r="I403">
            <v>4275</v>
          </cell>
        </row>
        <row r="404">
          <cell r="I404">
            <v>10491</v>
          </cell>
        </row>
        <row r="405">
          <cell r="I405">
            <v>313</v>
          </cell>
        </row>
        <row r="406">
          <cell r="I406">
            <v>5978</v>
          </cell>
        </row>
        <row r="407">
          <cell r="I407">
            <v>18964</v>
          </cell>
        </row>
        <row r="408">
          <cell r="I408">
            <v>2141</v>
          </cell>
        </row>
        <row r="409">
          <cell r="I409">
            <v>2086</v>
          </cell>
        </row>
        <row r="410">
          <cell r="I410">
            <v>271</v>
          </cell>
        </row>
        <row r="411">
          <cell r="I411">
            <v>153</v>
          </cell>
        </row>
        <row r="412">
          <cell r="I412">
            <v>772</v>
          </cell>
        </row>
        <row r="413">
          <cell r="I413">
            <v>154</v>
          </cell>
        </row>
        <row r="414">
          <cell r="I414">
            <v>24</v>
          </cell>
        </row>
        <row r="415">
          <cell r="I415">
            <v>325</v>
          </cell>
        </row>
        <row r="416">
          <cell r="I416">
            <v>390</v>
          </cell>
        </row>
        <row r="417">
          <cell r="I417">
            <v>270</v>
          </cell>
        </row>
        <row r="418">
          <cell r="I418">
            <v>92</v>
          </cell>
        </row>
        <row r="419">
          <cell r="I419">
            <v>92</v>
          </cell>
        </row>
        <row r="420">
          <cell r="I420">
            <v>157</v>
          </cell>
        </row>
        <row r="421">
          <cell r="I421">
            <v>590</v>
          </cell>
        </row>
        <row r="422">
          <cell r="I422">
            <v>568</v>
          </cell>
        </row>
        <row r="423">
          <cell r="I423">
            <v>730</v>
          </cell>
        </row>
        <row r="424">
          <cell r="I424">
            <v>48</v>
          </cell>
        </row>
        <row r="425">
          <cell r="I425">
            <v>73</v>
          </cell>
        </row>
        <row r="426">
          <cell r="I426">
            <v>2799</v>
          </cell>
        </row>
        <row r="427">
          <cell r="I427">
            <v>3934</v>
          </cell>
        </row>
        <row r="428">
          <cell r="I428">
            <v>2707</v>
          </cell>
        </row>
        <row r="429">
          <cell r="I429">
            <v>511</v>
          </cell>
        </row>
        <row r="430">
          <cell r="I430">
            <v>636</v>
          </cell>
        </row>
        <row r="431">
          <cell r="I431">
            <v>1839</v>
          </cell>
        </row>
        <row r="432">
          <cell r="I432">
            <v>957</v>
          </cell>
        </row>
        <row r="433">
          <cell r="I433">
            <v>1299</v>
          </cell>
        </row>
        <row r="434">
          <cell r="I434">
            <v>161</v>
          </cell>
        </row>
        <row r="435">
          <cell r="I435">
            <v>527</v>
          </cell>
        </row>
        <row r="436">
          <cell r="I436">
            <v>95</v>
          </cell>
        </row>
        <row r="437">
          <cell r="I437">
            <v>153</v>
          </cell>
        </row>
        <row r="438">
          <cell r="I438">
            <v>3640</v>
          </cell>
        </row>
        <row r="439">
          <cell r="I439">
            <v>2158</v>
          </cell>
        </row>
        <row r="440">
          <cell r="I440">
            <v>757</v>
          </cell>
        </row>
        <row r="441">
          <cell r="I441">
            <v>117</v>
          </cell>
        </row>
        <row r="442">
          <cell r="I442">
            <v>12812</v>
          </cell>
        </row>
        <row r="443">
          <cell r="I443">
            <v>47</v>
          </cell>
        </row>
        <row r="444">
          <cell r="I444">
            <v>45</v>
          </cell>
        </row>
        <row r="445">
          <cell r="I445">
            <v>3645</v>
          </cell>
        </row>
        <row r="446">
          <cell r="I446">
            <v>56</v>
          </cell>
        </row>
        <row r="447">
          <cell r="I447">
            <v>0</v>
          </cell>
        </row>
        <row r="448">
          <cell r="I448">
            <v>1143</v>
          </cell>
        </row>
        <row r="449">
          <cell r="I449">
            <v>4495</v>
          </cell>
        </row>
        <row r="450">
          <cell r="I450">
            <v>18</v>
          </cell>
        </row>
        <row r="451">
          <cell r="I451">
            <v>986</v>
          </cell>
        </row>
        <row r="452">
          <cell r="I452">
            <v>0</v>
          </cell>
        </row>
        <row r="453">
          <cell r="I453">
            <v>68</v>
          </cell>
        </row>
        <row r="454">
          <cell r="I454">
            <v>127</v>
          </cell>
        </row>
        <row r="455">
          <cell r="I455">
            <v>601</v>
          </cell>
        </row>
        <row r="456">
          <cell r="I456">
            <v>53</v>
          </cell>
        </row>
        <row r="457">
          <cell r="I457">
            <v>5</v>
          </cell>
        </row>
        <row r="458">
          <cell r="I458">
            <v>46</v>
          </cell>
        </row>
        <row r="459">
          <cell r="I459">
            <v>40</v>
          </cell>
        </row>
        <row r="460">
          <cell r="I460">
            <v>207</v>
          </cell>
        </row>
        <row r="461">
          <cell r="I461">
            <v>6</v>
          </cell>
        </row>
        <row r="462">
          <cell r="I462">
            <v>256</v>
          </cell>
        </row>
        <row r="463">
          <cell r="I463">
            <v>16</v>
          </cell>
        </row>
        <row r="464">
          <cell r="I464">
            <v>98</v>
          </cell>
        </row>
        <row r="465">
          <cell r="I465">
            <v>100</v>
          </cell>
        </row>
        <row r="466">
          <cell r="I466">
            <v>1435</v>
          </cell>
        </row>
        <row r="467">
          <cell r="I467">
            <v>772</v>
          </cell>
        </row>
        <row r="468">
          <cell r="I468">
            <v>145</v>
          </cell>
        </row>
        <row r="469">
          <cell r="I469">
            <v>8</v>
          </cell>
        </row>
        <row r="470">
          <cell r="I470">
            <v>66</v>
          </cell>
        </row>
        <row r="471">
          <cell r="I471">
            <v>178</v>
          </cell>
        </row>
        <row r="472">
          <cell r="I472">
            <v>33</v>
          </cell>
        </row>
        <row r="473">
          <cell r="I473">
            <v>0</v>
          </cell>
        </row>
        <row r="474">
          <cell r="I474">
            <v>0</v>
          </cell>
        </row>
        <row r="475">
          <cell r="I475">
            <v>130</v>
          </cell>
        </row>
        <row r="476">
          <cell r="I476">
            <v>0</v>
          </cell>
        </row>
        <row r="477">
          <cell r="I477">
            <v>36</v>
          </cell>
        </row>
        <row r="478">
          <cell r="I478">
            <v>47</v>
          </cell>
        </row>
        <row r="479">
          <cell r="I479">
            <v>496</v>
          </cell>
        </row>
        <row r="480">
          <cell r="I480">
            <v>167</v>
          </cell>
        </row>
        <row r="481">
          <cell r="I481">
            <v>179</v>
          </cell>
        </row>
        <row r="482">
          <cell r="I482">
            <v>84</v>
          </cell>
        </row>
        <row r="483">
          <cell r="I483">
            <v>32</v>
          </cell>
        </row>
        <row r="484">
          <cell r="I484">
            <v>2918</v>
          </cell>
        </row>
        <row r="485">
          <cell r="I485">
            <v>286</v>
          </cell>
        </row>
        <row r="486">
          <cell r="I486">
            <v>6</v>
          </cell>
        </row>
        <row r="487">
          <cell r="I487">
            <v>547</v>
          </cell>
        </row>
        <row r="488">
          <cell r="I488">
            <v>47</v>
          </cell>
        </row>
        <row r="489">
          <cell r="I489">
            <v>301</v>
          </cell>
        </row>
        <row r="490">
          <cell r="I490">
            <v>949</v>
          </cell>
        </row>
        <row r="491">
          <cell r="I491">
            <v>91</v>
          </cell>
        </row>
        <row r="492">
          <cell r="I492">
            <v>23</v>
          </cell>
        </row>
        <row r="493">
          <cell r="I493">
            <v>59</v>
          </cell>
        </row>
        <row r="494">
          <cell r="I494">
            <v>41</v>
          </cell>
        </row>
        <row r="495">
          <cell r="I495">
            <v>22</v>
          </cell>
        </row>
        <row r="496">
          <cell r="I496">
            <v>122</v>
          </cell>
        </row>
        <row r="497">
          <cell r="I497">
            <v>0</v>
          </cell>
        </row>
        <row r="498">
          <cell r="I498">
            <v>35</v>
          </cell>
        </row>
        <row r="499">
          <cell r="I499">
            <v>47</v>
          </cell>
        </row>
        <row r="500">
          <cell r="I500">
            <v>236</v>
          </cell>
        </row>
        <row r="501">
          <cell r="I501">
            <v>33</v>
          </cell>
        </row>
        <row r="502">
          <cell r="I502">
            <v>51</v>
          </cell>
        </row>
        <row r="503">
          <cell r="I503">
            <v>426</v>
          </cell>
        </row>
        <row r="504">
          <cell r="I504">
            <v>298</v>
          </cell>
        </row>
        <row r="505">
          <cell r="I505">
            <v>659</v>
          </cell>
        </row>
        <row r="506">
          <cell r="I506">
            <v>515</v>
          </cell>
        </row>
        <row r="507">
          <cell r="I507">
            <v>25</v>
          </cell>
        </row>
        <row r="508">
          <cell r="I508">
            <v>56</v>
          </cell>
        </row>
        <row r="509">
          <cell r="I509">
            <v>468</v>
          </cell>
        </row>
        <row r="510">
          <cell r="I510">
            <v>333</v>
          </cell>
        </row>
        <row r="511">
          <cell r="I511">
            <v>14937</v>
          </cell>
        </row>
        <row r="512">
          <cell r="I512">
            <v>5733</v>
          </cell>
        </row>
        <row r="513">
          <cell r="I513">
            <v>28</v>
          </cell>
        </row>
        <row r="514">
          <cell r="I514">
            <v>352</v>
          </cell>
        </row>
        <row r="515">
          <cell r="I515">
            <v>617</v>
          </cell>
        </row>
        <row r="516">
          <cell r="I516">
            <v>1993</v>
          </cell>
        </row>
        <row r="517">
          <cell r="I517">
            <v>481</v>
          </cell>
        </row>
        <row r="518">
          <cell r="I518">
            <v>7381</v>
          </cell>
        </row>
        <row r="519">
          <cell r="I519">
            <v>934</v>
          </cell>
        </row>
        <row r="520">
          <cell r="I520">
            <v>64158</v>
          </cell>
        </row>
        <row r="521">
          <cell r="I521">
            <v>201</v>
          </cell>
        </row>
        <row r="522">
          <cell r="I522">
            <v>1388</v>
          </cell>
        </row>
        <row r="523">
          <cell r="I523">
            <v>902</v>
          </cell>
        </row>
        <row r="524">
          <cell r="I524">
            <v>376</v>
          </cell>
        </row>
        <row r="525">
          <cell r="I525">
            <v>56</v>
          </cell>
        </row>
        <row r="526">
          <cell r="I526">
            <v>3482</v>
          </cell>
        </row>
        <row r="527">
          <cell r="I527">
            <v>1418</v>
          </cell>
        </row>
        <row r="528">
          <cell r="I528">
            <v>1894</v>
          </cell>
        </row>
        <row r="529">
          <cell r="I529">
            <v>87</v>
          </cell>
        </row>
        <row r="530">
          <cell r="I530">
            <v>0</v>
          </cell>
        </row>
        <row r="531">
          <cell r="I531">
            <v>311</v>
          </cell>
        </row>
        <row r="532">
          <cell r="I532">
            <v>1245</v>
          </cell>
        </row>
        <row r="533">
          <cell r="I533">
            <v>0</v>
          </cell>
        </row>
        <row r="534">
          <cell r="I534">
            <v>0</v>
          </cell>
        </row>
        <row r="535">
          <cell r="I535">
            <v>91</v>
          </cell>
        </row>
        <row r="536">
          <cell r="I536">
            <v>2284</v>
          </cell>
        </row>
        <row r="537">
          <cell r="I537">
            <v>40</v>
          </cell>
        </row>
        <row r="538">
          <cell r="I538">
            <v>81</v>
          </cell>
        </row>
        <row r="539">
          <cell r="I539">
            <v>942</v>
          </cell>
        </row>
        <row r="540">
          <cell r="I540">
            <v>180</v>
          </cell>
        </row>
        <row r="541">
          <cell r="I541">
            <v>1095</v>
          </cell>
        </row>
        <row r="542">
          <cell r="I542">
            <v>181</v>
          </cell>
        </row>
        <row r="543">
          <cell r="I543">
            <v>154</v>
          </cell>
        </row>
        <row r="544">
          <cell r="I544">
            <v>0</v>
          </cell>
        </row>
        <row r="545">
          <cell r="I545">
            <v>0</v>
          </cell>
        </row>
        <row r="546">
          <cell r="I546">
            <v>1069</v>
          </cell>
        </row>
        <row r="547">
          <cell r="I547">
            <v>0</v>
          </cell>
        </row>
        <row r="548">
          <cell r="I548">
            <v>0</v>
          </cell>
        </row>
        <row r="549">
          <cell r="I549">
            <v>0</v>
          </cell>
        </row>
        <row r="550">
          <cell r="I550">
            <v>140</v>
          </cell>
        </row>
        <row r="551">
          <cell r="I551">
            <v>23</v>
          </cell>
        </row>
        <row r="552">
          <cell r="I552">
            <v>0</v>
          </cell>
        </row>
        <row r="553">
          <cell r="I553">
            <v>863</v>
          </cell>
        </row>
        <row r="554">
          <cell r="I554">
            <v>213</v>
          </cell>
        </row>
        <row r="555">
          <cell r="I555">
            <v>92</v>
          </cell>
        </row>
        <row r="556">
          <cell r="I556">
            <v>27</v>
          </cell>
        </row>
        <row r="557">
          <cell r="I557">
            <v>102</v>
          </cell>
        </row>
        <row r="558">
          <cell r="I558">
            <v>366</v>
          </cell>
        </row>
        <row r="559">
          <cell r="I559">
            <v>35</v>
          </cell>
        </row>
        <row r="560">
          <cell r="I560">
            <v>81</v>
          </cell>
        </row>
        <row r="561">
          <cell r="I561">
            <v>14</v>
          </cell>
        </row>
        <row r="562">
          <cell r="I562">
            <v>124</v>
          </cell>
        </row>
        <row r="563">
          <cell r="I563">
            <v>115</v>
          </cell>
        </row>
        <row r="564">
          <cell r="I564">
            <v>577</v>
          </cell>
        </row>
        <row r="565">
          <cell r="I565">
            <v>470</v>
          </cell>
        </row>
        <row r="566">
          <cell r="I566">
            <v>83</v>
          </cell>
        </row>
        <row r="567">
          <cell r="I567">
            <v>7</v>
          </cell>
        </row>
        <row r="568">
          <cell r="I568">
            <v>270</v>
          </cell>
        </row>
        <row r="569">
          <cell r="I569">
            <v>187</v>
          </cell>
        </row>
        <row r="570">
          <cell r="I570">
            <v>108</v>
          </cell>
        </row>
        <row r="571">
          <cell r="I571">
            <v>329</v>
          </cell>
        </row>
        <row r="572">
          <cell r="I572">
            <v>8</v>
          </cell>
        </row>
        <row r="573">
          <cell r="I573">
            <v>23</v>
          </cell>
        </row>
        <row r="574">
          <cell r="I574">
            <v>21</v>
          </cell>
        </row>
        <row r="575">
          <cell r="I575">
            <v>39</v>
          </cell>
        </row>
        <row r="576">
          <cell r="I576">
            <v>0</v>
          </cell>
        </row>
        <row r="577">
          <cell r="I577">
            <v>0</v>
          </cell>
        </row>
        <row r="578">
          <cell r="I578">
            <v>837</v>
          </cell>
        </row>
        <row r="579">
          <cell r="I579">
            <v>75</v>
          </cell>
        </row>
        <row r="580">
          <cell r="I580">
            <v>516</v>
          </cell>
        </row>
        <row r="581">
          <cell r="I581">
            <v>0</v>
          </cell>
        </row>
        <row r="582">
          <cell r="I582">
            <v>6259</v>
          </cell>
        </row>
        <row r="583">
          <cell r="I583">
            <v>1869</v>
          </cell>
        </row>
        <row r="584">
          <cell r="I584">
            <v>11</v>
          </cell>
        </row>
        <row r="585">
          <cell r="I585">
            <v>43</v>
          </cell>
        </row>
        <row r="586">
          <cell r="I586">
            <v>802</v>
          </cell>
        </row>
        <row r="587">
          <cell r="I587">
            <v>187</v>
          </cell>
        </row>
        <row r="588">
          <cell r="I588">
            <v>40</v>
          </cell>
        </row>
        <row r="589">
          <cell r="I589">
            <v>30</v>
          </cell>
        </row>
        <row r="590">
          <cell r="I590">
            <v>0</v>
          </cell>
        </row>
        <row r="591">
          <cell r="I591">
            <v>60</v>
          </cell>
        </row>
        <row r="592">
          <cell r="I592">
            <v>119</v>
          </cell>
        </row>
        <row r="593">
          <cell r="I593">
            <v>141</v>
          </cell>
        </row>
        <row r="594">
          <cell r="I594">
            <v>855</v>
          </cell>
        </row>
        <row r="595">
          <cell r="I595">
            <v>208</v>
          </cell>
        </row>
        <row r="596">
          <cell r="I596">
            <v>584</v>
          </cell>
        </row>
        <row r="597">
          <cell r="I597">
            <v>0</v>
          </cell>
        </row>
        <row r="598">
          <cell r="I598">
            <v>0</v>
          </cell>
        </row>
        <row r="599">
          <cell r="I599">
            <v>153</v>
          </cell>
        </row>
        <row r="600">
          <cell r="I600">
            <v>31</v>
          </cell>
        </row>
        <row r="601">
          <cell r="I601">
            <v>79</v>
          </cell>
        </row>
        <row r="602">
          <cell r="I602">
            <v>248</v>
          </cell>
        </row>
        <row r="603">
          <cell r="I603">
            <v>4</v>
          </cell>
        </row>
        <row r="604">
          <cell r="I604">
            <v>662</v>
          </cell>
        </row>
        <row r="605">
          <cell r="I605">
            <v>3524</v>
          </cell>
        </row>
        <row r="606">
          <cell r="I606">
            <v>705</v>
          </cell>
        </row>
        <row r="607">
          <cell r="I607">
            <v>606</v>
          </cell>
        </row>
        <row r="608">
          <cell r="I608">
            <v>1025</v>
          </cell>
        </row>
        <row r="609">
          <cell r="I609">
            <v>62</v>
          </cell>
        </row>
        <row r="610">
          <cell r="I610">
            <v>188</v>
          </cell>
        </row>
        <row r="611">
          <cell r="I611">
            <v>174</v>
          </cell>
        </row>
        <row r="612">
          <cell r="I612">
            <v>104</v>
          </cell>
        </row>
        <row r="613">
          <cell r="I613">
            <v>482</v>
          </cell>
        </row>
        <row r="614">
          <cell r="I614">
            <v>136</v>
          </cell>
        </row>
        <row r="615">
          <cell r="I615">
            <v>206</v>
          </cell>
        </row>
        <row r="616">
          <cell r="I616">
            <v>127</v>
          </cell>
        </row>
        <row r="617">
          <cell r="I617">
            <v>768</v>
          </cell>
        </row>
        <row r="618">
          <cell r="I618">
            <v>930</v>
          </cell>
        </row>
        <row r="619">
          <cell r="I619">
            <v>773</v>
          </cell>
        </row>
        <row r="620">
          <cell r="I620">
            <v>406</v>
          </cell>
        </row>
        <row r="621">
          <cell r="I621">
            <v>345</v>
          </cell>
        </row>
        <row r="622">
          <cell r="I622">
            <v>762</v>
          </cell>
        </row>
        <row r="623">
          <cell r="I623">
            <v>169</v>
          </cell>
        </row>
        <row r="624">
          <cell r="I624">
            <v>447</v>
          </cell>
        </row>
        <row r="625">
          <cell r="I625">
            <v>1411</v>
          </cell>
        </row>
        <row r="626">
          <cell r="I626">
            <v>151</v>
          </cell>
        </row>
        <row r="627">
          <cell r="I627">
            <v>923</v>
          </cell>
        </row>
        <row r="628">
          <cell r="I628">
            <v>855</v>
          </cell>
        </row>
        <row r="629">
          <cell r="I629">
            <v>207</v>
          </cell>
        </row>
        <row r="630">
          <cell r="I630">
            <v>289</v>
          </cell>
        </row>
        <row r="631">
          <cell r="I631">
            <v>228</v>
          </cell>
        </row>
        <row r="632">
          <cell r="I632">
            <v>41</v>
          </cell>
        </row>
        <row r="633">
          <cell r="I633">
            <v>52</v>
          </cell>
        </row>
        <row r="634">
          <cell r="I634">
            <v>141</v>
          </cell>
        </row>
        <row r="635">
          <cell r="I635">
            <v>763</v>
          </cell>
        </row>
        <row r="636">
          <cell r="I636">
            <v>354</v>
          </cell>
        </row>
        <row r="637">
          <cell r="I637">
            <v>38</v>
          </cell>
        </row>
        <row r="638">
          <cell r="I638">
            <v>225</v>
          </cell>
        </row>
        <row r="639">
          <cell r="I639">
            <v>57</v>
          </cell>
        </row>
        <row r="640">
          <cell r="I640">
            <v>52</v>
          </cell>
        </row>
        <row r="641">
          <cell r="I641">
            <v>85</v>
          </cell>
        </row>
        <row r="642">
          <cell r="I642">
            <v>1183</v>
          </cell>
        </row>
        <row r="643">
          <cell r="I643">
            <v>29</v>
          </cell>
        </row>
        <row r="644">
          <cell r="I644">
            <v>0</v>
          </cell>
        </row>
        <row r="645">
          <cell r="I645">
            <v>0</v>
          </cell>
        </row>
        <row r="646">
          <cell r="I646">
            <v>70</v>
          </cell>
        </row>
        <row r="647">
          <cell r="I647">
            <v>67</v>
          </cell>
        </row>
        <row r="648">
          <cell r="I648">
            <v>41</v>
          </cell>
        </row>
        <row r="649">
          <cell r="I649">
            <v>432</v>
          </cell>
        </row>
        <row r="650">
          <cell r="I650">
            <v>879</v>
          </cell>
        </row>
        <row r="651">
          <cell r="I651">
            <v>1981</v>
          </cell>
        </row>
        <row r="652">
          <cell r="I652">
            <v>3099</v>
          </cell>
        </row>
        <row r="653">
          <cell r="I653">
            <v>71</v>
          </cell>
        </row>
        <row r="654">
          <cell r="I654">
            <v>531</v>
          </cell>
        </row>
        <row r="655">
          <cell r="I655">
            <v>0</v>
          </cell>
        </row>
        <row r="656">
          <cell r="I656">
            <v>39</v>
          </cell>
        </row>
        <row r="657">
          <cell r="I657">
            <v>21</v>
          </cell>
        </row>
        <row r="658">
          <cell r="I658">
            <v>62</v>
          </cell>
        </row>
        <row r="659">
          <cell r="I659">
            <v>20</v>
          </cell>
        </row>
        <row r="660">
          <cell r="I660">
            <v>560</v>
          </cell>
        </row>
        <row r="661">
          <cell r="I661">
            <v>0</v>
          </cell>
        </row>
        <row r="662">
          <cell r="I662">
            <v>84</v>
          </cell>
        </row>
        <row r="663">
          <cell r="I663">
            <v>136</v>
          </cell>
        </row>
        <row r="664">
          <cell r="I664">
            <v>6097</v>
          </cell>
        </row>
        <row r="665">
          <cell r="I665">
            <v>4169</v>
          </cell>
        </row>
        <row r="666">
          <cell r="I666">
            <v>1476</v>
          </cell>
        </row>
        <row r="667">
          <cell r="I667">
            <v>224</v>
          </cell>
        </row>
        <row r="668">
          <cell r="I668">
            <v>60</v>
          </cell>
        </row>
        <row r="669">
          <cell r="I669">
            <v>0</v>
          </cell>
        </row>
        <row r="670">
          <cell r="I670">
            <v>41</v>
          </cell>
        </row>
        <row r="671">
          <cell r="I671">
            <v>51</v>
          </cell>
        </row>
        <row r="672">
          <cell r="I672">
            <v>2088</v>
          </cell>
        </row>
        <row r="673">
          <cell r="I673">
            <v>21</v>
          </cell>
        </row>
        <row r="674">
          <cell r="I674">
            <v>1078</v>
          </cell>
        </row>
        <row r="675">
          <cell r="I675">
            <v>357</v>
          </cell>
        </row>
        <row r="676">
          <cell r="I676">
            <v>318</v>
          </cell>
        </row>
        <row r="677">
          <cell r="I677">
            <v>9162</v>
          </cell>
        </row>
        <row r="678">
          <cell r="I678">
            <v>2497</v>
          </cell>
        </row>
        <row r="679">
          <cell r="I679">
            <v>136</v>
          </cell>
        </row>
        <row r="680">
          <cell r="I680">
            <v>2510</v>
          </cell>
        </row>
        <row r="681">
          <cell r="I681">
            <v>192</v>
          </cell>
        </row>
        <row r="682">
          <cell r="I682">
            <v>487</v>
          </cell>
        </row>
        <row r="683">
          <cell r="I683">
            <v>0</v>
          </cell>
        </row>
        <row r="684">
          <cell r="I684">
            <v>0</v>
          </cell>
        </row>
        <row r="685">
          <cell r="I685">
            <v>157</v>
          </cell>
        </row>
        <row r="686">
          <cell r="I686">
            <v>1229</v>
          </cell>
        </row>
        <row r="687">
          <cell r="I687">
            <v>134</v>
          </cell>
        </row>
        <row r="688">
          <cell r="I688">
            <v>1417</v>
          </cell>
        </row>
        <row r="689">
          <cell r="I689">
            <v>107</v>
          </cell>
        </row>
        <row r="690">
          <cell r="I690">
            <v>117</v>
          </cell>
        </row>
        <row r="691">
          <cell r="I691">
            <v>41</v>
          </cell>
        </row>
        <row r="692">
          <cell r="I692">
            <v>36</v>
          </cell>
        </row>
        <row r="693">
          <cell r="I693">
            <v>34</v>
          </cell>
        </row>
        <row r="694">
          <cell r="I694">
            <v>98</v>
          </cell>
        </row>
        <row r="695">
          <cell r="I695">
            <v>97</v>
          </cell>
        </row>
        <row r="696">
          <cell r="I696">
            <v>93</v>
          </cell>
        </row>
        <row r="697">
          <cell r="I697">
            <v>51</v>
          </cell>
        </row>
        <row r="698">
          <cell r="I698">
            <v>20</v>
          </cell>
        </row>
        <row r="699">
          <cell r="I699">
            <v>0</v>
          </cell>
        </row>
        <row r="700">
          <cell r="I700">
            <v>0</v>
          </cell>
        </row>
        <row r="701">
          <cell r="I701">
            <v>15</v>
          </cell>
        </row>
        <row r="702">
          <cell r="I702">
            <v>132</v>
          </cell>
        </row>
        <row r="703">
          <cell r="I703">
            <v>0</v>
          </cell>
        </row>
        <row r="704">
          <cell r="I704">
            <v>109</v>
          </cell>
        </row>
        <row r="705">
          <cell r="I705">
            <v>275</v>
          </cell>
        </row>
        <row r="706">
          <cell r="I706">
            <v>51</v>
          </cell>
        </row>
        <row r="707">
          <cell r="I707">
            <v>99</v>
          </cell>
        </row>
        <row r="708">
          <cell r="I708">
            <v>0</v>
          </cell>
        </row>
        <row r="709">
          <cell r="I709">
            <v>2</v>
          </cell>
        </row>
        <row r="710">
          <cell r="I710">
            <v>27</v>
          </cell>
        </row>
        <row r="711">
          <cell r="I711">
            <v>45</v>
          </cell>
        </row>
        <row r="712">
          <cell r="I712">
            <v>35</v>
          </cell>
        </row>
        <row r="713">
          <cell r="I713">
            <v>103</v>
          </cell>
        </row>
        <row r="714">
          <cell r="I714">
            <v>27</v>
          </cell>
        </row>
        <row r="715">
          <cell r="I715">
            <v>0</v>
          </cell>
        </row>
        <row r="716">
          <cell r="I716">
            <v>11</v>
          </cell>
        </row>
        <row r="717">
          <cell r="I717">
            <v>383</v>
          </cell>
        </row>
        <row r="718">
          <cell r="I718">
            <v>5431</v>
          </cell>
        </row>
        <row r="719">
          <cell r="I719">
            <v>1089</v>
          </cell>
        </row>
        <row r="720">
          <cell r="I720">
            <v>18</v>
          </cell>
        </row>
        <row r="721">
          <cell r="I721">
            <v>13</v>
          </cell>
        </row>
        <row r="722">
          <cell r="I722">
            <v>61</v>
          </cell>
        </row>
        <row r="723">
          <cell r="I723">
            <v>61</v>
          </cell>
        </row>
        <row r="724">
          <cell r="I724">
            <v>291</v>
          </cell>
        </row>
        <row r="725">
          <cell r="I725">
            <v>51</v>
          </cell>
        </row>
        <row r="726">
          <cell r="I726">
            <v>41</v>
          </cell>
        </row>
        <row r="727">
          <cell r="I727">
            <v>98</v>
          </cell>
        </row>
        <row r="728">
          <cell r="I728">
            <v>98</v>
          </cell>
        </row>
        <row r="729">
          <cell r="I729">
            <v>372</v>
          </cell>
        </row>
        <row r="730">
          <cell r="I730">
            <v>2</v>
          </cell>
        </row>
        <row r="731">
          <cell r="I731">
            <v>0</v>
          </cell>
        </row>
        <row r="732">
          <cell r="I732">
            <v>0</v>
          </cell>
        </row>
        <row r="733">
          <cell r="I733">
            <v>200</v>
          </cell>
        </row>
        <row r="734">
          <cell r="I734">
            <v>369</v>
          </cell>
        </row>
        <row r="735">
          <cell r="I735">
            <v>433</v>
          </cell>
        </row>
        <row r="736">
          <cell r="I736">
            <v>60</v>
          </cell>
        </row>
        <row r="737">
          <cell r="I737">
            <v>1852</v>
          </cell>
        </row>
        <row r="738">
          <cell r="I738">
            <v>38</v>
          </cell>
        </row>
        <row r="739">
          <cell r="I739">
            <v>69</v>
          </cell>
        </row>
        <row r="740">
          <cell r="I740">
            <v>204</v>
          </cell>
        </row>
        <row r="741">
          <cell r="I741">
            <v>0</v>
          </cell>
        </row>
        <row r="742">
          <cell r="I742">
            <v>307</v>
          </cell>
        </row>
        <row r="743">
          <cell r="I743">
            <v>14</v>
          </cell>
        </row>
        <row r="744">
          <cell r="I744">
            <v>154</v>
          </cell>
        </row>
        <row r="745">
          <cell r="I745">
            <v>1376</v>
          </cell>
        </row>
        <row r="746">
          <cell r="I746">
            <v>616</v>
          </cell>
        </row>
        <row r="747">
          <cell r="I747">
            <v>4159</v>
          </cell>
        </row>
        <row r="748">
          <cell r="I748">
            <v>1803</v>
          </cell>
        </row>
        <row r="749">
          <cell r="I749">
            <v>1931</v>
          </cell>
        </row>
        <row r="750">
          <cell r="I750">
            <v>622</v>
          </cell>
        </row>
        <row r="751">
          <cell r="I751">
            <v>58</v>
          </cell>
        </row>
        <row r="752">
          <cell r="I752">
            <v>3683</v>
          </cell>
        </row>
        <row r="753">
          <cell r="I753">
            <v>57</v>
          </cell>
        </row>
        <row r="754">
          <cell r="I754">
            <v>17</v>
          </cell>
        </row>
        <row r="755">
          <cell r="I755">
            <v>33</v>
          </cell>
        </row>
        <row r="756">
          <cell r="I756">
            <v>115</v>
          </cell>
        </row>
        <row r="757">
          <cell r="I757">
            <v>671</v>
          </cell>
        </row>
        <row r="758">
          <cell r="I758">
            <v>702</v>
          </cell>
        </row>
        <row r="759">
          <cell r="I759">
            <v>559</v>
          </cell>
        </row>
        <row r="760">
          <cell r="I760">
            <v>0</v>
          </cell>
        </row>
        <row r="761">
          <cell r="I761">
            <v>136</v>
          </cell>
        </row>
        <row r="762">
          <cell r="I762">
            <v>619</v>
          </cell>
        </row>
        <row r="763">
          <cell r="I763">
            <v>1</v>
          </cell>
        </row>
        <row r="764">
          <cell r="I764">
            <v>419</v>
          </cell>
        </row>
        <row r="765">
          <cell r="I765">
            <v>3027</v>
          </cell>
        </row>
        <row r="766">
          <cell r="I766">
            <v>1005</v>
          </cell>
        </row>
        <row r="767">
          <cell r="I767">
            <v>4175</v>
          </cell>
        </row>
        <row r="768">
          <cell r="I768">
            <v>625</v>
          </cell>
        </row>
        <row r="769">
          <cell r="I769">
            <v>1006</v>
          </cell>
        </row>
        <row r="770">
          <cell r="I770">
            <v>501</v>
          </cell>
        </row>
        <row r="771">
          <cell r="I771">
            <v>126</v>
          </cell>
        </row>
        <row r="772">
          <cell r="I772">
            <v>1083</v>
          </cell>
        </row>
        <row r="773">
          <cell r="I773">
            <v>1830</v>
          </cell>
        </row>
        <row r="774">
          <cell r="I774">
            <v>139</v>
          </cell>
        </row>
        <row r="775">
          <cell r="I775">
            <v>2953</v>
          </cell>
        </row>
        <row r="776">
          <cell r="I776">
            <v>50</v>
          </cell>
        </row>
        <row r="777">
          <cell r="I777">
            <v>81</v>
          </cell>
        </row>
        <row r="778">
          <cell r="I778">
            <v>3488</v>
          </cell>
        </row>
        <row r="779">
          <cell r="I779">
            <v>84</v>
          </cell>
        </row>
        <row r="780">
          <cell r="I780">
            <v>38</v>
          </cell>
        </row>
        <row r="781">
          <cell r="I781">
            <v>68</v>
          </cell>
        </row>
        <row r="782">
          <cell r="I782">
            <v>58</v>
          </cell>
        </row>
        <row r="783">
          <cell r="I783">
            <v>1574</v>
          </cell>
        </row>
        <row r="784">
          <cell r="I784">
            <v>1447</v>
          </cell>
        </row>
        <row r="785">
          <cell r="I785">
            <v>344</v>
          </cell>
        </row>
        <row r="786">
          <cell r="I786">
            <v>93</v>
          </cell>
        </row>
        <row r="787">
          <cell r="I787">
            <v>82</v>
          </cell>
        </row>
        <row r="788">
          <cell r="I788">
            <v>394</v>
          </cell>
        </row>
        <row r="789">
          <cell r="I789">
            <v>270</v>
          </cell>
        </row>
        <row r="790">
          <cell r="I790">
            <v>0</v>
          </cell>
        </row>
        <row r="791">
          <cell r="I791">
            <v>0</v>
          </cell>
        </row>
        <row r="792">
          <cell r="I792">
            <v>86</v>
          </cell>
        </row>
        <row r="793">
          <cell r="I793">
            <v>29</v>
          </cell>
        </row>
        <row r="794">
          <cell r="I794">
            <v>540</v>
          </cell>
        </row>
        <row r="795">
          <cell r="I795">
            <v>0</v>
          </cell>
        </row>
        <row r="796">
          <cell r="I796">
            <v>1537</v>
          </cell>
        </row>
        <row r="797">
          <cell r="I797">
            <v>5133</v>
          </cell>
        </row>
        <row r="798">
          <cell r="I798">
            <v>606</v>
          </cell>
        </row>
        <row r="799">
          <cell r="I799">
            <v>304</v>
          </cell>
        </row>
        <row r="800">
          <cell r="I800">
            <v>312</v>
          </cell>
        </row>
        <row r="801">
          <cell r="I801">
            <v>1132</v>
          </cell>
        </row>
        <row r="802">
          <cell r="I802">
            <v>724</v>
          </cell>
        </row>
        <row r="803">
          <cell r="I803">
            <v>4442</v>
          </cell>
        </row>
        <row r="804">
          <cell r="I804">
            <v>4279</v>
          </cell>
        </row>
        <row r="805">
          <cell r="I805">
            <v>314</v>
          </cell>
        </row>
        <row r="806">
          <cell r="I806">
            <v>1435</v>
          </cell>
        </row>
        <row r="807">
          <cell r="I807">
            <v>123</v>
          </cell>
        </row>
        <row r="808">
          <cell r="I808">
            <v>361</v>
          </cell>
        </row>
        <row r="809">
          <cell r="I809">
            <v>1683</v>
          </cell>
        </row>
        <row r="810">
          <cell r="I810">
            <v>2</v>
          </cell>
        </row>
        <row r="811">
          <cell r="I811">
            <v>0</v>
          </cell>
        </row>
        <row r="812">
          <cell r="I812">
            <v>0</v>
          </cell>
        </row>
        <row r="813">
          <cell r="I813">
            <v>74</v>
          </cell>
        </row>
        <row r="814">
          <cell r="I814">
            <v>0</v>
          </cell>
        </row>
        <row r="815">
          <cell r="I815">
            <v>128</v>
          </cell>
        </row>
        <row r="816">
          <cell r="I816">
            <v>314</v>
          </cell>
        </row>
        <row r="817">
          <cell r="I817">
            <v>17</v>
          </cell>
        </row>
        <row r="818">
          <cell r="I818">
            <v>68</v>
          </cell>
        </row>
        <row r="819">
          <cell r="I819">
            <v>356</v>
          </cell>
        </row>
        <row r="820">
          <cell r="I820">
            <v>2057</v>
          </cell>
        </row>
        <row r="821">
          <cell r="I821">
            <v>474</v>
          </cell>
        </row>
        <row r="822">
          <cell r="I822">
            <v>522</v>
          </cell>
        </row>
        <row r="823">
          <cell r="I823">
            <v>631</v>
          </cell>
        </row>
        <row r="824">
          <cell r="I824">
            <v>944</v>
          </cell>
        </row>
        <row r="825">
          <cell r="I825">
            <v>673</v>
          </cell>
        </row>
        <row r="826">
          <cell r="I826">
            <v>1846</v>
          </cell>
        </row>
        <row r="827">
          <cell r="I827">
            <v>55</v>
          </cell>
        </row>
        <row r="828">
          <cell r="I828">
            <v>2259</v>
          </cell>
        </row>
        <row r="829">
          <cell r="I829">
            <v>65</v>
          </cell>
        </row>
        <row r="830">
          <cell r="I830">
            <v>48</v>
          </cell>
        </row>
        <row r="831">
          <cell r="I831">
            <v>139</v>
          </cell>
        </row>
        <row r="832">
          <cell r="I832">
            <v>115</v>
          </cell>
        </row>
        <row r="833">
          <cell r="I833">
            <v>159</v>
          </cell>
        </row>
        <row r="834">
          <cell r="I834">
            <v>344</v>
          </cell>
        </row>
        <row r="835">
          <cell r="I835">
            <v>442</v>
          </cell>
        </row>
        <row r="836">
          <cell r="I836">
            <v>1037</v>
          </cell>
        </row>
        <row r="837">
          <cell r="I837">
            <v>314</v>
          </cell>
        </row>
        <row r="838">
          <cell r="I838">
            <v>146</v>
          </cell>
        </row>
        <row r="839">
          <cell r="I839">
            <v>981</v>
          </cell>
        </row>
        <row r="840">
          <cell r="I840">
            <v>816</v>
          </cell>
        </row>
        <row r="841">
          <cell r="I841">
            <v>904</v>
          </cell>
        </row>
        <row r="842">
          <cell r="I842">
            <v>736</v>
          </cell>
        </row>
        <row r="843">
          <cell r="I843">
            <v>392</v>
          </cell>
        </row>
        <row r="844">
          <cell r="I844">
            <v>126</v>
          </cell>
        </row>
        <row r="845">
          <cell r="I845">
            <v>2483</v>
          </cell>
        </row>
        <row r="846">
          <cell r="I846">
            <v>2096</v>
          </cell>
        </row>
        <row r="847">
          <cell r="I847">
            <v>606</v>
          </cell>
        </row>
        <row r="848">
          <cell r="I848">
            <v>223</v>
          </cell>
        </row>
        <row r="849">
          <cell r="I849">
            <v>0</v>
          </cell>
        </row>
        <row r="850">
          <cell r="I850">
            <v>305</v>
          </cell>
        </row>
        <row r="851">
          <cell r="I851">
            <v>19</v>
          </cell>
        </row>
        <row r="852">
          <cell r="I852">
            <v>38</v>
          </cell>
        </row>
        <row r="853">
          <cell r="I853">
            <v>331</v>
          </cell>
        </row>
        <row r="854">
          <cell r="I854">
            <v>612</v>
          </cell>
        </row>
        <row r="855">
          <cell r="I855">
            <v>27</v>
          </cell>
        </row>
        <row r="856">
          <cell r="I856">
            <v>13</v>
          </cell>
        </row>
        <row r="857">
          <cell r="I857">
            <v>28</v>
          </cell>
        </row>
        <row r="858">
          <cell r="I858">
            <v>1098</v>
          </cell>
        </row>
        <row r="859">
          <cell r="I859">
            <v>518</v>
          </cell>
        </row>
        <row r="860">
          <cell r="I860">
            <v>12852</v>
          </cell>
        </row>
        <row r="861">
          <cell r="I861">
            <v>0</v>
          </cell>
        </row>
        <row r="862">
          <cell r="I862">
            <v>727</v>
          </cell>
        </row>
        <row r="863">
          <cell r="I863">
            <v>2046</v>
          </cell>
        </row>
        <row r="864">
          <cell r="I864">
            <v>0</v>
          </cell>
        </row>
        <row r="865">
          <cell r="I865">
            <v>67</v>
          </cell>
        </row>
        <row r="866">
          <cell r="I866">
            <v>774</v>
          </cell>
        </row>
        <row r="867">
          <cell r="I867">
            <v>26</v>
          </cell>
        </row>
        <row r="868">
          <cell r="I868">
            <v>602</v>
          </cell>
        </row>
        <row r="869">
          <cell r="I869">
            <v>275</v>
          </cell>
        </row>
        <row r="870">
          <cell r="I870">
            <v>230</v>
          </cell>
        </row>
        <row r="871">
          <cell r="I871">
            <v>0</v>
          </cell>
        </row>
        <row r="872">
          <cell r="I872">
            <v>0</v>
          </cell>
        </row>
        <row r="873">
          <cell r="I873">
            <v>13</v>
          </cell>
        </row>
        <row r="874">
          <cell r="I874">
            <v>67</v>
          </cell>
        </row>
        <row r="875">
          <cell r="I875">
            <v>143</v>
          </cell>
        </row>
        <row r="876">
          <cell r="I876">
            <v>14</v>
          </cell>
        </row>
        <row r="877">
          <cell r="I877">
            <v>91</v>
          </cell>
        </row>
        <row r="878">
          <cell r="I878">
            <v>72</v>
          </cell>
        </row>
        <row r="879">
          <cell r="I879">
            <v>0</v>
          </cell>
        </row>
        <row r="880">
          <cell r="I880">
            <v>254</v>
          </cell>
        </row>
        <row r="881">
          <cell r="I881">
            <v>106</v>
          </cell>
        </row>
        <row r="882">
          <cell r="I882">
            <v>22</v>
          </cell>
        </row>
        <row r="883">
          <cell r="I883">
            <v>86</v>
          </cell>
        </row>
        <row r="884">
          <cell r="I884">
            <v>43</v>
          </cell>
        </row>
        <row r="885">
          <cell r="I885">
            <v>42</v>
          </cell>
        </row>
        <row r="886">
          <cell r="I886">
            <v>51</v>
          </cell>
        </row>
        <row r="887">
          <cell r="I887">
            <v>0</v>
          </cell>
        </row>
        <row r="888">
          <cell r="I888">
            <v>86</v>
          </cell>
        </row>
        <row r="889">
          <cell r="I889">
            <v>184</v>
          </cell>
        </row>
        <row r="890">
          <cell r="I890">
            <v>9</v>
          </cell>
        </row>
        <row r="891">
          <cell r="I891">
            <v>18</v>
          </cell>
        </row>
        <row r="892">
          <cell r="I892">
            <v>34</v>
          </cell>
        </row>
        <row r="893">
          <cell r="I893">
            <v>86</v>
          </cell>
        </row>
        <row r="894">
          <cell r="I894">
            <v>183</v>
          </cell>
        </row>
        <row r="895">
          <cell r="I895">
            <v>524</v>
          </cell>
        </row>
        <row r="896">
          <cell r="I896">
            <v>232</v>
          </cell>
        </row>
        <row r="897">
          <cell r="I897">
            <v>597</v>
          </cell>
        </row>
        <row r="898">
          <cell r="I898">
            <v>574</v>
          </cell>
        </row>
        <row r="899">
          <cell r="I899">
            <v>15403</v>
          </cell>
        </row>
        <row r="900">
          <cell r="I900">
            <v>2501</v>
          </cell>
        </row>
        <row r="901">
          <cell r="I901">
            <v>1392</v>
          </cell>
        </row>
        <row r="902">
          <cell r="I902">
            <v>2152</v>
          </cell>
        </row>
        <row r="903">
          <cell r="I903">
            <v>2040</v>
          </cell>
        </row>
        <row r="904">
          <cell r="I904">
            <v>6057</v>
          </cell>
        </row>
        <row r="905">
          <cell r="I905">
            <v>192</v>
          </cell>
        </row>
        <row r="906">
          <cell r="I906">
            <v>2231</v>
          </cell>
        </row>
        <row r="907">
          <cell r="I907">
            <v>372</v>
          </cell>
        </row>
        <row r="908">
          <cell r="I908">
            <v>760</v>
          </cell>
        </row>
        <row r="909">
          <cell r="I909">
            <v>944</v>
          </cell>
        </row>
        <row r="910">
          <cell r="I910">
            <v>1319</v>
          </cell>
        </row>
        <row r="911">
          <cell r="I911">
            <v>795</v>
          </cell>
        </row>
        <row r="912">
          <cell r="I912">
            <v>1595</v>
          </cell>
        </row>
        <row r="913">
          <cell r="I913">
            <v>2252</v>
          </cell>
        </row>
        <row r="914">
          <cell r="I914">
            <v>1388</v>
          </cell>
        </row>
        <row r="915">
          <cell r="I915">
            <v>164</v>
          </cell>
        </row>
        <row r="916">
          <cell r="I916">
            <v>385</v>
          </cell>
        </row>
        <row r="917">
          <cell r="I917">
            <v>1683</v>
          </cell>
        </row>
        <row r="918">
          <cell r="I918">
            <v>3165</v>
          </cell>
        </row>
        <row r="919">
          <cell r="I919">
            <v>1360</v>
          </cell>
        </row>
        <row r="920">
          <cell r="I920">
            <v>21</v>
          </cell>
        </row>
        <row r="921">
          <cell r="I921">
            <v>1</v>
          </cell>
        </row>
        <row r="922">
          <cell r="I922">
            <v>62</v>
          </cell>
        </row>
        <row r="923">
          <cell r="I923">
            <v>365</v>
          </cell>
        </row>
        <row r="924">
          <cell r="I924">
            <v>80</v>
          </cell>
        </row>
        <row r="925">
          <cell r="I925">
            <v>101</v>
          </cell>
        </row>
        <row r="926">
          <cell r="I926">
            <v>8</v>
          </cell>
        </row>
        <row r="927">
          <cell r="I927">
            <v>34</v>
          </cell>
        </row>
        <row r="928">
          <cell r="I928">
            <v>1139</v>
          </cell>
        </row>
        <row r="929">
          <cell r="I929">
            <v>783</v>
          </cell>
        </row>
        <row r="930">
          <cell r="I930">
            <v>889</v>
          </cell>
        </row>
        <row r="931">
          <cell r="I931">
            <v>54</v>
          </cell>
        </row>
        <row r="932">
          <cell r="I932">
            <v>1069</v>
          </cell>
        </row>
        <row r="933">
          <cell r="I933">
            <v>220</v>
          </cell>
        </row>
        <row r="934">
          <cell r="I934">
            <v>308</v>
          </cell>
        </row>
        <row r="935">
          <cell r="I935">
            <v>279</v>
          </cell>
        </row>
        <row r="936">
          <cell r="I936">
            <v>477</v>
          </cell>
        </row>
        <row r="937">
          <cell r="I937">
            <v>33</v>
          </cell>
        </row>
        <row r="938">
          <cell r="I938">
            <v>60</v>
          </cell>
        </row>
        <row r="939">
          <cell r="I939">
            <v>3444</v>
          </cell>
        </row>
        <row r="940">
          <cell r="I940">
            <v>4970</v>
          </cell>
        </row>
        <row r="941">
          <cell r="I941">
            <v>3676</v>
          </cell>
        </row>
        <row r="942">
          <cell r="I942">
            <v>2177</v>
          </cell>
        </row>
        <row r="943">
          <cell r="I943">
            <v>15</v>
          </cell>
        </row>
        <row r="944">
          <cell r="I944">
            <v>2</v>
          </cell>
        </row>
        <row r="945">
          <cell r="I945">
            <v>163</v>
          </cell>
        </row>
        <row r="946">
          <cell r="I946">
            <v>186</v>
          </cell>
        </row>
        <row r="947">
          <cell r="I947">
            <v>459</v>
          </cell>
        </row>
        <row r="948">
          <cell r="I948">
            <v>1784</v>
          </cell>
        </row>
        <row r="949">
          <cell r="I949">
            <v>1197</v>
          </cell>
        </row>
        <row r="950">
          <cell r="I950">
            <v>386</v>
          </cell>
        </row>
        <row r="951">
          <cell r="I951">
            <v>2285</v>
          </cell>
        </row>
        <row r="952">
          <cell r="I952">
            <v>1382</v>
          </cell>
        </row>
        <row r="953">
          <cell r="I953">
            <v>10174</v>
          </cell>
        </row>
        <row r="954">
          <cell r="I954">
            <v>13</v>
          </cell>
        </row>
        <row r="955">
          <cell r="I955">
            <v>707</v>
          </cell>
        </row>
        <row r="956">
          <cell r="I956">
            <v>1416</v>
          </cell>
        </row>
        <row r="957">
          <cell r="I957">
            <v>607</v>
          </cell>
        </row>
        <row r="958">
          <cell r="I958">
            <v>1575</v>
          </cell>
        </row>
        <row r="959">
          <cell r="I959">
            <v>3044</v>
          </cell>
        </row>
        <row r="960">
          <cell r="I960">
            <v>7</v>
          </cell>
        </row>
        <row r="961">
          <cell r="I961">
            <v>208</v>
          </cell>
        </row>
        <row r="962">
          <cell r="I962">
            <v>1774</v>
          </cell>
        </row>
        <row r="963">
          <cell r="I963">
            <v>17</v>
          </cell>
        </row>
        <row r="964">
          <cell r="I964">
            <v>1891</v>
          </cell>
        </row>
        <row r="965">
          <cell r="I965">
            <v>108</v>
          </cell>
        </row>
        <row r="966">
          <cell r="I966">
            <v>78</v>
          </cell>
        </row>
        <row r="967">
          <cell r="I967">
            <v>602</v>
          </cell>
        </row>
        <row r="968">
          <cell r="I968">
            <v>58</v>
          </cell>
        </row>
        <row r="969">
          <cell r="I969">
            <v>156</v>
          </cell>
        </row>
        <row r="970">
          <cell r="I970">
            <v>1273</v>
          </cell>
        </row>
        <row r="971">
          <cell r="I971">
            <v>662</v>
          </cell>
        </row>
        <row r="972">
          <cell r="I972">
            <v>1059</v>
          </cell>
        </row>
        <row r="973">
          <cell r="I973">
            <v>385</v>
          </cell>
        </row>
        <row r="974">
          <cell r="I974">
            <v>838</v>
          </cell>
        </row>
        <row r="975">
          <cell r="I975">
            <v>177</v>
          </cell>
        </row>
        <row r="976">
          <cell r="I976">
            <v>210</v>
          </cell>
        </row>
        <row r="977">
          <cell r="I977">
            <v>2940</v>
          </cell>
        </row>
        <row r="978">
          <cell r="I978">
            <v>153</v>
          </cell>
        </row>
        <row r="979">
          <cell r="I979">
            <v>27</v>
          </cell>
        </row>
        <row r="980">
          <cell r="I980">
            <v>85</v>
          </cell>
        </row>
        <row r="981">
          <cell r="I981">
            <v>8</v>
          </cell>
        </row>
        <row r="982">
          <cell r="I982">
            <v>10</v>
          </cell>
        </row>
        <row r="983">
          <cell r="I983">
            <v>345</v>
          </cell>
        </row>
        <row r="984">
          <cell r="I984">
            <v>989</v>
          </cell>
        </row>
        <row r="985">
          <cell r="I985">
            <v>4170</v>
          </cell>
        </row>
        <row r="986">
          <cell r="I986">
            <v>860</v>
          </cell>
        </row>
        <row r="987">
          <cell r="I987">
            <v>219</v>
          </cell>
        </row>
        <row r="988">
          <cell r="I988">
            <v>0</v>
          </cell>
        </row>
        <row r="989">
          <cell r="I989">
            <v>320</v>
          </cell>
        </row>
        <row r="990">
          <cell r="I990">
            <v>169</v>
          </cell>
        </row>
        <row r="991">
          <cell r="I991">
            <v>46</v>
          </cell>
        </row>
        <row r="992">
          <cell r="I992">
            <v>339</v>
          </cell>
        </row>
        <row r="993">
          <cell r="I993">
            <v>141</v>
          </cell>
        </row>
        <row r="994">
          <cell r="I994">
            <v>138</v>
          </cell>
        </row>
        <row r="995">
          <cell r="I995">
            <v>93</v>
          </cell>
        </row>
        <row r="996">
          <cell r="I996">
            <v>128</v>
          </cell>
        </row>
        <row r="997">
          <cell r="I997">
            <v>13</v>
          </cell>
        </row>
        <row r="998">
          <cell r="I998">
            <v>112</v>
          </cell>
        </row>
        <row r="999">
          <cell r="I999">
            <v>383</v>
          </cell>
        </row>
        <row r="1000">
          <cell r="I1000">
            <v>4258</v>
          </cell>
        </row>
        <row r="1001">
          <cell r="I1001">
            <v>5031</v>
          </cell>
        </row>
        <row r="1002">
          <cell r="I1002">
            <v>1031</v>
          </cell>
        </row>
        <row r="1003">
          <cell r="I1003">
            <v>6459</v>
          </cell>
        </row>
        <row r="1004">
          <cell r="I1004">
            <v>864</v>
          </cell>
        </row>
        <row r="1005">
          <cell r="I1005">
            <v>116</v>
          </cell>
        </row>
        <row r="1006">
          <cell r="I1006">
            <v>255</v>
          </cell>
        </row>
        <row r="1007">
          <cell r="I1007">
            <v>69</v>
          </cell>
        </row>
        <row r="1008">
          <cell r="I1008">
            <v>1311</v>
          </cell>
        </row>
        <row r="1009">
          <cell r="I1009">
            <v>61</v>
          </cell>
        </row>
        <row r="1010">
          <cell r="I1010">
            <v>83</v>
          </cell>
        </row>
        <row r="1011">
          <cell r="I1011">
            <v>274</v>
          </cell>
        </row>
        <row r="1012">
          <cell r="I1012">
            <v>373</v>
          </cell>
        </row>
        <row r="1013">
          <cell r="I1013">
            <v>292</v>
          </cell>
        </row>
        <row r="1014">
          <cell r="I1014">
            <v>888</v>
          </cell>
        </row>
        <row r="1015">
          <cell r="I1015">
            <v>445</v>
          </cell>
        </row>
        <row r="1016">
          <cell r="I1016">
            <v>955</v>
          </cell>
        </row>
        <row r="1017">
          <cell r="I1017">
            <v>731</v>
          </cell>
        </row>
        <row r="1018">
          <cell r="I1018">
            <v>2634</v>
          </cell>
        </row>
        <row r="1019">
          <cell r="I1019">
            <v>963</v>
          </cell>
        </row>
        <row r="1020">
          <cell r="I1020">
            <v>571</v>
          </cell>
        </row>
        <row r="1021">
          <cell r="I1021">
            <v>1691</v>
          </cell>
        </row>
        <row r="1022">
          <cell r="I1022">
            <v>1284</v>
          </cell>
        </row>
        <row r="1023">
          <cell r="I1023">
            <v>3400</v>
          </cell>
        </row>
        <row r="1024">
          <cell r="I1024">
            <v>3698</v>
          </cell>
        </row>
        <row r="1025">
          <cell r="I1025">
            <v>238</v>
          </cell>
        </row>
        <row r="1026">
          <cell r="I1026">
            <v>0</v>
          </cell>
        </row>
        <row r="1027">
          <cell r="I1027">
            <v>4521</v>
          </cell>
        </row>
        <row r="1028">
          <cell r="I1028">
            <v>1382</v>
          </cell>
        </row>
        <row r="1029">
          <cell r="I1029">
            <v>7461</v>
          </cell>
        </row>
        <row r="1030">
          <cell r="I1030">
            <v>0</v>
          </cell>
        </row>
        <row r="1031">
          <cell r="I1031">
            <v>163</v>
          </cell>
        </row>
        <row r="1032">
          <cell r="I1032">
            <v>1518</v>
          </cell>
        </row>
        <row r="1033">
          <cell r="I1033">
            <v>75</v>
          </cell>
        </row>
        <row r="1034">
          <cell r="I1034">
            <v>54</v>
          </cell>
        </row>
        <row r="1035">
          <cell r="I1035">
            <v>449</v>
          </cell>
        </row>
        <row r="1036">
          <cell r="I1036">
            <v>42</v>
          </cell>
        </row>
        <row r="1037">
          <cell r="I1037">
            <v>166</v>
          </cell>
        </row>
        <row r="1038">
          <cell r="I1038">
            <v>15912</v>
          </cell>
        </row>
        <row r="1039">
          <cell r="I1039">
            <v>223</v>
          </cell>
        </row>
        <row r="1040">
          <cell r="I1040">
            <v>791</v>
          </cell>
        </row>
        <row r="1041">
          <cell r="I1041">
            <v>1287</v>
          </cell>
        </row>
        <row r="1042">
          <cell r="I1042">
            <v>7</v>
          </cell>
        </row>
        <row r="1043">
          <cell r="I1043">
            <v>236</v>
          </cell>
        </row>
        <row r="1044">
          <cell r="I1044">
            <v>188</v>
          </cell>
        </row>
        <row r="1045">
          <cell r="I1045">
            <v>269</v>
          </cell>
        </row>
        <row r="1046">
          <cell r="I1046">
            <v>1823</v>
          </cell>
        </row>
        <row r="1047">
          <cell r="I1047">
            <v>1798</v>
          </cell>
        </row>
        <row r="1048">
          <cell r="I1048">
            <v>50</v>
          </cell>
        </row>
        <row r="1049">
          <cell r="I1049">
            <v>136</v>
          </cell>
        </row>
        <row r="1050">
          <cell r="I1050">
            <v>393</v>
          </cell>
        </row>
        <row r="1051">
          <cell r="I1051">
            <v>673</v>
          </cell>
        </row>
        <row r="1052">
          <cell r="I1052">
            <v>0</v>
          </cell>
        </row>
        <row r="1053">
          <cell r="I1053">
            <v>122</v>
          </cell>
        </row>
        <row r="1054">
          <cell r="I1054">
            <v>174</v>
          </cell>
        </row>
        <row r="1055">
          <cell r="I1055">
            <v>14</v>
          </cell>
        </row>
        <row r="1056">
          <cell r="I1056">
            <v>153</v>
          </cell>
        </row>
        <row r="1057">
          <cell r="I1057">
            <v>638</v>
          </cell>
        </row>
        <row r="1058">
          <cell r="I1058">
            <v>85</v>
          </cell>
        </row>
        <row r="1059">
          <cell r="I1059">
            <v>178</v>
          </cell>
        </row>
        <row r="1060">
          <cell r="I1060">
            <v>0</v>
          </cell>
        </row>
        <row r="1061">
          <cell r="I1061">
            <v>2990</v>
          </cell>
        </row>
        <row r="1062">
          <cell r="I1062">
            <v>38618</v>
          </cell>
        </row>
        <row r="1063">
          <cell r="I1063">
            <v>145</v>
          </cell>
        </row>
        <row r="1064">
          <cell r="I1064">
            <v>233</v>
          </cell>
        </row>
        <row r="1065">
          <cell r="I1065">
            <v>135</v>
          </cell>
        </row>
        <row r="1066">
          <cell r="I1066">
            <v>34</v>
          </cell>
        </row>
        <row r="1067">
          <cell r="I1067">
            <v>1156</v>
          </cell>
        </row>
        <row r="1068">
          <cell r="I1068">
            <v>120</v>
          </cell>
        </row>
        <row r="1069">
          <cell r="I1069">
            <v>443</v>
          </cell>
        </row>
        <row r="1070">
          <cell r="I1070">
            <v>180</v>
          </cell>
        </row>
        <row r="1071">
          <cell r="I1071">
            <v>512</v>
          </cell>
        </row>
        <row r="1072">
          <cell r="I1072">
            <v>173</v>
          </cell>
        </row>
        <row r="1073">
          <cell r="I1073">
            <v>235</v>
          </cell>
        </row>
        <row r="1074">
          <cell r="I1074">
            <v>23588</v>
          </cell>
        </row>
        <row r="1075">
          <cell r="I1075">
            <v>49508</v>
          </cell>
        </row>
        <row r="1076">
          <cell r="I1076">
            <v>439</v>
          </cell>
        </row>
        <row r="1077">
          <cell r="I1077">
            <v>133</v>
          </cell>
        </row>
        <row r="1078">
          <cell r="I1078">
            <v>612</v>
          </cell>
        </row>
        <row r="1079">
          <cell r="I1079">
            <v>90</v>
          </cell>
        </row>
        <row r="1080">
          <cell r="I1080">
            <v>2737</v>
          </cell>
        </row>
        <row r="1081">
          <cell r="I1081">
            <v>34</v>
          </cell>
        </row>
        <row r="1082">
          <cell r="I1082">
            <v>71</v>
          </cell>
        </row>
        <row r="1083">
          <cell r="I1083">
            <v>88</v>
          </cell>
        </row>
        <row r="1084">
          <cell r="I1084">
            <v>146</v>
          </cell>
        </row>
        <row r="1085">
          <cell r="I1085">
            <v>298</v>
          </cell>
        </row>
        <row r="1086">
          <cell r="I1086">
            <v>2630</v>
          </cell>
        </row>
        <row r="1087">
          <cell r="I1087">
            <v>413</v>
          </cell>
        </row>
        <row r="1088">
          <cell r="I1088">
            <v>790</v>
          </cell>
        </row>
        <row r="1089">
          <cell r="I1089">
            <v>208</v>
          </cell>
        </row>
        <row r="1090">
          <cell r="I1090">
            <v>280</v>
          </cell>
        </row>
        <row r="1091">
          <cell r="I1091">
            <v>115</v>
          </cell>
        </row>
        <row r="1092">
          <cell r="I1092">
            <v>296</v>
          </cell>
        </row>
        <row r="1093">
          <cell r="I1093">
            <v>94</v>
          </cell>
        </row>
        <row r="1094">
          <cell r="I1094">
            <v>542</v>
          </cell>
        </row>
        <row r="1095">
          <cell r="I1095">
            <v>308</v>
          </cell>
        </row>
        <row r="1096">
          <cell r="I1096">
            <v>0</v>
          </cell>
        </row>
        <row r="1097">
          <cell r="I1097">
            <v>0</v>
          </cell>
        </row>
        <row r="1098">
          <cell r="I1098">
            <v>431</v>
          </cell>
        </row>
        <row r="1099">
          <cell r="I1099">
            <v>4</v>
          </cell>
        </row>
        <row r="1100">
          <cell r="I1100">
            <v>287</v>
          </cell>
        </row>
        <row r="1101">
          <cell r="I1101">
            <v>619</v>
          </cell>
        </row>
        <row r="1102">
          <cell r="I1102">
            <v>296</v>
          </cell>
        </row>
        <row r="1103">
          <cell r="I1103">
            <v>513</v>
          </cell>
        </row>
        <row r="1104">
          <cell r="I1104">
            <v>1297</v>
          </cell>
        </row>
        <row r="1105">
          <cell r="I1105">
            <v>2530</v>
          </cell>
        </row>
        <row r="1106">
          <cell r="I1106">
            <v>1710</v>
          </cell>
        </row>
        <row r="1107">
          <cell r="I1107">
            <v>99</v>
          </cell>
        </row>
        <row r="1108">
          <cell r="I1108">
            <v>734</v>
          </cell>
        </row>
        <row r="1109">
          <cell r="I1109">
            <v>286</v>
          </cell>
        </row>
        <row r="1110">
          <cell r="I1110">
            <v>303</v>
          </cell>
        </row>
        <row r="1111">
          <cell r="I1111">
            <v>421</v>
          </cell>
        </row>
        <row r="1112">
          <cell r="I1112">
            <v>14</v>
          </cell>
        </row>
        <row r="1113">
          <cell r="I1113">
            <v>638</v>
          </cell>
        </row>
        <row r="1114">
          <cell r="I1114">
            <v>0</v>
          </cell>
        </row>
        <row r="1115">
          <cell r="I1115">
            <v>0</v>
          </cell>
        </row>
        <row r="1116">
          <cell r="I1116">
            <v>0</v>
          </cell>
        </row>
        <row r="1117">
          <cell r="I1117">
            <v>503</v>
          </cell>
        </row>
        <row r="1118">
          <cell r="I1118">
            <v>674</v>
          </cell>
        </row>
        <row r="1119">
          <cell r="I1119">
            <v>153</v>
          </cell>
        </row>
        <row r="1120">
          <cell r="I1120">
            <v>932</v>
          </cell>
        </row>
        <row r="1121">
          <cell r="I1121">
            <v>356</v>
          </cell>
        </row>
        <row r="1122">
          <cell r="I1122">
            <v>0</v>
          </cell>
        </row>
        <row r="1123">
          <cell r="I1123">
            <v>309</v>
          </cell>
        </row>
        <row r="1124">
          <cell r="I1124">
            <v>262</v>
          </cell>
        </row>
        <row r="1125">
          <cell r="I1125">
            <v>1028</v>
          </cell>
        </row>
        <row r="1126">
          <cell r="I1126">
            <v>2270</v>
          </cell>
        </row>
        <row r="1127">
          <cell r="I1127">
            <v>337</v>
          </cell>
        </row>
        <row r="1128">
          <cell r="I1128">
            <v>858</v>
          </cell>
        </row>
        <row r="1129">
          <cell r="I1129">
            <v>172</v>
          </cell>
        </row>
        <row r="1130">
          <cell r="I1130">
            <v>0</v>
          </cell>
        </row>
        <row r="1131">
          <cell r="I1131">
            <v>0</v>
          </cell>
        </row>
        <row r="1132">
          <cell r="I1132">
            <v>72</v>
          </cell>
        </row>
        <row r="1133">
          <cell r="I1133">
            <v>50</v>
          </cell>
        </row>
        <row r="1134">
          <cell r="I1134">
            <v>117</v>
          </cell>
        </row>
        <row r="1135">
          <cell r="I1135">
            <v>0</v>
          </cell>
        </row>
        <row r="1136">
          <cell r="I1136">
            <v>25</v>
          </cell>
        </row>
        <row r="1137">
          <cell r="I1137">
            <v>84</v>
          </cell>
        </row>
        <row r="1138">
          <cell r="I1138">
            <v>63</v>
          </cell>
        </row>
        <row r="1139">
          <cell r="I1139">
            <v>107</v>
          </cell>
        </row>
        <row r="1140">
          <cell r="I1140">
            <v>114</v>
          </cell>
        </row>
        <row r="1141">
          <cell r="I1141">
            <v>151</v>
          </cell>
        </row>
        <row r="1142">
          <cell r="I1142">
            <v>47</v>
          </cell>
        </row>
        <row r="1143">
          <cell r="I1143">
            <v>114</v>
          </cell>
        </row>
        <row r="1144">
          <cell r="I1144">
            <v>1027</v>
          </cell>
        </row>
        <row r="1145">
          <cell r="I1145">
            <v>113</v>
          </cell>
        </row>
        <row r="1146">
          <cell r="I1146">
            <v>10</v>
          </cell>
        </row>
        <row r="1147">
          <cell r="I1147">
            <v>0</v>
          </cell>
        </row>
        <row r="1148">
          <cell r="I1148">
            <v>0</v>
          </cell>
        </row>
        <row r="1149">
          <cell r="I1149">
            <v>0</v>
          </cell>
        </row>
        <row r="1150">
          <cell r="I1150">
            <v>228</v>
          </cell>
        </row>
        <row r="1151">
          <cell r="I1151">
            <v>15</v>
          </cell>
        </row>
        <row r="1152">
          <cell r="I1152">
            <v>80</v>
          </cell>
        </row>
        <row r="1153">
          <cell r="I1153">
            <v>481</v>
          </cell>
        </row>
        <row r="1154">
          <cell r="I1154">
            <v>827</v>
          </cell>
        </row>
        <row r="1155">
          <cell r="I1155">
            <v>31</v>
          </cell>
        </row>
        <row r="1156">
          <cell r="I1156">
            <v>0</v>
          </cell>
        </row>
        <row r="1157">
          <cell r="I1157">
            <v>0</v>
          </cell>
        </row>
        <row r="1158">
          <cell r="I1158">
            <v>0</v>
          </cell>
        </row>
        <row r="1159">
          <cell r="I1159">
            <v>246</v>
          </cell>
        </row>
        <row r="1160">
          <cell r="I1160">
            <v>1139</v>
          </cell>
        </row>
        <row r="1161">
          <cell r="I1161">
            <v>25</v>
          </cell>
        </row>
        <row r="1162">
          <cell r="I1162">
            <v>0</v>
          </cell>
        </row>
        <row r="1163">
          <cell r="I1163">
            <v>0</v>
          </cell>
        </row>
        <row r="1164">
          <cell r="I1164">
            <v>225</v>
          </cell>
        </row>
        <row r="1165">
          <cell r="I1165">
            <v>298</v>
          </cell>
        </row>
        <row r="1166">
          <cell r="I1166">
            <v>143</v>
          </cell>
        </row>
        <row r="1167">
          <cell r="I1167">
            <v>0</v>
          </cell>
        </row>
        <row r="1168">
          <cell r="I1168">
            <v>156</v>
          </cell>
        </row>
        <row r="1169">
          <cell r="I1169">
            <v>0</v>
          </cell>
        </row>
        <row r="1170">
          <cell r="I1170">
            <v>210</v>
          </cell>
        </row>
        <row r="1171">
          <cell r="I1171">
            <v>3156</v>
          </cell>
        </row>
        <row r="1172">
          <cell r="I1172">
            <v>5721</v>
          </cell>
        </row>
        <row r="1173">
          <cell r="I1173">
            <v>5797</v>
          </cell>
        </row>
        <row r="1174">
          <cell r="I1174">
            <v>6339</v>
          </cell>
        </row>
        <row r="1175">
          <cell r="I1175">
            <v>0</v>
          </cell>
        </row>
        <row r="1176">
          <cell r="I1176">
            <v>0</v>
          </cell>
        </row>
        <row r="1177">
          <cell r="I1177">
            <v>36</v>
          </cell>
        </row>
        <row r="1178">
          <cell r="I1178">
            <v>153</v>
          </cell>
        </row>
        <row r="1179">
          <cell r="I1179">
            <v>62</v>
          </cell>
        </row>
        <row r="1180">
          <cell r="I1180">
            <v>0</v>
          </cell>
        </row>
        <row r="1181">
          <cell r="I1181">
            <v>299</v>
          </cell>
        </row>
        <row r="1182">
          <cell r="I1182">
            <v>2644</v>
          </cell>
        </row>
        <row r="1183">
          <cell r="I1183">
            <v>1889</v>
          </cell>
        </row>
        <row r="1184">
          <cell r="I1184">
            <v>0</v>
          </cell>
        </row>
        <row r="1185">
          <cell r="I1185">
            <v>141</v>
          </cell>
        </row>
        <row r="1186">
          <cell r="I1186">
            <v>680</v>
          </cell>
        </row>
        <row r="1187">
          <cell r="I1187">
            <v>0</v>
          </cell>
        </row>
        <row r="1188">
          <cell r="I1188">
            <v>2005</v>
          </cell>
        </row>
        <row r="1189">
          <cell r="I1189">
            <v>419</v>
          </cell>
        </row>
        <row r="1190">
          <cell r="I1190">
            <v>0</v>
          </cell>
        </row>
        <row r="1191">
          <cell r="I1191">
            <v>154</v>
          </cell>
        </row>
        <row r="1192">
          <cell r="I1192">
            <v>6900</v>
          </cell>
        </row>
        <row r="1193">
          <cell r="I1193">
            <v>0</v>
          </cell>
        </row>
        <row r="1194">
          <cell r="I1194">
            <v>3247</v>
          </cell>
        </row>
        <row r="1195">
          <cell r="I1195">
            <v>510</v>
          </cell>
        </row>
        <row r="1196">
          <cell r="I1196">
            <v>3799</v>
          </cell>
        </row>
        <row r="1197">
          <cell r="I1197">
            <v>319</v>
          </cell>
        </row>
        <row r="1198">
          <cell r="I1198">
            <v>3026</v>
          </cell>
        </row>
        <row r="1199">
          <cell r="I1199">
            <v>1093</v>
          </cell>
        </row>
        <row r="1200">
          <cell r="I1200">
            <v>0</v>
          </cell>
        </row>
        <row r="1201">
          <cell r="I1201">
            <v>0</v>
          </cell>
        </row>
        <row r="1202">
          <cell r="I1202">
            <v>14242</v>
          </cell>
        </row>
        <row r="1203">
          <cell r="I1203">
            <v>269</v>
          </cell>
        </row>
        <row r="1204">
          <cell r="I1204">
            <v>5518</v>
          </cell>
        </row>
        <row r="1205">
          <cell r="I1205">
            <v>11017</v>
          </cell>
        </row>
        <row r="1206">
          <cell r="I1206">
            <v>1848</v>
          </cell>
        </row>
        <row r="1207">
          <cell r="I1207">
            <v>81</v>
          </cell>
        </row>
        <row r="1208">
          <cell r="I1208">
            <v>469</v>
          </cell>
        </row>
        <row r="1209">
          <cell r="I1209">
            <v>0</v>
          </cell>
        </row>
        <row r="1210">
          <cell r="I1210">
            <v>312</v>
          </cell>
        </row>
        <row r="1211">
          <cell r="I1211">
            <v>0</v>
          </cell>
        </row>
        <row r="1212">
          <cell r="I1212">
            <v>665</v>
          </cell>
        </row>
        <row r="1213">
          <cell r="I1213">
            <v>0</v>
          </cell>
        </row>
        <row r="1214">
          <cell r="I1214">
            <v>216</v>
          </cell>
        </row>
        <row r="1215">
          <cell r="I1215">
            <v>1855</v>
          </cell>
        </row>
        <row r="1216">
          <cell r="I1216">
            <v>0</v>
          </cell>
        </row>
        <row r="1217">
          <cell r="I1217">
            <v>398</v>
          </cell>
        </row>
        <row r="1218">
          <cell r="I1218">
            <v>156</v>
          </cell>
        </row>
        <row r="1219">
          <cell r="I1219">
            <v>176</v>
          </cell>
        </row>
        <row r="1220">
          <cell r="I1220">
            <v>384</v>
          </cell>
        </row>
        <row r="1221">
          <cell r="I1221">
            <v>1312</v>
          </cell>
        </row>
        <row r="1222">
          <cell r="I1222">
            <v>321</v>
          </cell>
        </row>
        <row r="1223">
          <cell r="I1223">
            <v>9070</v>
          </cell>
        </row>
        <row r="1224">
          <cell r="I1224">
            <v>1003</v>
          </cell>
        </row>
        <row r="1225">
          <cell r="I1225">
            <v>573</v>
          </cell>
        </row>
        <row r="1226">
          <cell r="I1226">
            <v>0</v>
          </cell>
        </row>
        <row r="1227">
          <cell r="I1227">
            <v>1433</v>
          </cell>
        </row>
        <row r="1228">
          <cell r="I1228">
            <v>653</v>
          </cell>
        </row>
        <row r="1229">
          <cell r="I1229">
            <v>1763</v>
          </cell>
        </row>
        <row r="1230">
          <cell r="I1230">
            <v>193</v>
          </cell>
        </row>
        <row r="1231">
          <cell r="I1231">
            <v>2264</v>
          </cell>
        </row>
        <row r="1232">
          <cell r="I1232">
            <v>574</v>
          </cell>
        </row>
        <row r="1233">
          <cell r="I1233">
            <v>5803</v>
          </cell>
        </row>
        <row r="1234">
          <cell r="I1234">
            <v>2199</v>
          </cell>
        </row>
        <row r="1235">
          <cell r="I1235">
            <v>3501</v>
          </cell>
        </row>
        <row r="1236">
          <cell r="I1236">
            <v>5276</v>
          </cell>
        </row>
        <row r="1237">
          <cell r="I1237">
            <v>1022</v>
          </cell>
        </row>
        <row r="1238">
          <cell r="I1238">
            <v>0</v>
          </cell>
        </row>
        <row r="1239">
          <cell r="I1239">
            <v>1</v>
          </cell>
        </row>
        <row r="1240">
          <cell r="I1240">
            <v>31</v>
          </cell>
        </row>
        <row r="1241">
          <cell r="I1241">
            <v>0</v>
          </cell>
        </row>
        <row r="1242">
          <cell r="I1242">
            <v>5871</v>
          </cell>
        </row>
        <row r="1243">
          <cell r="I1243">
            <v>2329</v>
          </cell>
        </row>
        <row r="1244">
          <cell r="I1244">
            <v>30</v>
          </cell>
        </row>
        <row r="1245">
          <cell r="I1245">
            <v>1733</v>
          </cell>
        </row>
        <row r="1246">
          <cell r="I1246">
            <v>865</v>
          </cell>
        </row>
        <row r="1247">
          <cell r="I1247">
            <v>92</v>
          </cell>
        </row>
        <row r="1248">
          <cell r="I1248">
            <v>5336</v>
          </cell>
        </row>
        <row r="1249">
          <cell r="I1249">
            <v>12079</v>
          </cell>
        </row>
        <row r="1250">
          <cell r="I1250">
            <v>1014</v>
          </cell>
        </row>
        <row r="1251">
          <cell r="I1251">
            <v>1704</v>
          </cell>
        </row>
        <row r="1252">
          <cell r="I1252">
            <v>1545</v>
          </cell>
        </row>
        <row r="1253">
          <cell r="I1253">
            <v>3900</v>
          </cell>
        </row>
        <row r="1254">
          <cell r="I1254">
            <v>261</v>
          </cell>
        </row>
        <row r="1255">
          <cell r="I1255">
            <v>586</v>
          </cell>
        </row>
        <row r="1256">
          <cell r="I1256">
            <v>1601</v>
          </cell>
        </row>
        <row r="1257">
          <cell r="I1257">
            <v>1783</v>
          </cell>
        </row>
        <row r="1258">
          <cell r="I1258">
            <v>701</v>
          </cell>
        </row>
        <row r="1259">
          <cell r="I1259">
            <v>1397</v>
          </cell>
        </row>
        <row r="1260">
          <cell r="I1260">
            <v>86</v>
          </cell>
        </row>
        <row r="1261">
          <cell r="I1261">
            <v>16</v>
          </cell>
        </row>
        <row r="1262">
          <cell r="I1262">
            <v>1184</v>
          </cell>
        </row>
        <row r="1263">
          <cell r="I1263">
            <v>49</v>
          </cell>
        </row>
        <row r="1264">
          <cell r="I1264">
            <v>2096</v>
          </cell>
        </row>
        <row r="1265">
          <cell r="I1265">
            <v>850</v>
          </cell>
        </row>
        <row r="1266">
          <cell r="I1266">
            <v>2951</v>
          </cell>
        </row>
        <row r="1267">
          <cell r="I1267">
            <v>283</v>
          </cell>
        </row>
        <row r="1268">
          <cell r="I1268">
            <v>65</v>
          </cell>
        </row>
        <row r="1269">
          <cell r="I1269">
            <v>675</v>
          </cell>
        </row>
        <row r="1270">
          <cell r="I1270">
            <v>3095</v>
          </cell>
        </row>
        <row r="1271">
          <cell r="I1271">
            <v>264</v>
          </cell>
        </row>
        <row r="1272">
          <cell r="I1272">
            <v>1543</v>
          </cell>
        </row>
        <row r="1273">
          <cell r="I1273">
            <v>28</v>
          </cell>
        </row>
        <row r="1274">
          <cell r="I1274">
            <v>452</v>
          </cell>
        </row>
        <row r="1275">
          <cell r="I1275">
            <v>46</v>
          </cell>
        </row>
        <row r="1276">
          <cell r="I1276">
            <v>143</v>
          </cell>
        </row>
        <row r="1277">
          <cell r="I1277">
            <v>0</v>
          </cell>
        </row>
        <row r="1278">
          <cell r="I1278">
            <v>72</v>
          </cell>
        </row>
        <row r="1279">
          <cell r="I1279">
            <v>0</v>
          </cell>
        </row>
        <row r="1280">
          <cell r="I1280">
            <v>0</v>
          </cell>
        </row>
        <row r="1281">
          <cell r="I1281">
            <v>23</v>
          </cell>
        </row>
        <row r="1282">
          <cell r="I1282">
            <v>182</v>
          </cell>
        </row>
        <row r="1283">
          <cell r="I1283">
            <v>0</v>
          </cell>
        </row>
        <row r="1284">
          <cell r="I1284">
            <v>0</v>
          </cell>
        </row>
        <row r="1285">
          <cell r="I1285">
            <v>0</v>
          </cell>
        </row>
        <row r="1286">
          <cell r="I1286">
            <v>146</v>
          </cell>
        </row>
        <row r="1287">
          <cell r="I1287">
            <v>297</v>
          </cell>
        </row>
        <row r="1288">
          <cell r="I1288">
            <v>93</v>
          </cell>
        </row>
        <row r="1289">
          <cell r="I1289">
            <v>6</v>
          </cell>
        </row>
        <row r="1290">
          <cell r="I1290">
            <v>0</v>
          </cell>
        </row>
        <row r="1291">
          <cell r="I1291">
            <v>1059</v>
          </cell>
        </row>
        <row r="1292">
          <cell r="I1292">
            <v>0</v>
          </cell>
        </row>
        <row r="1293">
          <cell r="I1293">
            <v>3099</v>
          </cell>
        </row>
        <row r="1294">
          <cell r="I1294">
            <v>551</v>
          </cell>
        </row>
        <row r="1295">
          <cell r="I1295">
            <v>0</v>
          </cell>
        </row>
        <row r="1296">
          <cell r="I1296">
            <v>1825</v>
          </cell>
        </row>
        <row r="1297">
          <cell r="I1297">
            <v>1151</v>
          </cell>
        </row>
        <row r="1298">
          <cell r="I1298">
            <v>2477</v>
          </cell>
        </row>
        <row r="1299">
          <cell r="I1299">
            <v>840</v>
          </cell>
        </row>
        <row r="1300">
          <cell r="I1300">
            <v>217</v>
          </cell>
        </row>
        <row r="1301">
          <cell r="I1301">
            <v>98</v>
          </cell>
        </row>
        <row r="1302">
          <cell r="I1302">
            <v>54</v>
          </cell>
        </row>
        <row r="1303">
          <cell r="I1303">
            <v>506</v>
          </cell>
        </row>
        <row r="1304">
          <cell r="I1304">
            <v>167</v>
          </cell>
        </row>
        <row r="1305">
          <cell r="I1305">
            <v>1834</v>
          </cell>
        </row>
        <row r="1306">
          <cell r="I1306">
            <v>0</v>
          </cell>
        </row>
        <row r="1307">
          <cell r="I1307">
            <v>64</v>
          </cell>
        </row>
        <row r="1308">
          <cell r="I1308">
            <v>0</v>
          </cell>
        </row>
        <row r="1309">
          <cell r="I1309">
            <v>63</v>
          </cell>
        </row>
        <row r="1310">
          <cell r="I1310">
            <v>140</v>
          </cell>
        </row>
        <row r="1311">
          <cell r="I1311">
            <v>136</v>
          </cell>
        </row>
        <row r="1312">
          <cell r="I1312">
            <v>37</v>
          </cell>
        </row>
        <row r="1313">
          <cell r="I1313">
            <v>267</v>
          </cell>
        </row>
        <row r="1314">
          <cell r="I1314">
            <v>144</v>
          </cell>
        </row>
        <row r="1315">
          <cell r="I1315">
            <v>189</v>
          </cell>
        </row>
        <row r="1316">
          <cell r="I1316">
            <v>72</v>
          </cell>
        </row>
        <row r="1317">
          <cell r="I1317">
            <v>584</v>
          </cell>
        </row>
        <row r="1318">
          <cell r="I1318">
            <v>0</v>
          </cell>
        </row>
        <row r="1319">
          <cell r="I1319">
            <v>0</v>
          </cell>
        </row>
        <row r="1320">
          <cell r="I1320">
            <v>282</v>
          </cell>
        </row>
        <row r="1321">
          <cell r="I1321">
            <v>187</v>
          </cell>
        </row>
        <row r="1322">
          <cell r="I1322">
            <v>0</v>
          </cell>
        </row>
        <row r="1323">
          <cell r="I1323">
            <v>29182</v>
          </cell>
        </row>
        <row r="1324">
          <cell r="I1324">
            <v>4017</v>
          </cell>
        </row>
        <row r="1325">
          <cell r="I1325">
            <v>2446</v>
          </cell>
        </row>
        <row r="1326">
          <cell r="I1326">
            <v>1993</v>
          </cell>
        </row>
        <row r="1327">
          <cell r="I1327">
            <v>2380</v>
          </cell>
        </row>
        <row r="1328">
          <cell r="I1328">
            <v>2604</v>
          </cell>
        </row>
        <row r="1329">
          <cell r="I1329">
            <v>0</v>
          </cell>
        </row>
        <row r="1330">
          <cell r="I1330">
            <v>468</v>
          </cell>
        </row>
        <row r="1331">
          <cell r="I1331">
            <v>1</v>
          </cell>
        </row>
        <row r="1332">
          <cell r="I1332">
            <v>0</v>
          </cell>
        </row>
        <row r="1333">
          <cell r="I1333">
            <v>0</v>
          </cell>
        </row>
        <row r="1334">
          <cell r="I1334">
            <v>0</v>
          </cell>
        </row>
        <row r="1335">
          <cell r="I1335">
            <v>0</v>
          </cell>
        </row>
        <row r="1336">
          <cell r="I1336">
            <v>2879</v>
          </cell>
        </row>
        <row r="1337">
          <cell r="I1337">
            <v>1388</v>
          </cell>
        </row>
        <row r="1338">
          <cell r="I1338">
            <v>2230</v>
          </cell>
        </row>
        <row r="1339">
          <cell r="I1339">
            <v>159</v>
          </cell>
        </row>
        <row r="1340">
          <cell r="I1340">
            <v>0</v>
          </cell>
        </row>
        <row r="1341">
          <cell r="I1341">
            <v>0</v>
          </cell>
        </row>
        <row r="1342">
          <cell r="I1342">
            <v>4308</v>
          </cell>
        </row>
        <row r="1343">
          <cell r="I1343">
            <v>2111</v>
          </cell>
        </row>
        <row r="1344">
          <cell r="I1344">
            <v>0</v>
          </cell>
        </row>
        <row r="1345">
          <cell r="I1345">
            <v>0</v>
          </cell>
        </row>
        <row r="1346">
          <cell r="I1346">
            <v>736</v>
          </cell>
        </row>
        <row r="1347">
          <cell r="I1347">
            <v>887</v>
          </cell>
        </row>
        <row r="1348">
          <cell r="I1348">
            <v>0</v>
          </cell>
        </row>
        <row r="1349">
          <cell r="I1349">
            <v>102</v>
          </cell>
        </row>
        <row r="1350">
          <cell r="I1350">
            <v>694</v>
          </cell>
        </row>
        <row r="1351">
          <cell r="I1351">
            <v>333</v>
          </cell>
        </row>
        <row r="1352">
          <cell r="I1352">
            <v>1070</v>
          </cell>
        </row>
        <row r="1353">
          <cell r="I1353">
            <v>2802</v>
          </cell>
        </row>
        <row r="1354">
          <cell r="I1354">
            <v>6405</v>
          </cell>
        </row>
        <row r="1355">
          <cell r="I1355">
            <v>5498</v>
          </cell>
        </row>
        <row r="1356">
          <cell r="I1356">
            <v>4128</v>
          </cell>
        </row>
        <row r="1357">
          <cell r="I1357">
            <v>3006</v>
          </cell>
        </row>
        <row r="1358">
          <cell r="I1358">
            <v>2499</v>
          </cell>
        </row>
        <row r="1359">
          <cell r="I1359">
            <v>128</v>
          </cell>
        </row>
        <row r="1360">
          <cell r="I1360">
            <v>929</v>
          </cell>
        </row>
        <row r="1361">
          <cell r="I1361">
            <v>0</v>
          </cell>
        </row>
        <row r="1362">
          <cell r="I1362">
            <v>395</v>
          </cell>
        </row>
        <row r="1363">
          <cell r="I1363">
            <v>200</v>
          </cell>
        </row>
        <row r="1364">
          <cell r="I1364">
            <v>272</v>
          </cell>
        </row>
        <row r="1365">
          <cell r="I1365">
            <v>128</v>
          </cell>
        </row>
        <row r="1366">
          <cell r="I1366">
            <v>244</v>
          </cell>
        </row>
        <row r="1367">
          <cell r="I1367">
            <v>210</v>
          </cell>
        </row>
        <row r="1368">
          <cell r="I1368">
            <v>176</v>
          </cell>
        </row>
        <row r="1369">
          <cell r="I1369">
            <v>37</v>
          </cell>
        </row>
        <row r="1370">
          <cell r="I1370">
            <v>0</v>
          </cell>
        </row>
        <row r="1371">
          <cell r="I1371">
            <v>198</v>
          </cell>
        </row>
        <row r="1372">
          <cell r="I1372">
            <v>30</v>
          </cell>
        </row>
        <row r="1373">
          <cell r="I1373">
            <v>23</v>
          </cell>
        </row>
        <row r="1374">
          <cell r="I1374">
            <v>463</v>
          </cell>
        </row>
        <row r="1375">
          <cell r="I1375">
            <v>679</v>
          </cell>
        </row>
        <row r="1376">
          <cell r="I1376">
            <v>212</v>
          </cell>
        </row>
        <row r="1377">
          <cell r="I1377">
            <v>260</v>
          </cell>
        </row>
        <row r="1378">
          <cell r="I1378">
            <v>228</v>
          </cell>
        </row>
        <row r="1379">
          <cell r="I1379">
            <v>0</v>
          </cell>
        </row>
        <row r="1380">
          <cell r="I1380">
            <v>0</v>
          </cell>
        </row>
        <row r="1381">
          <cell r="I1381">
            <v>63</v>
          </cell>
        </row>
        <row r="1382">
          <cell r="I1382">
            <v>141</v>
          </cell>
        </row>
        <row r="1383">
          <cell r="I1383">
            <v>0</v>
          </cell>
        </row>
        <row r="1384">
          <cell r="I1384">
            <v>46</v>
          </cell>
        </row>
        <row r="1385">
          <cell r="I1385">
            <v>57</v>
          </cell>
        </row>
        <row r="1386">
          <cell r="I1386">
            <v>992</v>
          </cell>
        </row>
        <row r="1387">
          <cell r="I1387">
            <v>557</v>
          </cell>
        </row>
        <row r="1388">
          <cell r="I1388">
            <v>1082</v>
          </cell>
        </row>
        <row r="1389">
          <cell r="I1389">
            <v>2046</v>
          </cell>
        </row>
        <row r="1390">
          <cell r="I1390">
            <v>5239</v>
          </cell>
        </row>
        <row r="1391">
          <cell r="I1391">
            <v>309</v>
          </cell>
        </row>
        <row r="1392">
          <cell r="I1392">
            <v>125</v>
          </cell>
        </row>
        <row r="1393">
          <cell r="I1393">
            <v>362</v>
          </cell>
        </row>
        <row r="1394">
          <cell r="I1394">
            <v>1956</v>
          </cell>
        </row>
        <row r="1395">
          <cell r="I1395">
            <v>614</v>
          </cell>
        </row>
        <row r="1396">
          <cell r="I1396">
            <v>293</v>
          </cell>
        </row>
        <row r="1397">
          <cell r="I1397">
            <v>1708</v>
          </cell>
        </row>
        <row r="1398">
          <cell r="I1398">
            <v>383</v>
          </cell>
        </row>
        <row r="1399">
          <cell r="I1399">
            <v>1554</v>
          </cell>
        </row>
        <row r="1400">
          <cell r="I1400">
            <v>223</v>
          </cell>
        </row>
        <row r="1401">
          <cell r="I1401">
            <v>131</v>
          </cell>
        </row>
        <row r="1402">
          <cell r="I1402">
            <v>690</v>
          </cell>
        </row>
        <row r="1403">
          <cell r="I1403">
            <v>525</v>
          </cell>
        </row>
        <row r="1404">
          <cell r="I1404">
            <v>515</v>
          </cell>
        </row>
        <row r="1405">
          <cell r="I1405">
            <v>318</v>
          </cell>
        </row>
        <row r="1406">
          <cell r="I1406">
            <v>2187</v>
          </cell>
        </row>
        <row r="1407">
          <cell r="I1407">
            <v>12201</v>
          </cell>
        </row>
        <row r="1408">
          <cell r="I1408">
            <v>223</v>
          </cell>
        </row>
        <row r="1409">
          <cell r="I1409">
            <v>62</v>
          </cell>
        </row>
        <row r="1410">
          <cell r="I1410">
            <v>841</v>
          </cell>
        </row>
        <row r="1411">
          <cell r="I1411">
            <v>149</v>
          </cell>
        </row>
        <row r="1412">
          <cell r="I1412">
            <v>0</v>
          </cell>
        </row>
        <row r="1413">
          <cell r="I1413">
            <v>0</v>
          </cell>
        </row>
        <row r="1414">
          <cell r="I1414">
            <v>1225</v>
          </cell>
        </row>
        <row r="1415">
          <cell r="I1415">
            <v>117</v>
          </cell>
        </row>
        <row r="1416">
          <cell r="I1416">
            <v>627</v>
          </cell>
        </row>
        <row r="1417">
          <cell r="I1417">
            <v>244</v>
          </cell>
        </row>
        <row r="1418">
          <cell r="I1418">
            <v>241</v>
          </cell>
        </row>
        <row r="1419">
          <cell r="I1419">
            <v>119</v>
          </cell>
        </row>
        <row r="1420">
          <cell r="I1420">
            <v>0</v>
          </cell>
        </row>
        <row r="1421">
          <cell r="I1421">
            <v>0</v>
          </cell>
        </row>
        <row r="1422">
          <cell r="I1422">
            <v>144</v>
          </cell>
        </row>
        <row r="1423">
          <cell r="I1423">
            <v>286</v>
          </cell>
        </row>
        <row r="1424">
          <cell r="I1424">
            <v>837</v>
          </cell>
        </row>
        <row r="1425">
          <cell r="I1425">
            <v>2271</v>
          </cell>
        </row>
        <row r="1426">
          <cell r="I1426">
            <v>1918</v>
          </cell>
        </row>
        <row r="1427">
          <cell r="I1427">
            <v>1055</v>
          </cell>
        </row>
        <row r="1428">
          <cell r="I1428">
            <v>213</v>
          </cell>
        </row>
        <row r="1429">
          <cell r="I1429">
            <v>385</v>
          </cell>
        </row>
        <row r="1430">
          <cell r="I1430">
            <v>54</v>
          </cell>
        </row>
        <row r="1431">
          <cell r="I1431">
            <v>0</v>
          </cell>
        </row>
        <row r="1432">
          <cell r="I1432">
            <v>56</v>
          </cell>
        </row>
        <row r="1433">
          <cell r="I1433">
            <v>74</v>
          </cell>
        </row>
        <row r="1434">
          <cell r="I1434">
            <v>446</v>
          </cell>
        </row>
        <row r="1435">
          <cell r="I1435">
            <v>1697</v>
          </cell>
        </row>
        <row r="1436">
          <cell r="I1436">
            <v>0</v>
          </cell>
        </row>
        <row r="1437">
          <cell r="I1437">
            <v>0</v>
          </cell>
        </row>
        <row r="1438">
          <cell r="I1438">
            <v>0</v>
          </cell>
        </row>
        <row r="1439">
          <cell r="I1439">
            <v>0</v>
          </cell>
        </row>
        <row r="1440">
          <cell r="I1440">
            <v>166347</v>
          </cell>
        </row>
        <row r="1441">
          <cell r="I1441">
            <v>14995</v>
          </cell>
        </row>
        <row r="1442">
          <cell r="I1442">
            <v>240</v>
          </cell>
        </row>
        <row r="1443">
          <cell r="I1443">
            <v>2558</v>
          </cell>
        </row>
        <row r="1444">
          <cell r="I1444">
            <v>848</v>
          </cell>
        </row>
        <row r="1445">
          <cell r="I1445">
            <v>11771</v>
          </cell>
        </row>
        <row r="1446">
          <cell r="I1446">
            <v>8108</v>
          </cell>
        </row>
        <row r="1447">
          <cell r="I1447">
            <v>0</v>
          </cell>
        </row>
        <row r="1448">
          <cell r="I1448">
            <v>0</v>
          </cell>
        </row>
        <row r="1449">
          <cell r="I1449">
            <v>5150</v>
          </cell>
        </row>
        <row r="1450">
          <cell r="I1450">
            <v>4447</v>
          </cell>
        </row>
        <row r="1451">
          <cell r="I1451">
            <v>365</v>
          </cell>
        </row>
        <row r="1452">
          <cell r="I1452">
            <v>1020</v>
          </cell>
        </row>
        <row r="1453">
          <cell r="I1453">
            <v>12939</v>
          </cell>
        </row>
        <row r="1454">
          <cell r="I1454">
            <v>4937</v>
          </cell>
        </row>
        <row r="1455">
          <cell r="I1455">
            <v>21799</v>
          </cell>
        </row>
        <row r="1456">
          <cell r="I1456">
            <v>0</v>
          </cell>
        </row>
        <row r="1457">
          <cell r="I1457">
            <v>286</v>
          </cell>
        </row>
        <row r="1458">
          <cell r="I1458">
            <v>0</v>
          </cell>
        </row>
        <row r="1459">
          <cell r="I1459">
            <v>40</v>
          </cell>
        </row>
        <row r="1460">
          <cell r="I1460">
            <v>42</v>
          </cell>
        </row>
        <row r="1461">
          <cell r="I1461">
            <v>7</v>
          </cell>
        </row>
        <row r="1462">
          <cell r="I1462">
            <v>65</v>
          </cell>
        </row>
        <row r="1463">
          <cell r="I1463">
            <v>760</v>
          </cell>
        </row>
        <row r="1464">
          <cell r="I1464">
            <v>101</v>
          </cell>
        </row>
        <row r="1465">
          <cell r="I1465">
            <v>299</v>
          </cell>
        </row>
        <row r="1466">
          <cell r="I1466">
            <v>611</v>
          </cell>
        </row>
        <row r="1467">
          <cell r="I1467">
            <v>0</v>
          </cell>
        </row>
        <row r="1468">
          <cell r="I1468">
            <v>0</v>
          </cell>
        </row>
        <row r="1469">
          <cell r="I1469">
            <v>8</v>
          </cell>
        </row>
        <row r="1470">
          <cell r="I1470">
            <v>0</v>
          </cell>
        </row>
        <row r="1471">
          <cell r="I1471">
            <v>2</v>
          </cell>
        </row>
        <row r="1472">
          <cell r="I1472">
            <v>0</v>
          </cell>
        </row>
        <row r="1473">
          <cell r="I1473">
            <v>0</v>
          </cell>
        </row>
        <row r="1474">
          <cell r="I1474">
            <v>0</v>
          </cell>
        </row>
        <row r="1475">
          <cell r="I1475">
            <v>0</v>
          </cell>
        </row>
        <row r="1476">
          <cell r="I1476">
            <v>1671</v>
          </cell>
        </row>
        <row r="1477">
          <cell r="I1477">
            <v>5889</v>
          </cell>
        </row>
        <row r="1478">
          <cell r="I1478">
            <v>124</v>
          </cell>
        </row>
        <row r="1479">
          <cell r="I1479">
            <v>25</v>
          </cell>
        </row>
        <row r="1480">
          <cell r="I1480">
            <v>762</v>
          </cell>
        </row>
        <row r="1481">
          <cell r="I1481">
            <v>0</v>
          </cell>
        </row>
        <row r="1482">
          <cell r="I1482">
            <v>0</v>
          </cell>
        </row>
        <row r="1483">
          <cell r="I1483">
            <v>0</v>
          </cell>
        </row>
        <row r="1484">
          <cell r="I1484">
            <v>0</v>
          </cell>
        </row>
        <row r="1485">
          <cell r="I1485">
            <v>0</v>
          </cell>
        </row>
        <row r="1486">
          <cell r="I1486">
            <v>209</v>
          </cell>
        </row>
        <row r="1487">
          <cell r="I1487">
            <v>61</v>
          </cell>
        </row>
        <row r="1488">
          <cell r="I1488">
            <v>18</v>
          </cell>
        </row>
        <row r="1489">
          <cell r="I1489">
            <v>0</v>
          </cell>
        </row>
        <row r="1490">
          <cell r="I1490">
            <v>46</v>
          </cell>
        </row>
        <row r="1491">
          <cell r="I1491">
            <v>2</v>
          </cell>
        </row>
        <row r="1492">
          <cell r="I1492">
            <v>0</v>
          </cell>
        </row>
        <row r="1493">
          <cell r="I1493">
            <v>7</v>
          </cell>
        </row>
        <row r="1494">
          <cell r="I1494">
            <v>14</v>
          </cell>
        </row>
        <row r="1495">
          <cell r="I1495">
            <v>0</v>
          </cell>
        </row>
        <row r="1496">
          <cell r="I1496">
            <v>0</v>
          </cell>
        </row>
        <row r="1497">
          <cell r="I1497">
            <v>0</v>
          </cell>
        </row>
        <row r="1498">
          <cell r="I1498">
            <v>42</v>
          </cell>
        </row>
        <row r="1499">
          <cell r="I1499">
            <v>2</v>
          </cell>
        </row>
        <row r="1500">
          <cell r="I1500">
            <v>0</v>
          </cell>
        </row>
        <row r="1501">
          <cell r="I1501">
            <v>119</v>
          </cell>
        </row>
        <row r="1502">
          <cell r="I1502">
            <v>638</v>
          </cell>
        </row>
        <row r="1503">
          <cell r="I1503">
            <v>546</v>
          </cell>
        </row>
        <row r="1504">
          <cell r="I1504">
            <v>418</v>
          </cell>
        </row>
        <row r="1505">
          <cell r="I1505">
            <v>0</v>
          </cell>
        </row>
        <row r="1506">
          <cell r="I1506">
            <v>2183</v>
          </cell>
        </row>
        <row r="1507">
          <cell r="I1507">
            <v>1820</v>
          </cell>
        </row>
        <row r="1508">
          <cell r="I1508">
            <v>0</v>
          </cell>
        </row>
        <row r="1509">
          <cell r="I1509">
            <v>0</v>
          </cell>
        </row>
        <row r="1510">
          <cell r="I1510">
            <v>0</v>
          </cell>
        </row>
        <row r="1511">
          <cell r="I1511">
            <v>0</v>
          </cell>
        </row>
        <row r="1512">
          <cell r="I1512">
            <v>0</v>
          </cell>
        </row>
        <row r="1513">
          <cell r="I1513">
            <v>0</v>
          </cell>
        </row>
        <row r="1514">
          <cell r="I1514">
            <v>0</v>
          </cell>
        </row>
        <row r="1515">
          <cell r="I1515">
            <v>0</v>
          </cell>
        </row>
        <row r="1516">
          <cell r="I1516">
            <v>0</v>
          </cell>
        </row>
        <row r="1517">
          <cell r="I1517">
            <v>0</v>
          </cell>
        </row>
        <row r="1518">
          <cell r="I1518">
            <v>3325</v>
          </cell>
        </row>
        <row r="1519">
          <cell r="I1519">
            <v>668</v>
          </cell>
        </row>
        <row r="1520">
          <cell r="I1520">
            <v>329</v>
          </cell>
        </row>
        <row r="1521">
          <cell r="I1521">
            <v>444</v>
          </cell>
        </row>
        <row r="1522">
          <cell r="I1522">
            <v>179</v>
          </cell>
        </row>
        <row r="1523">
          <cell r="I1523">
            <v>159</v>
          </cell>
        </row>
        <row r="1524">
          <cell r="I1524">
            <v>3395</v>
          </cell>
        </row>
        <row r="1525">
          <cell r="I1525">
            <v>6506</v>
          </cell>
        </row>
        <row r="1526">
          <cell r="I1526">
            <v>1485</v>
          </cell>
        </row>
        <row r="1527">
          <cell r="I1527">
            <v>1520</v>
          </cell>
        </row>
        <row r="1528">
          <cell r="I1528">
            <v>1217</v>
          </cell>
        </row>
        <row r="1529">
          <cell r="I1529">
            <v>287</v>
          </cell>
        </row>
        <row r="1530">
          <cell r="I1530">
            <v>654</v>
          </cell>
        </row>
        <row r="1531">
          <cell r="I1531">
            <v>0</v>
          </cell>
        </row>
        <row r="1532">
          <cell r="I1532">
            <v>0</v>
          </cell>
        </row>
        <row r="1533">
          <cell r="I1533">
            <v>0</v>
          </cell>
        </row>
        <row r="1534">
          <cell r="I1534">
            <v>0</v>
          </cell>
        </row>
        <row r="1535">
          <cell r="I1535">
            <v>447</v>
          </cell>
        </row>
        <row r="1536">
          <cell r="I1536">
            <v>1321</v>
          </cell>
        </row>
        <row r="1537">
          <cell r="I1537">
            <v>0</v>
          </cell>
        </row>
        <row r="1538">
          <cell r="I1538">
            <v>0</v>
          </cell>
        </row>
        <row r="1539">
          <cell r="I1539">
            <v>0</v>
          </cell>
        </row>
        <row r="1540">
          <cell r="I1540">
            <v>0</v>
          </cell>
        </row>
        <row r="1541">
          <cell r="I1541">
            <v>0</v>
          </cell>
        </row>
        <row r="1542">
          <cell r="I1542">
            <v>924</v>
          </cell>
        </row>
        <row r="1543">
          <cell r="I1543">
            <v>882</v>
          </cell>
        </row>
        <row r="1544">
          <cell r="I1544">
            <v>756</v>
          </cell>
        </row>
        <row r="1545">
          <cell r="I1545">
            <v>378</v>
          </cell>
        </row>
        <row r="1546">
          <cell r="I1546">
            <v>0</v>
          </cell>
        </row>
        <row r="1547">
          <cell r="I1547">
            <v>0</v>
          </cell>
        </row>
        <row r="1548">
          <cell r="I1548">
            <v>0</v>
          </cell>
        </row>
        <row r="1549">
          <cell r="I1549">
            <v>0</v>
          </cell>
        </row>
        <row r="1550">
          <cell r="I1550">
            <v>0</v>
          </cell>
        </row>
        <row r="1551">
          <cell r="I1551">
            <v>0</v>
          </cell>
        </row>
        <row r="1552">
          <cell r="I1552">
            <v>0</v>
          </cell>
        </row>
        <row r="1553">
          <cell r="I1553">
            <v>0</v>
          </cell>
        </row>
        <row r="1554">
          <cell r="I1554">
            <v>0</v>
          </cell>
        </row>
        <row r="1555">
          <cell r="I1555">
            <v>0</v>
          </cell>
        </row>
        <row r="1556">
          <cell r="I1556">
            <v>3832</v>
          </cell>
        </row>
        <row r="1557">
          <cell r="I1557">
            <v>0</v>
          </cell>
        </row>
        <row r="1558">
          <cell r="I1558">
            <v>5328</v>
          </cell>
        </row>
        <row r="1559">
          <cell r="I1559">
            <v>4050</v>
          </cell>
        </row>
        <row r="1560">
          <cell r="I1560">
            <v>352</v>
          </cell>
        </row>
        <row r="1561">
          <cell r="I1561">
            <v>2271</v>
          </cell>
        </row>
        <row r="1562">
          <cell r="I1562">
            <v>160</v>
          </cell>
        </row>
        <row r="1563">
          <cell r="I1563">
            <v>0</v>
          </cell>
        </row>
        <row r="1564">
          <cell r="I1564">
            <v>0</v>
          </cell>
        </row>
        <row r="1565">
          <cell r="I1565">
            <v>59529</v>
          </cell>
        </row>
        <row r="1566">
          <cell r="I1566">
            <v>351</v>
          </cell>
        </row>
        <row r="1567">
          <cell r="I1567">
            <v>360</v>
          </cell>
        </row>
        <row r="1568">
          <cell r="I1568">
            <v>0</v>
          </cell>
        </row>
        <row r="1569">
          <cell r="I1569">
            <v>0</v>
          </cell>
        </row>
        <row r="1570">
          <cell r="I1570">
            <v>1329</v>
          </cell>
        </row>
        <row r="1571">
          <cell r="I1571">
            <v>14</v>
          </cell>
        </row>
        <row r="1572">
          <cell r="I1572">
            <v>5772</v>
          </cell>
        </row>
        <row r="1573">
          <cell r="I1573">
            <v>4218</v>
          </cell>
        </row>
        <row r="1574">
          <cell r="I1574">
            <v>0</v>
          </cell>
        </row>
        <row r="1575">
          <cell r="I1575">
            <v>0</v>
          </cell>
        </row>
        <row r="1576">
          <cell r="I1576">
            <v>0</v>
          </cell>
        </row>
        <row r="1577">
          <cell r="I1577">
            <v>0</v>
          </cell>
        </row>
        <row r="1578">
          <cell r="I1578">
            <v>5322</v>
          </cell>
        </row>
        <row r="1579">
          <cell r="I1579">
            <v>757</v>
          </cell>
        </row>
        <row r="1580">
          <cell r="I1580">
            <v>2292</v>
          </cell>
        </row>
        <row r="1581">
          <cell r="I1581">
            <v>0</v>
          </cell>
        </row>
        <row r="1582">
          <cell r="I1582">
            <v>0</v>
          </cell>
        </row>
        <row r="1583">
          <cell r="I1583">
            <v>530</v>
          </cell>
        </row>
        <row r="1584">
          <cell r="I1584">
            <v>11</v>
          </cell>
        </row>
        <row r="1585">
          <cell r="I1585">
            <v>76</v>
          </cell>
        </row>
        <row r="1586">
          <cell r="I1586">
            <v>135</v>
          </cell>
        </row>
        <row r="1587">
          <cell r="I1587">
            <v>54</v>
          </cell>
        </row>
        <row r="1588">
          <cell r="I1588">
            <v>73</v>
          </cell>
        </row>
        <row r="1589">
          <cell r="I1589">
            <v>7</v>
          </cell>
        </row>
        <row r="1590">
          <cell r="I1590">
            <v>6</v>
          </cell>
        </row>
        <row r="1591">
          <cell r="I1591">
            <v>18</v>
          </cell>
        </row>
        <row r="1592">
          <cell r="I1592">
            <v>180</v>
          </cell>
        </row>
        <row r="1593">
          <cell r="I1593">
            <v>61</v>
          </cell>
        </row>
        <row r="1594">
          <cell r="I1594">
            <v>2</v>
          </cell>
        </row>
        <row r="1595">
          <cell r="I1595">
            <v>39</v>
          </cell>
        </row>
        <row r="1596">
          <cell r="I1596">
            <v>69</v>
          </cell>
        </row>
        <row r="1597">
          <cell r="I1597">
            <v>20</v>
          </cell>
        </row>
        <row r="1598">
          <cell r="I1598">
            <v>171</v>
          </cell>
        </row>
        <row r="1599">
          <cell r="I1599">
            <v>77</v>
          </cell>
        </row>
        <row r="1600">
          <cell r="I1600">
            <v>27</v>
          </cell>
        </row>
        <row r="1601">
          <cell r="I1601">
            <v>110</v>
          </cell>
        </row>
        <row r="1602">
          <cell r="I1602">
            <v>21</v>
          </cell>
        </row>
        <row r="1603">
          <cell r="I1603">
            <v>278</v>
          </cell>
        </row>
        <row r="1604">
          <cell r="I1604">
            <v>54</v>
          </cell>
        </row>
        <row r="1605">
          <cell r="I1605">
            <v>95</v>
          </cell>
        </row>
        <row r="1606">
          <cell r="I1606">
            <v>32</v>
          </cell>
        </row>
        <row r="1607">
          <cell r="I1607">
            <v>31</v>
          </cell>
        </row>
        <row r="1608">
          <cell r="I1608">
            <v>292</v>
          </cell>
        </row>
        <row r="1609">
          <cell r="I1609">
            <v>13</v>
          </cell>
        </row>
        <row r="1610">
          <cell r="I1610">
            <v>13</v>
          </cell>
        </row>
        <row r="1611">
          <cell r="I1611">
            <v>22</v>
          </cell>
        </row>
        <row r="1612">
          <cell r="I1612">
            <v>12</v>
          </cell>
        </row>
        <row r="1613">
          <cell r="I1613">
            <v>165</v>
          </cell>
        </row>
        <row r="1614">
          <cell r="I1614">
            <v>0</v>
          </cell>
        </row>
        <row r="1615">
          <cell r="I1615">
            <v>44</v>
          </cell>
        </row>
        <row r="1616">
          <cell r="I1616">
            <v>0</v>
          </cell>
        </row>
        <row r="1617">
          <cell r="I1617">
            <v>50</v>
          </cell>
        </row>
        <row r="1618">
          <cell r="I1618">
            <v>162</v>
          </cell>
        </row>
        <row r="1619">
          <cell r="I1619">
            <v>177</v>
          </cell>
        </row>
        <row r="1620">
          <cell r="I1620">
            <v>139</v>
          </cell>
        </row>
        <row r="1621">
          <cell r="I1621">
            <v>26</v>
          </cell>
        </row>
        <row r="1622">
          <cell r="I1622">
            <v>33</v>
          </cell>
        </row>
        <row r="1623">
          <cell r="I1623">
            <v>440</v>
          </cell>
        </row>
        <row r="1624">
          <cell r="I1624">
            <v>60</v>
          </cell>
        </row>
        <row r="1625">
          <cell r="I1625">
            <v>237</v>
          </cell>
        </row>
        <row r="1626">
          <cell r="I1626">
            <v>1</v>
          </cell>
        </row>
        <row r="1627">
          <cell r="I1627">
            <v>71</v>
          </cell>
        </row>
        <row r="1628">
          <cell r="I1628">
            <v>1</v>
          </cell>
        </row>
        <row r="1629">
          <cell r="I1629">
            <v>0</v>
          </cell>
        </row>
        <row r="1630">
          <cell r="I1630">
            <v>0</v>
          </cell>
        </row>
        <row r="1631">
          <cell r="I1631">
            <v>0</v>
          </cell>
        </row>
        <row r="1632">
          <cell r="I1632">
            <v>0</v>
          </cell>
        </row>
        <row r="1633">
          <cell r="I1633">
            <v>320</v>
          </cell>
        </row>
        <row r="1634">
          <cell r="I1634">
            <v>0</v>
          </cell>
        </row>
        <row r="1635">
          <cell r="I1635">
            <v>0</v>
          </cell>
        </row>
        <row r="1636">
          <cell r="I1636">
            <v>136</v>
          </cell>
        </row>
        <row r="1637">
          <cell r="I1637">
            <v>0</v>
          </cell>
        </row>
        <row r="1638">
          <cell r="I1638">
            <v>0</v>
          </cell>
        </row>
        <row r="1639">
          <cell r="I1639">
            <v>0</v>
          </cell>
        </row>
        <row r="1640">
          <cell r="I1640">
            <v>0</v>
          </cell>
        </row>
        <row r="1641">
          <cell r="I1641">
            <v>0</v>
          </cell>
        </row>
        <row r="1642">
          <cell r="I1642">
            <v>230</v>
          </cell>
        </row>
        <row r="1643">
          <cell r="I1643">
            <v>507</v>
          </cell>
        </row>
        <row r="1644">
          <cell r="I1644">
            <v>112</v>
          </cell>
        </row>
        <row r="1645">
          <cell r="I1645">
            <v>253</v>
          </cell>
        </row>
        <row r="1646">
          <cell r="I1646">
            <v>254</v>
          </cell>
        </row>
        <row r="1647">
          <cell r="I1647">
            <v>251</v>
          </cell>
        </row>
        <row r="1648">
          <cell r="I1648">
            <v>6</v>
          </cell>
        </row>
        <row r="1649">
          <cell r="I1649">
            <v>36</v>
          </cell>
        </row>
        <row r="1650">
          <cell r="I1650">
            <v>71</v>
          </cell>
        </row>
        <row r="1651">
          <cell r="I1651">
            <v>0</v>
          </cell>
        </row>
        <row r="1652">
          <cell r="I1652">
            <v>0</v>
          </cell>
        </row>
        <row r="1653">
          <cell r="I1653">
            <v>0</v>
          </cell>
        </row>
        <row r="1654">
          <cell r="I1654">
            <v>120</v>
          </cell>
        </row>
        <row r="1655">
          <cell r="I1655">
            <v>77</v>
          </cell>
        </row>
        <row r="1656">
          <cell r="I1656">
            <v>60</v>
          </cell>
        </row>
        <row r="1657">
          <cell r="I1657">
            <v>51</v>
          </cell>
        </row>
        <row r="1658">
          <cell r="I1658">
            <v>15</v>
          </cell>
        </row>
        <row r="1659">
          <cell r="I1659">
            <v>11</v>
          </cell>
        </row>
        <row r="1660">
          <cell r="I1660">
            <v>0</v>
          </cell>
        </row>
        <row r="1661">
          <cell r="I1661">
            <v>0</v>
          </cell>
        </row>
        <row r="1662">
          <cell r="I1662">
            <v>55</v>
          </cell>
        </row>
        <row r="1663">
          <cell r="I1663">
            <v>34</v>
          </cell>
        </row>
        <row r="1664">
          <cell r="I1664">
            <v>20</v>
          </cell>
        </row>
        <row r="1665">
          <cell r="I1665">
            <v>0</v>
          </cell>
        </row>
        <row r="1666">
          <cell r="I1666">
            <v>0</v>
          </cell>
        </row>
        <row r="1667">
          <cell r="I1667">
            <v>0</v>
          </cell>
        </row>
        <row r="1668">
          <cell r="I1668">
            <v>57</v>
          </cell>
        </row>
        <row r="1669">
          <cell r="I1669">
            <v>0</v>
          </cell>
        </row>
        <row r="1670">
          <cell r="I1670">
            <v>0</v>
          </cell>
        </row>
        <row r="1671">
          <cell r="I1671">
            <v>36</v>
          </cell>
        </row>
        <row r="1672">
          <cell r="I1672">
            <v>0</v>
          </cell>
        </row>
        <row r="1673">
          <cell r="I1673">
            <v>0</v>
          </cell>
        </row>
        <row r="1674">
          <cell r="I1674">
            <v>159</v>
          </cell>
        </row>
        <row r="1675">
          <cell r="I1675">
            <v>59</v>
          </cell>
        </row>
        <row r="1676">
          <cell r="I1676">
            <v>275</v>
          </cell>
        </row>
        <row r="1677">
          <cell r="I1677">
            <v>614</v>
          </cell>
        </row>
        <row r="1678">
          <cell r="I1678">
            <v>683</v>
          </cell>
        </row>
        <row r="1679">
          <cell r="I1679">
            <v>789</v>
          </cell>
        </row>
        <row r="1680">
          <cell r="I1680">
            <v>3079</v>
          </cell>
        </row>
        <row r="1681">
          <cell r="I1681">
            <v>553</v>
          </cell>
        </row>
        <row r="1682">
          <cell r="I1682">
            <v>8</v>
          </cell>
        </row>
        <row r="1683">
          <cell r="I1683">
            <v>1732</v>
          </cell>
        </row>
        <row r="1684">
          <cell r="I1684">
            <v>274</v>
          </cell>
        </row>
        <row r="1685">
          <cell r="I1685">
            <v>234</v>
          </cell>
        </row>
        <row r="1686">
          <cell r="I1686">
            <v>12</v>
          </cell>
        </row>
        <row r="1687">
          <cell r="I1687">
            <v>321</v>
          </cell>
        </row>
        <row r="1688">
          <cell r="I1688">
            <v>479</v>
          </cell>
        </row>
        <row r="1689">
          <cell r="I1689">
            <v>256</v>
          </cell>
        </row>
        <row r="1690">
          <cell r="I1690">
            <v>198</v>
          </cell>
        </row>
        <row r="1691">
          <cell r="I1691">
            <v>3236</v>
          </cell>
        </row>
        <row r="1692">
          <cell r="I1692">
            <v>72</v>
          </cell>
        </row>
        <row r="1693">
          <cell r="I1693">
            <v>906</v>
          </cell>
        </row>
        <row r="1694">
          <cell r="I1694">
            <v>854</v>
          </cell>
        </row>
        <row r="1695">
          <cell r="I1695">
            <v>164</v>
          </cell>
        </row>
        <row r="1696">
          <cell r="I1696">
            <v>0</v>
          </cell>
        </row>
        <row r="1697">
          <cell r="I1697">
            <v>102</v>
          </cell>
        </row>
        <row r="1698">
          <cell r="I1698">
            <v>9339</v>
          </cell>
        </row>
        <row r="1699">
          <cell r="I1699">
            <v>6643</v>
          </cell>
        </row>
        <row r="1700">
          <cell r="I1700">
            <v>185</v>
          </cell>
        </row>
        <row r="1701">
          <cell r="I1701">
            <v>8</v>
          </cell>
        </row>
        <row r="1702">
          <cell r="I1702">
            <v>281</v>
          </cell>
        </row>
        <row r="1703">
          <cell r="I1703">
            <v>193</v>
          </cell>
        </row>
        <row r="1704">
          <cell r="I1704">
            <v>1964</v>
          </cell>
        </row>
        <row r="1705">
          <cell r="I1705">
            <v>67</v>
          </cell>
        </row>
        <row r="1706">
          <cell r="I1706">
            <v>1300</v>
          </cell>
        </row>
        <row r="1707">
          <cell r="I1707">
            <v>79</v>
          </cell>
        </row>
        <row r="1708">
          <cell r="I1708">
            <v>236</v>
          </cell>
        </row>
        <row r="1709">
          <cell r="I1709">
            <v>474</v>
          </cell>
        </row>
        <row r="1710">
          <cell r="I1710">
            <v>0</v>
          </cell>
        </row>
        <row r="1711">
          <cell r="I1711">
            <v>185</v>
          </cell>
        </row>
        <row r="1712">
          <cell r="I1712">
            <v>9326</v>
          </cell>
        </row>
        <row r="1713">
          <cell r="I1713">
            <v>2426</v>
          </cell>
        </row>
        <row r="1714">
          <cell r="I1714">
            <v>1459</v>
          </cell>
        </row>
        <row r="1715">
          <cell r="I1715">
            <v>319</v>
          </cell>
        </row>
        <row r="1716">
          <cell r="I1716">
            <v>31872</v>
          </cell>
        </row>
        <row r="1717">
          <cell r="I1717">
            <v>28718</v>
          </cell>
        </row>
        <row r="1718">
          <cell r="I1718">
            <v>9969</v>
          </cell>
        </row>
        <row r="1719">
          <cell r="I1719">
            <v>1109</v>
          </cell>
        </row>
        <row r="1720">
          <cell r="I1720">
            <v>290</v>
          </cell>
        </row>
        <row r="1721">
          <cell r="I1721">
            <v>762</v>
          </cell>
        </row>
        <row r="1722">
          <cell r="I1722">
            <v>1826</v>
          </cell>
        </row>
        <row r="1723">
          <cell r="I1723">
            <v>274</v>
          </cell>
        </row>
        <row r="1724">
          <cell r="I1724">
            <v>138</v>
          </cell>
        </row>
        <row r="1725">
          <cell r="I1725">
            <v>65</v>
          </cell>
        </row>
        <row r="1726">
          <cell r="I1726">
            <v>3086</v>
          </cell>
        </row>
        <row r="1727">
          <cell r="I1727">
            <v>667</v>
          </cell>
        </row>
        <row r="1728">
          <cell r="I1728">
            <v>750</v>
          </cell>
        </row>
        <row r="1729">
          <cell r="I1729">
            <v>7605</v>
          </cell>
        </row>
        <row r="1730">
          <cell r="I1730">
            <v>5148</v>
          </cell>
        </row>
        <row r="1731">
          <cell r="I1731">
            <v>1983</v>
          </cell>
        </row>
        <row r="1732">
          <cell r="I1732">
            <v>37</v>
          </cell>
        </row>
        <row r="1733">
          <cell r="I1733">
            <v>6405</v>
          </cell>
        </row>
        <row r="1734">
          <cell r="I1734">
            <v>199</v>
          </cell>
        </row>
        <row r="1735">
          <cell r="I1735">
            <v>2302</v>
          </cell>
        </row>
        <row r="1736">
          <cell r="I1736">
            <v>7</v>
          </cell>
        </row>
        <row r="1737">
          <cell r="I1737">
            <v>1663</v>
          </cell>
        </row>
        <row r="1738">
          <cell r="I1738">
            <v>3453</v>
          </cell>
        </row>
        <row r="1739">
          <cell r="I1739">
            <v>101</v>
          </cell>
        </row>
        <row r="1740">
          <cell r="I1740">
            <v>3582</v>
          </cell>
        </row>
        <row r="1741">
          <cell r="I1741">
            <v>859</v>
          </cell>
        </row>
        <row r="1742">
          <cell r="I1742">
            <v>543</v>
          </cell>
        </row>
        <row r="1743">
          <cell r="I1743">
            <v>1656</v>
          </cell>
        </row>
        <row r="1744">
          <cell r="I1744">
            <v>4340</v>
          </cell>
        </row>
        <row r="1745">
          <cell r="I1745">
            <v>573</v>
          </cell>
        </row>
        <row r="1746">
          <cell r="I1746">
            <v>481</v>
          </cell>
        </row>
        <row r="1747">
          <cell r="I1747">
            <v>3534</v>
          </cell>
        </row>
        <row r="1748">
          <cell r="I1748">
            <v>69</v>
          </cell>
        </row>
        <row r="1749">
          <cell r="I1749">
            <v>13219</v>
          </cell>
        </row>
        <row r="1750">
          <cell r="I1750">
            <v>38</v>
          </cell>
        </row>
        <row r="1751">
          <cell r="I1751">
            <v>591</v>
          </cell>
        </row>
        <row r="1752">
          <cell r="I1752">
            <v>757</v>
          </cell>
        </row>
        <row r="1753">
          <cell r="I1753">
            <v>2183</v>
          </cell>
        </row>
        <row r="1754">
          <cell r="I1754">
            <v>123</v>
          </cell>
        </row>
        <row r="1755">
          <cell r="I1755">
            <v>4569</v>
          </cell>
        </row>
        <row r="1756">
          <cell r="I1756">
            <v>4769</v>
          </cell>
        </row>
        <row r="1757">
          <cell r="I1757">
            <v>1574</v>
          </cell>
        </row>
        <row r="1758">
          <cell r="I1758">
            <v>686</v>
          </cell>
        </row>
        <row r="1759">
          <cell r="I1759">
            <v>1412</v>
          </cell>
        </row>
        <row r="1760">
          <cell r="I1760">
            <v>521</v>
          </cell>
        </row>
        <row r="1761">
          <cell r="I1761">
            <v>41</v>
          </cell>
        </row>
        <row r="1762">
          <cell r="I1762">
            <v>69</v>
          </cell>
        </row>
        <row r="1763">
          <cell r="I1763">
            <v>0</v>
          </cell>
        </row>
        <row r="1764">
          <cell r="I1764">
            <v>5</v>
          </cell>
        </row>
        <row r="1765">
          <cell r="I1765">
            <v>157</v>
          </cell>
        </row>
        <row r="1766">
          <cell r="I1766">
            <v>54</v>
          </cell>
        </row>
        <row r="1767">
          <cell r="I1767">
            <v>274</v>
          </cell>
        </row>
        <row r="1768">
          <cell r="I1768">
            <v>3446</v>
          </cell>
        </row>
        <row r="1769">
          <cell r="I1769">
            <v>11041</v>
          </cell>
        </row>
        <row r="1770">
          <cell r="I1770">
            <v>1792</v>
          </cell>
        </row>
        <row r="1771">
          <cell r="I1771">
            <v>756</v>
          </cell>
        </row>
        <row r="1772">
          <cell r="I1772">
            <v>367</v>
          </cell>
        </row>
        <row r="1773">
          <cell r="I1773">
            <v>0</v>
          </cell>
        </row>
        <row r="1774">
          <cell r="I1774">
            <v>1632</v>
          </cell>
        </row>
        <row r="1775">
          <cell r="I1775">
            <v>269</v>
          </cell>
        </row>
        <row r="1776">
          <cell r="I1776">
            <v>566</v>
          </cell>
        </row>
        <row r="1777">
          <cell r="I1777">
            <v>16</v>
          </cell>
        </row>
        <row r="1778">
          <cell r="I1778">
            <v>70</v>
          </cell>
        </row>
        <row r="1779">
          <cell r="I1779">
            <v>117</v>
          </cell>
        </row>
        <row r="1780">
          <cell r="I1780">
            <v>0</v>
          </cell>
        </row>
        <row r="1781">
          <cell r="I1781">
            <v>3381</v>
          </cell>
        </row>
        <row r="1782">
          <cell r="I1782">
            <v>814</v>
          </cell>
        </row>
        <row r="1783">
          <cell r="I1783">
            <v>6821</v>
          </cell>
        </row>
        <row r="1784">
          <cell r="I1784">
            <v>4584</v>
          </cell>
        </row>
        <row r="1785">
          <cell r="I1785">
            <v>928</v>
          </cell>
        </row>
        <row r="1786">
          <cell r="I1786">
            <v>715</v>
          </cell>
        </row>
        <row r="1787">
          <cell r="I1787">
            <v>965</v>
          </cell>
        </row>
        <row r="1788">
          <cell r="I1788">
            <v>812</v>
          </cell>
        </row>
        <row r="1789">
          <cell r="I1789">
            <v>11223</v>
          </cell>
        </row>
        <row r="1790">
          <cell r="I1790">
            <v>2845</v>
          </cell>
        </row>
        <row r="1791">
          <cell r="I1791">
            <v>1028</v>
          </cell>
        </row>
        <row r="1792">
          <cell r="I1792">
            <v>115</v>
          </cell>
        </row>
        <row r="1793">
          <cell r="I1793">
            <v>582</v>
          </cell>
        </row>
        <row r="1794">
          <cell r="I1794">
            <v>224</v>
          </cell>
        </row>
        <row r="1795">
          <cell r="I1795">
            <v>467</v>
          </cell>
        </row>
        <row r="1796">
          <cell r="I1796">
            <v>430</v>
          </cell>
        </row>
        <row r="1797">
          <cell r="I1797">
            <v>4251</v>
          </cell>
        </row>
        <row r="1798">
          <cell r="I1798">
            <v>0</v>
          </cell>
        </row>
        <row r="1799">
          <cell r="I1799">
            <v>2168</v>
          </cell>
        </row>
        <row r="1800">
          <cell r="I1800">
            <v>286</v>
          </cell>
        </row>
        <row r="1801">
          <cell r="I1801">
            <v>174</v>
          </cell>
        </row>
        <row r="1802">
          <cell r="I1802">
            <v>466</v>
          </cell>
        </row>
        <row r="1803">
          <cell r="I1803">
            <v>152</v>
          </cell>
        </row>
        <row r="1804">
          <cell r="I1804">
            <v>477</v>
          </cell>
        </row>
        <row r="1805">
          <cell r="I1805">
            <v>521</v>
          </cell>
        </row>
        <row r="1806">
          <cell r="I1806">
            <v>189</v>
          </cell>
        </row>
        <row r="1807">
          <cell r="I1807">
            <v>38</v>
          </cell>
        </row>
        <row r="1808">
          <cell r="I1808">
            <v>254</v>
          </cell>
        </row>
        <row r="1809">
          <cell r="I1809">
            <v>265</v>
          </cell>
        </row>
        <row r="1810">
          <cell r="I1810">
            <v>62</v>
          </cell>
        </row>
        <row r="1811">
          <cell r="I1811">
            <v>0</v>
          </cell>
        </row>
        <row r="1812">
          <cell r="I1812">
            <v>82</v>
          </cell>
        </row>
        <row r="1813">
          <cell r="I1813">
            <v>3</v>
          </cell>
        </row>
        <row r="1814">
          <cell r="I1814">
            <v>50</v>
          </cell>
        </row>
        <row r="1815">
          <cell r="I1815">
            <v>124</v>
          </cell>
        </row>
        <row r="1816">
          <cell r="I1816">
            <v>0</v>
          </cell>
        </row>
        <row r="1817">
          <cell r="I1817">
            <v>292</v>
          </cell>
        </row>
        <row r="1818">
          <cell r="I1818">
            <v>289</v>
          </cell>
        </row>
        <row r="1819">
          <cell r="I1819">
            <v>0</v>
          </cell>
        </row>
        <row r="1820">
          <cell r="I1820">
            <v>436</v>
          </cell>
        </row>
        <row r="1821">
          <cell r="I1821">
            <v>34</v>
          </cell>
        </row>
        <row r="1822">
          <cell r="I1822">
            <v>398</v>
          </cell>
        </row>
        <row r="1823">
          <cell r="I1823">
            <v>138</v>
          </cell>
        </row>
        <row r="1824">
          <cell r="I1824">
            <v>101</v>
          </cell>
        </row>
        <row r="1825">
          <cell r="I1825">
            <v>118</v>
          </cell>
        </row>
        <row r="1826">
          <cell r="I1826">
            <v>5916</v>
          </cell>
        </row>
        <row r="1827">
          <cell r="I1827">
            <v>21</v>
          </cell>
        </row>
        <row r="1828">
          <cell r="I1828">
            <v>178</v>
          </cell>
        </row>
        <row r="1829">
          <cell r="I1829">
            <v>180</v>
          </cell>
        </row>
        <row r="1830">
          <cell r="I1830">
            <v>48</v>
          </cell>
        </row>
        <row r="1831">
          <cell r="I1831">
            <v>4701</v>
          </cell>
        </row>
        <row r="1832">
          <cell r="I1832">
            <v>0</v>
          </cell>
        </row>
        <row r="1833">
          <cell r="I1833">
            <v>1129</v>
          </cell>
        </row>
        <row r="1834">
          <cell r="I1834">
            <v>83</v>
          </cell>
        </row>
        <row r="1835">
          <cell r="I1835">
            <v>131</v>
          </cell>
        </row>
        <row r="1836">
          <cell r="I1836">
            <v>1728</v>
          </cell>
        </row>
        <row r="1837">
          <cell r="I1837">
            <v>2160</v>
          </cell>
        </row>
        <row r="1838">
          <cell r="I1838">
            <v>671</v>
          </cell>
        </row>
        <row r="1839">
          <cell r="I1839">
            <v>154</v>
          </cell>
        </row>
        <row r="1840">
          <cell r="I1840">
            <v>43</v>
          </cell>
        </row>
        <row r="1841">
          <cell r="I1841">
            <v>16</v>
          </cell>
        </row>
        <row r="1842">
          <cell r="I1842">
            <v>91</v>
          </cell>
        </row>
        <row r="1843">
          <cell r="I1843">
            <v>40</v>
          </cell>
        </row>
        <row r="1844">
          <cell r="I1844">
            <v>213</v>
          </cell>
        </row>
        <row r="1845">
          <cell r="I1845">
            <v>32</v>
          </cell>
        </row>
        <row r="1846">
          <cell r="I1846">
            <v>110</v>
          </cell>
        </row>
        <row r="1847">
          <cell r="I1847">
            <v>0</v>
          </cell>
        </row>
        <row r="1848">
          <cell r="I1848">
            <v>37</v>
          </cell>
        </row>
        <row r="1849">
          <cell r="I1849">
            <v>65</v>
          </cell>
        </row>
        <row r="1850">
          <cell r="I1850">
            <v>26</v>
          </cell>
        </row>
        <row r="1851">
          <cell r="I1851">
            <v>745</v>
          </cell>
        </row>
        <row r="1852">
          <cell r="I1852">
            <v>691</v>
          </cell>
        </row>
        <row r="1853">
          <cell r="I1853">
            <v>36</v>
          </cell>
        </row>
        <row r="1854">
          <cell r="I1854">
            <v>72</v>
          </cell>
        </row>
        <row r="1855">
          <cell r="I1855">
            <v>102</v>
          </cell>
        </row>
        <row r="1856">
          <cell r="I1856">
            <v>60</v>
          </cell>
        </row>
        <row r="1857">
          <cell r="I1857">
            <v>58</v>
          </cell>
        </row>
        <row r="1858">
          <cell r="I1858">
            <v>9</v>
          </cell>
        </row>
        <row r="1859">
          <cell r="I1859">
            <v>0</v>
          </cell>
        </row>
        <row r="1860">
          <cell r="I1860">
            <v>0</v>
          </cell>
        </row>
        <row r="1861">
          <cell r="I1861">
            <v>40</v>
          </cell>
        </row>
        <row r="1862">
          <cell r="I1862">
            <v>0</v>
          </cell>
        </row>
        <row r="1863">
          <cell r="I1863">
            <v>262</v>
          </cell>
        </row>
        <row r="1864">
          <cell r="I1864">
            <v>12</v>
          </cell>
        </row>
        <row r="1865">
          <cell r="I1865">
            <v>9192</v>
          </cell>
        </row>
        <row r="1866">
          <cell r="I1866">
            <v>315</v>
          </cell>
        </row>
        <row r="1867">
          <cell r="I1867">
            <v>423</v>
          </cell>
        </row>
        <row r="1868">
          <cell r="I1868">
            <v>330</v>
          </cell>
        </row>
        <row r="1869">
          <cell r="I1869">
            <v>252</v>
          </cell>
        </row>
        <row r="1870">
          <cell r="I1870">
            <v>78</v>
          </cell>
        </row>
        <row r="1871">
          <cell r="I1871">
            <v>386</v>
          </cell>
        </row>
        <row r="1872">
          <cell r="I1872">
            <v>115</v>
          </cell>
        </row>
        <row r="1873">
          <cell r="I1873">
            <v>124</v>
          </cell>
        </row>
        <row r="1874">
          <cell r="I1874">
            <v>259</v>
          </cell>
        </row>
        <row r="1875">
          <cell r="I1875">
            <v>877</v>
          </cell>
        </row>
        <row r="1876">
          <cell r="I1876">
            <v>379</v>
          </cell>
        </row>
        <row r="1877">
          <cell r="I1877">
            <v>151</v>
          </cell>
        </row>
        <row r="1878">
          <cell r="I1878">
            <v>49</v>
          </cell>
        </row>
        <row r="1879">
          <cell r="I1879">
            <v>53</v>
          </cell>
        </row>
        <row r="1880">
          <cell r="I1880">
            <v>43</v>
          </cell>
        </row>
        <row r="1881">
          <cell r="I1881">
            <v>35</v>
          </cell>
        </row>
        <row r="1882">
          <cell r="I1882">
            <v>1224</v>
          </cell>
        </row>
        <row r="1883">
          <cell r="I1883">
            <v>374</v>
          </cell>
        </row>
        <row r="1884">
          <cell r="I1884">
            <v>0</v>
          </cell>
        </row>
        <row r="1885">
          <cell r="I1885">
            <v>3</v>
          </cell>
        </row>
        <row r="1886">
          <cell r="I1886">
            <v>141</v>
          </cell>
        </row>
        <row r="1887">
          <cell r="I1887">
            <v>229</v>
          </cell>
        </row>
        <row r="1888">
          <cell r="I1888">
            <v>0</v>
          </cell>
        </row>
        <row r="1889">
          <cell r="I1889">
            <v>284</v>
          </cell>
        </row>
        <row r="1890">
          <cell r="I1890">
            <v>1806</v>
          </cell>
        </row>
        <row r="1891">
          <cell r="I1891">
            <v>1237</v>
          </cell>
        </row>
        <row r="1892">
          <cell r="I1892">
            <v>2104</v>
          </cell>
        </row>
        <row r="1893">
          <cell r="I1893">
            <v>1400</v>
          </cell>
        </row>
        <row r="1894">
          <cell r="I1894">
            <v>146</v>
          </cell>
        </row>
        <row r="1895">
          <cell r="I1895">
            <v>0</v>
          </cell>
        </row>
        <row r="1896">
          <cell r="I1896">
            <v>273</v>
          </cell>
        </row>
        <row r="1897">
          <cell r="I1897">
            <v>450</v>
          </cell>
        </row>
        <row r="1898">
          <cell r="I1898">
            <v>49</v>
          </cell>
        </row>
        <row r="1899">
          <cell r="I1899">
            <v>170</v>
          </cell>
        </row>
        <row r="1900">
          <cell r="I1900">
            <v>0</v>
          </cell>
        </row>
        <row r="1901">
          <cell r="I1901">
            <v>73</v>
          </cell>
        </row>
        <row r="1902">
          <cell r="I1902">
            <v>0</v>
          </cell>
        </row>
        <row r="1903">
          <cell r="I1903">
            <v>0</v>
          </cell>
        </row>
        <row r="1904">
          <cell r="I1904">
            <v>0</v>
          </cell>
        </row>
        <row r="1905">
          <cell r="I1905">
            <v>0</v>
          </cell>
        </row>
        <row r="1906">
          <cell r="I1906">
            <v>0</v>
          </cell>
        </row>
        <row r="1907">
          <cell r="I1907">
            <v>0</v>
          </cell>
        </row>
        <row r="1908">
          <cell r="I1908">
            <v>0</v>
          </cell>
        </row>
        <row r="1909">
          <cell r="I1909">
            <v>0</v>
          </cell>
        </row>
        <row r="1910">
          <cell r="I1910">
            <v>0</v>
          </cell>
        </row>
        <row r="1911">
          <cell r="I1911">
            <v>0</v>
          </cell>
        </row>
        <row r="1912">
          <cell r="I1912">
            <v>0</v>
          </cell>
        </row>
        <row r="1913">
          <cell r="I1913">
            <v>0</v>
          </cell>
        </row>
        <row r="1914">
          <cell r="I1914">
            <v>0</v>
          </cell>
        </row>
        <row r="1915">
          <cell r="I1915">
            <v>0</v>
          </cell>
        </row>
        <row r="1916">
          <cell r="I1916">
            <v>0</v>
          </cell>
        </row>
        <row r="1917">
          <cell r="I1917">
            <v>0</v>
          </cell>
        </row>
        <row r="1918">
          <cell r="I1918">
            <v>0</v>
          </cell>
        </row>
        <row r="1919">
          <cell r="I1919">
            <v>0</v>
          </cell>
        </row>
        <row r="1920">
          <cell r="I1920">
            <v>0</v>
          </cell>
        </row>
        <row r="1921">
          <cell r="I1921">
            <v>0</v>
          </cell>
        </row>
        <row r="1922">
          <cell r="I1922">
            <v>0</v>
          </cell>
        </row>
        <row r="1923">
          <cell r="I1923">
            <v>0</v>
          </cell>
        </row>
        <row r="1924">
          <cell r="I1924">
            <v>0</v>
          </cell>
        </row>
        <row r="1925">
          <cell r="I1925">
            <v>0</v>
          </cell>
        </row>
        <row r="1926">
          <cell r="I1926">
            <v>0</v>
          </cell>
        </row>
        <row r="1927">
          <cell r="I1927">
            <v>0</v>
          </cell>
        </row>
        <row r="1928">
          <cell r="I1928">
            <v>0</v>
          </cell>
        </row>
        <row r="1929">
          <cell r="I1929">
            <v>0</v>
          </cell>
        </row>
        <row r="1930">
          <cell r="I1930">
            <v>0</v>
          </cell>
        </row>
        <row r="1931">
          <cell r="I1931">
            <v>0</v>
          </cell>
        </row>
        <row r="1932">
          <cell r="I1932">
            <v>0</v>
          </cell>
        </row>
        <row r="1933">
          <cell r="I1933">
            <v>0</v>
          </cell>
        </row>
        <row r="1934">
          <cell r="I1934">
            <v>0</v>
          </cell>
        </row>
        <row r="1935">
          <cell r="I1935">
            <v>0</v>
          </cell>
        </row>
        <row r="1936">
          <cell r="I1936">
            <v>25</v>
          </cell>
        </row>
        <row r="1937">
          <cell r="I1937">
            <v>191</v>
          </cell>
        </row>
        <row r="1938">
          <cell r="I1938">
            <v>300</v>
          </cell>
        </row>
        <row r="1939">
          <cell r="I1939">
            <v>203</v>
          </cell>
        </row>
        <row r="1940">
          <cell r="I1940">
            <v>0</v>
          </cell>
        </row>
        <row r="1941">
          <cell r="I1941">
            <v>349</v>
          </cell>
        </row>
        <row r="1942">
          <cell r="I1942">
            <v>0</v>
          </cell>
        </row>
        <row r="1943">
          <cell r="I1943">
            <v>2</v>
          </cell>
        </row>
        <row r="1944">
          <cell r="I1944">
            <v>0</v>
          </cell>
        </row>
        <row r="1945">
          <cell r="I1945">
            <v>0</v>
          </cell>
        </row>
        <row r="1946">
          <cell r="I1946">
            <v>0</v>
          </cell>
        </row>
        <row r="1947">
          <cell r="I1947">
            <v>0</v>
          </cell>
        </row>
        <row r="1948">
          <cell r="I1948">
            <v>0</v>
          </cell>
        </row>
        <row r="1949">
          <cell r="I1949">
            <v>0</v>
          </cell>
        </row>
        <row r="1950">
          <cell r="I1950">
            <v>0</v>
          </cell>
        </row>
        <row r="1951">
          <cell r="I1951">
            <v>27</v>
          </cell>
        </row>
        <row r="1952">
          <cell r="I1952">
            <v>0</v>
          </cell>
        </row>
        <row r="1953">
          <cell r="I1953">
            <v>0</v>
          </cell>
        </row>
        <row r="1954">
          <cell r="I1954">
            <v>3088</v>
          </cell>
        </row>
        <row r="1955">
          <cell r="I1955">
            <v>393</v>
          </cell>
        </row>
        <row r="1956">
          <cell r="I1956">
            <v>1625</v>
          </cell>
        </row>
        <row r="1957">
          <cell r="I1957">
            <v>46</v>
          </cell>
        </row>
        <row r="1958">
          <cell r="I1958">
            <v>15</v>
          </cell>
        </row>
        <row r="1959">
          <cell r="I1959">
            <v>59</v>
          </cell>
        </row>
        <row r="1960">
          <cell r="I1960">
            <v>0</v>
          </cell>
        </row>
        <row r="1961">
          <cell r="I1961">
            <v>0</v>
          </cell>
        </row>
        <row r="1962">
          <cell r="I1962">
            <v>0</v>
          </cell>
        </row>
        <row r="1963">
          <cell r="I1963">
            <v>0</v>
          </cell>
        </row>
        <row r="1964">
          <cell r="I1964">
            <v>0</v>
          </cell>
        </row>
        <row r="1965">
          <cell r="I1965">
            <v>0</v>
          </cell>
        </row>
        <row r="1966">
          <cell r="I1966">
            <v>0</v>
          </cell>
        </row>
        <row r="1967">
          <cell r="I1967">
            <v>0</v>
          </cell>
        </row>
        <row r="1968">
          <cell r="I1968">
            <v>0</v>
          </cell>
        </row>
        <row r="1969">
          <cell r="I1969">
            <v>0</v>
          </cell>
        </row>
        <row r="1970">
          <cell r="I1970">
            <v>0</v>
          </cell>
        </row>
        <row r="1971">
          <cell r="I1971">
            <v>0</v>
          </cell>
        </row>
        <row r="1972">
          <cell r="I1972">
            <v>0</v>
          </cell>
        </row>
        <row r="1973">
          <cell r="I1973">
            <v>0</v>
          </cell>
        </row>
        <row r="1974">
          <cell r="I1974">
            <v>0</v>
          </cell>
        </row>
        <row r="1975">
          <cell r="I1975">
            <v>0</v>
          </cell>
        </row>
        <row r="1976">
          <cell r="I1976">
            <v>0</v>
          </cell>
        </row>
        <row r="1977">
          <cell r="I1977">
            <v>0</v>
          </cell>
        </row>
        <row r="1978">
          <cell r="I1978">
            <v>0</v>
          </cell>
        </row>
        <row r="1979">
          <cell r="I1979">
            <v>0</v>
          </cell>
        </row>
        <row r="1980">
          <cell r="I1980">
            <v>0</v>
          </cell>
        </row>
        <row r="1981">
          <cell r="I1981">
            <v>0</v>
          </cell>
        </row>
        <row r="1982">
          <cell r="I1982">
            <v>0</v>
          </cell>
        </row>
        <row r="1983">
          <cell r="I1983">
            <v>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3BB6-D535-4A32-96B4-EC7ABEDCE004}">
  <dimension ref="A1:R1983"/>
  <sheetViews>
    <sheetView tabSelected="1" topLeftCell="A1929" workbookViewId="0">
      <selection activeCell="D1983" sqref="D2:D1983"/>
    </sheetView>
  </sheetViews>
  <sheetFormatPr defaultRowHeight="15" x14ac:dyDescent="0.25"/>
  <cols>
    <col min="1" max="1" width="45.85546875" bestFit="1" customWidth="1"/>
    <col min="2" max="2" width="65" bestFit="1" customWidth="1"/>
    <col min="3" max="3" width="5" style="26" bestFit="1" customWidth="1"/>
    <col min="6" max="6" width="11.42578125" style="7" bestFit="1" customWidth="1"/>
    <col min="7" max="7" width="10.28515625" bestFit="1" customWidth="1"/>
    <col min="8" max="8" width="36.5703125" bestFit="1" customWidth="1"/>
    <col min="9" max="9" width="18.5703125" customWidth="1"/>
    <col min="10" max="10" width="15.5703125" bestFit="1" customWidth="1"/>
    <col min="11" max="11" width="11.7109375" bestFit="1" customWidth="1"/>
    <col min="12" max="12" width="8.5703125" customWidth="1"/>
    <col min="13" max="13" width="11.28515625" customWidth="1"/>
    <col min="14" max="14" width="45.85546875" bestFit="1" customWidth="1"/>
    <col min="20" max="20" width="9" customWidth="1"/>
  </cols>
  <sheetData>
    <row r="1" spans="1:13" ht="39" x14ac:dyDescent="0.25">
      <c r="A1" s="15" t="s">
        <v>5262</v>
      </c>
      <c r="B1" s="15" t="s">
        <v>5263</v>
      </c>
      <c r="C1" s="24" t="s">
        <v>3</v>
      </c>
      <c r="D1" s="27" t="s">
        <v>5350</v>
      </c>
      <c r="E1" s="27"/>
      <c r="F1" s="16" t="s">
        <v>1</v>
      </c>
      <c r="G1" s="15" t="s">
        <v>0</v>
      </c>
      <c r="H1" s="15" t="s">
        <v>2101</v>
      </c>
      <c r="I1" s="27" t="s">
        <v>5357</v>
      </c>
      <c r="J1" s="15" t="s">
        <v>2</v>
      </c>
      <c r="K1" s="15" t="s">
        <v>2100</v>
      </c>
      <c r="L1" s="15" t="s">
        <v>5279</v>
      </c>
      <c r="M1" s="1"/>
    </row>
    <row r="2" spans="1:13" x14ac:dyDescent="0.25">
      <c r="A2" t="s">
        <v>2112</v>
      </c>
      <c r="B2" t="s">
        <v>2113</v>
      </c>
      <c r="C2" s="25">
        <v>1103</v>
      </c>
      <c r="D2" s="28">
        <v>1103</v>
      </c>
      <c r="E2" s="2" t="str">
        <f>IF(C2=D2, "Same","New")</f>
        <v>Same</v>
      </c>
      <c r="F2" s="6" t="s">
        <v>1839</v>
      </c>
      <c r="G2" s="12">
        <v>77.5</v>
      </c>
      <c r="H2" s="2" t="s">
        <v>4</v>
      </c>
      <c r="I2" s="4">
        <f>[1]Sheet1!I2</f>
        <v>1045</v>
      </c>
      <c r="J2" s="3" t="str">
        <f t="shared" ref="J2:J65" si="0">C2 &amp; "_A1C1.webp"</f>
        <v>1103_A1C1.webp</v>
      </c>
      <c r="K2" s="5">
        <f>Sheet4!E2</f>
        <v>36</v>
      </c>
      <c r="L2" s="5"/>
      <c r="M2" s="4"/>
    </row>
    <row r="3" spans="1:13" x14ac:dyDescent="0.25">
      <c r="A3" t="s">
        <v>2112</v>
      </c>
      <c r="B3" t="s">
        <v>2113</v>
      </c>
      <c r="C3" s="25">
        <v>1105</v>
      </c>
      <c r="D3" s="28">
        <v>1105</v>
      </c>
      <c r="E3" s="2" t="str">
        <f t="shared" ref="E3:E24" si="1">IF(C3=D3, "Same","New")</f>
        <v>Same</v>
      </c>
      <c r="F3" s="6" t="s">
        <v>1840</v>
      </c>
      <c r="G3" s="3">
        <v>131.94999999999999</v>
      </c>
      <c r="H3" s="2" t="s">
        <v>5</v>
      </c>
      <c r="I3" s="4">
        <f>[1]Sheet1!I3</f>
        <v>3063</v>
      </c>
      <c r="J3" s="3" t="str">
        <f t="shared" si="0"/>
        <v>1105_A1C1.webp</v>
      </c>
      <c r="K3" s="5">
        <f>Sheet4!E3</f>
        <v>25</v>
      </c>
      <c r="L3" s="5"/>
      <c r="M3" s="4"/>
    </row>
    <row r="4" spans="1:13" x14ac:dyDescent="0.25">
      <c r="A4" t="s">
        <v>2112</v>
      </c>
      <c r="B4" t="s">
        <v>2113</v>
      </c>
      <c r="C4" s="25">
        <v>1107</v>
      </c>
      <c r="D4" s="28">
        <v>1107</v>
      </c>
      <c r="E4" s="2" t="str">
        <f t="shared" si="1"/>
        <v>Same</v>
      </c>
      <c r="F4" s="6" t="s">
        <v>1841</v>
      </c>
      <c r="G4" s="3">
        <v>120.5</v>
      </c>
      <c r="H4" s="2" t="s">
        <v>6</v>
      </c>
      <c r="I4" s="4">
        <f>[1]Sheet1!I4</f>
        <v>3740</v>
      </c>
      <c r="J4" s="3" t="str">
        <f t="shared" si="0"/>
        <v>1107_A1C1.webp</v>
      </c>
      <c r="K4" s="5">
        <f>Sheet4!E4</f>
        <v>12</v>
      </c>
      <c r="L4" s="5"/>
      <c r="M4" s="4"/>
    </row>
    <row r="5" spans="1:13" x14ac:dyDescent="0.25">
      <c r="A5" t="s">
        <v>2112</v>
      </c>
      <c r="B5" t="s">
        <v>2113</v>
      </c>
      <c r="C5" s="25">
        <v>1108</v>
      </c>
      <c r="D5" s="28">
        <v>1108</v>
      </c>
      <c r="E5" s="2" t="str">
        <f t="shared" si="1"/>
        <v>Same</v>
      </c>
      <c r="F5" s="6" t="s">
        <v>1842</v>
      </c>
      <c r="G5" s="3">
        <v>134.94999999999999</v>
      </c>
      <c r="H5" s="2" t="s">
        <v>7</v>
      </c>
      <c r="I5" s="4">
        <f>[1]Sheet1!I5</f>
        <v>243</v>
      </c>
      <c r="J5" s="3" t="str">
        <f t="shared" si="0"/>
        <v>1108_A1C1.webp</v>
      </c>
      <c r="K5" s="5">
        <f>Sheet4!E5</f>
        <v>9</v>
      </c>
      <c r="L5" s="5"/>
      <c r="M5" s="4"/>
    </row>
    <row r="6" spans="1:13" x14ac:dyDescent="0.25">
      <c r="A6" t="s">
        <v>2112</v>
      </c>
      <c r="B6" t="s">
        <v>2113</v>
      </c>
      <c r="C6" s="25">
        <v>1109</v>
      </c>
      <c r="D6" s="28">
        <v>1109</v>
      </c>
      <c r="E6" s="2" t="str">
        <f t="shared" si="1"/>
        <v>Same</v>
      </c>
      <c r="F6" s="6" t="s">
        <v>1843</v>
      </c>
      <c r="G6" s="3">
        <v>169.95</v>
      </c>
      <c r="H6" s="2" t="s">
        <v>8</v>
      </c>
      <c r="I6" s="4">
        <f>[1]Sheet1!I6</f>
        <v>1434</v>
      </c>
      <c r="J6" s="3" t="str">
        <f t="shared" si="0"/>
        <v>1109_A1C1.webp</v>
      </c>
      <c r="K6" s="5">
        <f>Sheet4!E6</f>
        <v>9</v>
      </c>
      <c r="L6" s="5"/>
      <c r="M6" s="4"/>
    </row>
    <row r="7" spans="1:13" x14ac:dyDescent="0.25">
      <c r="A7" t="s">
        <v>2112</v>
      </c>
      <c r="B7" t="s">
        <v>2113</v>
      </c>
      <c r="C7" s="25">
        <v>1111</v>
      </c>
      <c r="D7" s="28">
        <v>1111</v>
      </c>
      <c r="E7" s="2" t="str">
        <f t="shared" si="1"/>
        <v>Same</v>
      </c>
      <c r="F7" s="6" t="s">
        <v>1844</v>
      </c>
      <c r="G7" s="3">
        <v>168.95</v>
      </c>
      <c r="H7" s="2" t="s">
        <v>9</v>
      </c>
      <c r="I7" s="4">
        <f>[1]Sheet1!I7</f>
        <v>134</v>
      </c>
      <c r="J7" s="3" t="str">
        <f t="shared" si="0"/>
        <v>1111_A1C1.webp</v>
      </c>
      <c r="K7" s="5">
        <f>Sheet4!E7</f>
        <v>6</v>
      </c>
      <c r="L7" s="5"/>
      <c r="M7" s="4"/>
    </row>
    <row r="8" spans="1:13" x14ac:dyDescent="0.25">
      <c r="A8" t="s">
        <v>2112</v>
      </c>
      <c r="B8" t="s">
        <v>2113</v>
      </c>
      <c r="C8" s="25">
        <v>1120</v>
      </c>
      <c r="D8" s="28">
        <v>1120</v>
      </c>
      <c r="E8" s="2" t="str">
        <f t="shared" si="1"/>
        <v>Same</v>
      </c>
      <c r="F8" s="6" t="s">
        <v>1845</v>
      </c>
      <c r="G8" s="3">
        <v>171.95</v>
      </c>
      <c r="H8" s="2" t="s">
        <v>10</v>
      </c>
      <c r="I8" s="4">
        <f>[1]Sheet1!I8</f>
        <v>3</v>
      </c>
      <c r="J8" s="3" t="str">
        <f t="shared" si="0"/>
        <v>1120_A1C1.webp</v>
      </c>
      <c r="K8" s="5">
        <f>Sheet4!E8</f>
        <v>12</v>
      </c>
      <c r="L8" s="5"/>
      <c r="M8" s="4"/>
    </row>
    <row r="9" spans="1:13" x14ac:dyDescent="0.25">
      <c r="A9" t="s">
        <v>2112</v>
      </c>
      <c r="B9" t="s">
        <v>2113</v>
      </c>
      <c r="C9" s="25">
        <v>1128</v>
      </c>
      <c r="D9" s="28">
        <v>1128</v>
      </c>
      <c r="E9" s="2" t="str">
        <f t="shared" si="1"/>
        <v>Same</v>
      </c>
      <c r="F9" s="6" t="s">
        <v>1846</v>
      </c>
      <c r="G9" s="3">
        <v>170.5</v>
      </c>
      <c r="H9" s="2" t="s">
        <v>11</v>
      </c>
      <c r="I9" s="4">
        <f>[1]Sheet1!I9</f>
        <v>78</v>
      </c>
      <c r="J9" s="3" t="str">
        <f t="shared" si="0"/>
        <v>1128_A1C1.webp</v>
      </c>
      <c r="K9" s="5">
        <f>Sheet4!E9</f>
        <v>3</v>
      </c>
      <c r="L9" s="5"/>
      <c r="M9" s="4"/>
    </row>
    <row r="10" spans="1:13" x14ac:dyDescent="0.25">
      <c r="A10" t="s">
        <v>2112</v>
      </c>
      <c r="B10" t="s">
        <v>2113</v>
      </c>
      <c r="C10" s="25">
        <v>1130</v>
      </c>
      <c r="D10" s="28">
        <v>1130</v>
      </c>
      <c r="E10" s="2" t="str">
        <f t="shared" si="1"/>
        <v>Same</v>
      </c>
      <c r="F10" s="6" t="s">
        <v>1841</v>
      </c>
      <c r="G10" s="3">
        <v>144.94999999999999</v>
      </c>
      <c r="H10" s="2" t="s">
        <v>12</v>
      </c>
      <c r="I10" s="4">
        <f>[1]Sheet1!I10</f>
        <v>67</v>
      </c>
      <c r="J10" s="3" t="str">
        <f t="shared" si="0"/>
        <v>1130_A1C1.webp</v>
      </c>
      <c r="K10" s="5">
        <f>Sheet4!E10</f>
        <v>12</v>
      </c>
      <c r="L10" s="5"/>
      <c r="M10" s="4"/>
    </row>
    <row r="11" spans="1:13" x14ac:dyDescent="0.25">
      <c r="A11" t="s">
        <v>2112</v>
      </c>
      <c r="B11" t="s">
        <v>2113</v>
      </c>
      <c r="C11" s="25">
        <v>1133</v>
      </c>
      <c r="D11" s="28">
        <v>1133</v>
      </c>
      <c r="E11" s="2" t="str">
        <f t="shared" si="1"/>
        <v>Same</v>
      </c>
      <c r="F11" s="6" t="s">
        <v>1841</v>
      </c>
      <c r="G11" s="3">
        <v>135.35</v>
      </c>
      <c r="H11" s="2" t="s">
        <v>13</v>
      </c>
      <c r="I11" s="4">
        <f>[1]Sheet1!I11</f>
        <v>124</v>
      </c>
      <c r="J11" s="3" t="str">
        <f t="shared" si="0"/>
        <v>1133_A1C1.webp</v>
      </c>
      <c r="K11" s="5">
        <f>Sheet4!E11</f>
        <v>12</v>
      </c>
      <c r="L11" s="5"/>
      <c r="M11" s="4"/>
    </row>
    <row r="12" spans="1:13" x14ac:dyDescent="0.25">
      <c r="A12" t="s">
        <v>2112</v>
      </c>
      <c r="B12" t="s">
        <v>2163</v>
      </c>
      <c r="C12" s="25">
        <v>1141</v>
      </c>
      <c r="D12" s="28">
        <v>1141</v>
      </c>
      <c r="E12" s="2" t="str">
        <f t="shared" si="1"/>
        <v>Same</v>
      </c>
      <c r="F12" s="6" t="s">
        <v>1840</v>
      </c>
      <c r="G12" s="3">
        <v>113.5</v>
      </c>
      <c r="H12" s="2" t="s">
        <v>14</v>
      </c>
      <c r="I12" s="4">
        <f>[1]Sheet1!I12</f>
        <v>495</v>
      </c>
      <c r="J12" s="3" t="str">
        <f t="shared" si="0"/>
        <v>1141_A1C1.webp</v>
      </c>
      <c r="K12" s="5">
        <f>Sheet4!E12</f>
        <v>25</v>
      </c>
      <c r="L12" s="5"/>
      <c r="M12" s="4"/>
    </row>
    <row r="13" spans="1:13" x14ac:dyDescent="0.25">
      <c r="A13" t="s">
        <v>2112</v>
      </c>
      <c r="B13" t="s">
        <v>2163</v>
      </c>
      <c r="C13" s="25">
        <v>1142</v>
      </c>
      <c r="D13" s="28">
        <v>1142</v>
      </c>
      <c r="E13" s="2" t="str">
        <f t="shared" si="1"/>
        <v>Same</v>
      </c>
      <c r="F13" s="6" t="s">
        <v>1841</v>
      </c>
      <c r="G13" s="3">
        <v>103.95</v>
      </c>
      <c r="H13" s="2" t="s">
        <v>15</v>
      </c>
      <c r="I13" s="4">
        <f>[1]Sheet1!I13</f>
        <v>436</v>
      </c>
      <c r="J13" s="3" t="str">
        <f t="shared" si="0"/>
        <v>1142_A1C1.webp</v>
      </c>
      <c r="K13" s="5">
        <f>Sheet4!E13</f>
        <v>12</v>
      </c>
      <c r="L13" s="5"/>
      <c r="M13" s="4"/>
    </row>
    <row r="14" spans="1:13" x14ac:dyDescent="0.25">
      <c r="A14" t="s">
        <v>2112</v>
      </c>
      <c r="B14" t="s">
        <v>2163</v>
      </c>
      <c r="C14" s="25">
        <v>1144</v>
      </c>
      <c r="D14" s="28">
        <v>1144</v>
      </c>
      <c r="E14" s="2" t="str">
        <f t="shared" si="1"/>
        <v>Same</v>
      </c>
      <c r="F14" s="6" t="s">
        <v>1842</v>
      </c>
      <c r="G14" s="3">
        <v>116.95</v>
      </c>
      <c r="H14" s="2" t="s">
        <v>16</v>
      </c>
      <c r="I14" s="4">
        <f>[1]Sheet1!I14</f>
        <v>43</v>
      </c>
      <c r="J14" s="3" t="str">
        <f t="shared" si="0"/>
        <v>1144_A1C1.webp</v>
      </c>
      <c r="K14" s="5">
        <f>Sheet4!E14</f>
        <v>9</v>
      </c>
      <c r="L14" s="5"/>
      <c r="M14" s="4"/>
    </row>
    <row r="15" spans="1:13" x14ac:dyDescent="0.25">
      <c r="A15" t="s">
        <v>2112</v>
      </c>
      <c r="B15" t="s">
        <v>2163</v>
      </c>
      <c r="C15" s="25">
        <v>1154</v>
      </c>
      <c r="D15" s="28">
        <v>1154</v>
      </c>
      <c r="E15" s="2" t="str">
        <f t="shared" si="1"/>
        <v>Same</v>
      </c>
      <c r="F15" s="6" t="s">
        <v>1840</v>
      </c>
      <c r="G15" s="3">
        <v>110.5</v>
      </c>
      <c r="H15" s="2" t="s">
        <v>17</v>
      </c>
      <c r="I15" s="4">
        <f>[1]Sheet1!I15</f>
        <v>357</v>
      </c>
      <c r="J15" s="3" t="str">
        <f t="shared" si="0"/>
        <v>1154_A1C1.webp</v>
      </c>
      <c r="K15" s="5">
        <f>Sheet4!E15</f>
        <v>25</v>
      </c>
      <c r="L15" s="5"/>
      <c r="M15" s="4"/>
    </row>
    <row r="16" spans="1:13" x14ac:dyDescent="0.25">
      <c r="A16" t="s">
        <v>2112</v>
      </c>
      <c r="B16" t="s">
        <v>2163</v>
      </c>
      <c r="C16" s="25">
        <v>1156</v>
      </c>
      <c r="D16" s="28">
        <v>1156</v>
      </c>
      <c r="E16" s="2" t="str">
        <f t="shared" si="1"/>
        <v>Same</v>
      </c>
      <c r="F16" s="6" t="s">
        <v>1842</v>
      </c>
      <c r="G16" s="3">
        <v>111.95</v>
      </c>
      <c r="H16" s="2" t="s">
        <v>18</v>
      </c>
      <c r="I16" s="4">
        <f>[1]Sheet1!I16</f>
        <v>38</v>
      </c>
      <c r="J16" s="3" t="str">
        <f t="shared" si="0"/>
        <v>1156_A1C1.webp</v>
      </c>
      <c r="K16" s="5">
        <f>Sheet4!E16</f>
        <v>9</v>
      </c>
      <c r="L16" s="5"/>
      <c r="M16" s="4"/>
    </row>
    <row r="17" spans="1:13" x14ac:dyDescent="0.25">
      <c r="A17" t="s">
        <v>2112</v>
      </c>
      <c r="B17" t="s">
        <v>2163</v>
      </c>
      <c r="C17" s="25">
        <v>1158</v>
      </c>
      <c r="D17" s="28">
        <v>1158</v>
      </c>
      <c r="E17" s="2" t="str">
        <f t="shared" si="1"/>
        <v>Same</v>
      </c>
      <c r="F17" s="6" t="s">
        <v>1841</v>
      </c>
      <c r="G17" s="3">
        <v>100.5</v>
      </c>
      <c r="H17" s="2" t="s">
        <v>19</v>
      </c>
      <c r="I17" s="4">
        <f>[1]Sheet1!I17</f>
        <v>225</v>
      </c>
      <c r="J17" s="3" t="str">
        <f t="shared" si="0"/>
        <v>1158_A1C1.webp</v>
      </c>
      <c r="K17" s="5">
        <f>Sheet4!E17</f>
        <v>12</v>
      </c>
      <c r="L17" s="5"/>
      <c r="M17" s="4"/>
    </row>
    <row r="18" spans="1:13" x14ac:dyDescent="0.25">
      <c r="A18" t="s">
        <v>2112</v>
      </c>
      <c r="B18" t="s">
        <v>2163</v>
      </c>
      <c r="C18" s="25">
        <v>1159</v>
      </c>
      <c r="D18" s="28">
        <v>1159</v>
      </c>
      <c r="E18" s="2" t="str">
        <f t="shared" si="1"/>
        <v>Same</v>
      </c>
      <c r="F18" s="6" t="s">
        <v>1843</v>
      </c>
      <c r="G18" s="3">
        <v>139.94999999999999</v>
      </c>
      <c r="H18" s="2" t="s">
        <v>20</v>
      </c>
      <c r="I18" s="4">
        <f>[1]Sheet1!I18</f>
        <v>89</v>
      </c>
      <c r="J18" s="3" t="str">
        <f t="shared" si="0"/>
        <v>1159_A1C1.webp</v>
      </c>
      <c r="K18" s="5">
        <f>Sheet4!E18</f>
        <v>9</v>
      </c>
      <c r="L18" s="5"/>
      <c r="M18" s="4"/>
    </row>
    <row r="19" spans="1:13" x14ac:dyDescent="0.25">
      <c r="A19" t="s">
        <v>2112</v>
      </c>
      <c r="B19" t="s">
        <v>21</v>
      </c>
      <c r="C19" s="25">
        <v>1186</v>
      </c>
      <c r="D19" s="28">
        <v>1186</v>
      </c>
      <c r="E19" s="2" t="str">
        <f t="shared" si="1"/>
        <v>Same</v>
      </c>
      <c r="F19" s="6" t="s">
        <v>1844</v>
      </c>
      <c r="G19" s="3">
        <v>91.5</v>
      </c>
      <c r="H19" s="2" t="s">
        <v>21</v>
      </c>
      <c r="I19" s="4">
        <f>[1]Sheet1!I19</f>
        <v>327</v>
      </c>
      <c r="J19" s="3" t="str">
        <f t="shared" si="0"/>
        <v>1186_A1C1.webp</v>
      </c>
      <c r="K19" s="5">
        <f>Sheet4!E19</f>
        <v>6</v>
      </c>
      <c r="L19" s="5"/>
      <c r="M19" s="4"/>
    </row>
    <row r="20" spans="1:13" x14ac:dyDescent="0.25">
      <c r="A20" t="s">
        <v>2112</v>
      </c>
      <c r="B20" t="s">
        <v>2201</v>
      </c>
      <c r="C20" s="25">
        <v>1188</v>
      </c>
      <c r="D20" s="28">
        <v>1188</v>
      </c>
      <c r="E20" s="2" t="str">
        <f t="shared" si="1"/>
        <v>Same</v>
      </c>
      <c r="F20" s="6" t="s">
        <v>1840</v>
      </c>
      <c r="G20" s="3">
        <v>76.95</v>
      </c>
      <c r="H20" s="2" t="s">
        <v>22</v>
      </c>
      <c r="I20" s="4">
        <f>[1]Sheet1!I20</f>
        <v>83</v>
      </c>
      <c r="J20" s="3" t="str">
        <f t="shared" si="0"/>
        <v>1188_A1C1.webp</v>
      </c>
      <c r="K20" s="5">
        <f>Sheet4!E20</f>
        <v>12</v>
      </c>
      <c r="L20" s="5" t="s">
        <v>5278</v>
      </c>
      <c r="M20" s="4"/>
    </row>
    <row r="21" spans="1:13" x14ac:dyDescent="0.25">
      <c r="A21" t="s">
        <v>2207</v>
      </c>
      <c r="B21" t="s">
        <v>2208</v>
      </c>
      <c r="C21" s="25">
        <v>1190</v>
      </c>
      <c r="D21" s="28">
        <v>1190</v>
      </c>
      <c r="E21" s="2" t="str">
        <f t="shared" si="1"/>
        <v>Same</v>
      </c>
      <c r="F21" s="6" t="s">
        <v>1840</v>
      </c>
      <c r="G21" s="3">
        <v>26.5</v>
      </c>
      <c r="H21" s="2" t="s">
        <v>23</v>
      </c>
      <c r="I21" s="4">
        <f>[1]Sheet1!I21</f>
        <v>168</v>
      </c>
      <c r="J21" s="3" t="str">
        <f t="shared" si="0"/>
        <v>1190_A1C1.webp</v>
      </c>
      <c r="K21" s="5">
        <f>Sheet4!E21</f>
        <v>9</v>
      </c>
      <c r="L21" s="5"/>
      <c r="M21" s="4"/>
    </row>
    <row r="22" spans="1:13" x14ac:dyDescent="0.25">
      <c r="A22" t="s">
        <v>2207</v>
      </c>
      <c r="B22" t="s">
        <v>2208</v>
      </c>
      <c r="C22" s="25">
        <v>1191</v>
      </c>
      <c r="D22" s="28">
        <v>1191</v>
      </c>
      <c r="E22" s="2" t="str">
        <f t="shared" si="1"/>
        <v>Same</v>
      </c>
      <c r="F22" s="6" t="s">
        <v>1840</v>
      </c>
      <c r="G22" s="3">
        <v>24.5</v>
      </c>
      <c r="H22" s="2" t="s">
        <v>24</v>
      </c>
      <c r="I22" s="4">
        <f>[1]Sheet1!I22</f>
        <v>28</v>
      </c>
      <c r="J22" s="3" t="str">
        <f t="shared" si="0"/>
        <v>1191_A1C1.webp</v>
      </c>
      <c r="K22" s="5">
        <f>Sheet4!E22</f>
        <v>9</v>
      </c>
      <c r="L22" s="5"/>
      <c r="M22" s="4"/>
    </row>
    <row r="23" spans="1:13" x14ac:dyDescent="0.25">
      <c r="A23" t="s">
        <v>2207</v>
      </c>
      <c r="B23" t="s">
        <v>2208</v>
      </c>
      <c r="C23" s="25">
        <v>1192</v>
      </c>
      <c r="D23" s="28">
        <v>1192</v>
      </c>
      <c r="E23" s="2" t="str">
        <f t="shared" si="1"/>
        <v>Same</v>
      </c>
      <c r="F23" s="6" t="s">
        <v>1840</v>
      </c>
      <c r="G23" s="3">
        <v>29.95</v>
      </c>
      <c r="H23" s="2" t="s">
        <v>25</v>
      </c>
      <c r="I23" s="4">
        <f>[1]Sheet1!I23</f>
        <v>32</v>
      </c>
      <c r="J23" s="3" t="str">
        <f t="shared" si="0"/>
        <v>1192_A1C1.webp</v>
      </c>
      <c r="K23" s="5">
        <f>Sheet4!E23</f>
        <v>9</v>
      </c>
      <c r="L23" s="5"/>
      <c r="M23" s="4"/>
    </row>
    <row r="24" spans="1:13" x14ac:dyDescent="0.25">
      <c r="A24" t="s">
        <v>2112</v>
      </c>
      <c r="B24" t="s">
        <v>2224</v>
      </c>
      <c r="C24" s="25">
        <v>1195</v>
      </c>
      <c r="D24" s="28">
        <v>1195</v>
      </c>
      <c r="E24" s="2" t="str">
        <f t="shared" si="1"/>
        <v>Same</v>
      </c>
      <c r="F24" s="6" t="s">
        <v>1840</v>
      </c>
      <c r="G24" s="3">
        <v>76.95</v>
      </c>
      <c r="H24" s="2" t="s">
        <v>26</v>
      </c>
      <c r="I24" s="4">
        <f>[1]Sheet1!I24</f>
        <v>251</v>
      </c>
      <c r="J24" s="3" t="str">
        <f t="shared" si="0"/>
        <v>1195_A1C1.webp</v>
      </c>
      <c r="K24" s="5">
        <f>Sheet4!E24</f>
        <v>12</v>
      </c>
      <c r="L24" s="5"/>
      <c r="M24" s="4"/>
    </row>
    <row r="25" spans="1:13" x14ac:dyDescent="0.25">
      <c r="A25" t="s">
        <v>2112</v>
      </c>
      <c r="B25" t="s">
        <v>2226</v>
      </c>
      <c r="C25" s="25">
        <v>1199</v>
      </c>
      <c r="D25" s="28">
        <v>1199</v>
      </c>
      <c r="E25" s="2" t="str">
        <f t="shared" ref="E25:E66" si="2">IF(C25=D25, "Same","New")</f>
        <v>Same</v>
      </c>
      <c r="F25" s="6" t="s">
        <v>1847</v>
      </c>
      <c r="G25" s="3">
        <v>43.5</v>
      </c>
      <c r="H25" s="2" t="s">
        <v>27</v>
      </c>
      <c r="I25" s="4">
        <f>[1]Sheet1!I25</f>
        <v>550</v>
      </c>
      <c r="J25" s="3" t="str">
        <f t="shared" si="0"/>
        <v>1199_A1C1.webp</v>
      </c>
      <c r="K25" s="5">
        <f>Sheet4!E25</f>
        <v>12</v>
      </c>
      <c r="L25" s="5" t="s">
        <v>5278</v>
      </c>
      <c r="M25" s="4"/>
    </row>
    <row r="26" spans="1:13" x14ac:dyDescent="0.25">
      <c r="A26" t="s">
        <v>2112</v>
      </c>
      <c r="B26" t="s">
        <v>2232</v>
      </c>
      <c r="C26" s="25">
        <v>1222</v>
      </c>
      <c r="D26" s="28">
        <v>1222</v>
      </c>
      <c r="E26" s="2" t="str">
        <f t="shared" si="2"/>
        <v>Same</v>
      </c>
      <c r="F26" s="6" t="s">
        <v>1848</v>
      </c>
      <c r="G26" s="3">
        <v>61.5</v>
      </c>
      <c r="H26" s="2" t="s">
        <v>28</v>
      </c>
      <c r="I26" s="4">
        <f>[1]Sheet1!I26</f>
        <v>155</v>
      </c>
      <c r="J26" s="3" t="str">
        <f t="shared" si="0"/>
        <v>1222_A1C1.webp</v>
      </c>
      <c r="K26" s="5">
        <f>Sheet4!E26</f>
        <v>2</v>
      </c>
      <c r="L26" s="5"/>
      <c r="M26" s="4"/>
    </row>
    <row r="27" spans="1:13" x14ac:dyDescent="0.25">
      <c r="A27" t="s">
        <v>2112</v>
      </c>
      <c r="B27" t="s">
        <v>2232</v>
      </c>
      <c r="C27" s="25">
        <v>1227</v>
      </c>
      <c r="D27" s="28">
        <v>1227</v>
      </c>
      <c r="E27" s="2" t="str">
        <f t="shared" si="2"/>
        <v>Same</v>
      </c>
      <c r="F27" s="6" t="s">
        <v>1849</v>
      </c>
      <c r="G27" s="3">
        <v>47.5</v>
      </c>
      <c r="H27" s="2" t="s">
        <v>29</v>
      </c>
      <c r="I27" s="4">
        <f>[1]Sheet1!I27</f>
        <v>526</v>
      </c>
      <c r="J27" s="3" t="str">
        <f t="shared" si="0"/>
        <v>1227_A1C1.webp</v>
      </c>
      <c r="K27" s="5">
        <f>Sheet4!E27</f>
        <v>24</v>
      </c>
      <c r="L27" s="5"/>
      <c r="M27" s="4"/>
    </row>
    <row r="28" spans="1:13" x14ac:dyDescent="0.25">
      <c r="A28" t="s">
        <v>2112</v>
      </c>
      <c r="B28" t="s">
        <v>2232</v>
      </c>
      <c r="C28" s="25">
        <v>1229</v>
      </c>
      <c r="D28" s="28">
        <v>1229</v>
      </c>
      <c r="E28" s="2" t="str">
        <f t="shared" si="2"/>
        <v>Same</v>
      </c>
      <c r="F28" s="6" t="s">
        <v>1845</v>
      </c>
      <c r="G28" s="3">
        <v>34.5</v>
      </c>
      <c r="H28" s="2" t="s">
        <v>30</v>
      </c>
      <c r="I28" s="4">
        <f>[1]Sheet1!I28</f>
        <v>917</v>
      </c>
      <c r="J28" s="3" t="str">
        <f t="shared" si="0"/>
        <v>1229_A1C1.webp</v>
      </c>
      <c r="K28" s="5">
        <f>Sheet4!E28</f>
        <v>12</v>
      </c>
      <c r="L28" s="5"/>
      <c r="M28" s="4"/>
    </row>
    <row r="29" spans="1:13" x14ac:dyDescent="0.25">
      <c r="A29" t="s">
        <v>2112</v>
      </c>
      <c r="B29" t="s">
        <v>2232</v>
      </c>
      <c r="C29" s="25">
        <v>1231</v>
      </c>
      <c r="D29" s="28">
        <v>1231</v>
      </c>
      <c r="E29" s="2" t="str">
        <f t="shared" si="2"/>
        <v>Same</v>
      </c>
      <c r="F29" s="6" t="s">
        <v>1850</v>
      </c>
      <c r="G29" s="3">
        <v>45.5</v>
      </c>
      <c r="H29" s="2" t="s">
        <v>31</v>
      </c>
      <c r="I29" s="4">
        <f>[1]Sheet1!I29</f>
        <v>703</v>
      </c>
      <c r="J29" s="3" t="str">
        <f t="shared" si="0"/>
        <v>1231_A1C1.webp</v>
      </c>
      <c r="K29" s="5">
        <f>Sheet4!E29</f>
        <v>9</v>
      </c>
      <c r="L29" s="5"/>
      <c r="M29" s="4"/>
    </row>
    <row r="30" spans="1:13" x14ac:dyDescent="0.25">
      <c r="A30" t="s">
        <v>2112</v>
      </c>
      <c r="B30" t="s">
        <v>2232</v>
      </c>
      <c r="C30" s="25">
        <v>1233</v>
      </c>
      <c r="D30" s="28">
        <v>1233</v>
      </c>
      <c r="E30" s="2" t="str">
        <f t="shared" si="2"/>
        <v>Same</v>
      </c>
      <c r="F30" s="6" t="s">
        <v>1851</v>
      </c>
      <c r="G30" s="3">
        <v>74.5</v>
      </c>
      <c r="H30" s="2" t="s">
        <v>32</v>
      </c>
      <c r="I30" s="4">
        <f>[1]Sheet1!I30</f>
        <v>164</v>
      </c>
      <c r="J30" s="3" t="str">
        <f t="shared" si="0"/>
        <v>1233_A1C1.webp</v>
      </c>
      <c r="K30" s="5">
        <f>Sheet4!E30</f>
        <v>6</v>
      </c>
      <c r="L30" s="5"/>
      <c r="M30" s="4"/>
    </row>
    <row r="31" spans="1:13" x14ac:dyDescent="0.25">
      <c r="A31" t="s">
        <v>2112</v>
      </c>
      <c r="B31" t="s">
        <v>2232</v>
      </c>
      <c r="C31" s="25">
        <v>1234</v>
      </c>
      <c r="D31" s="28">
        <v>1234</v>
      </c>
      <c r="E31" s="2" t="str">
        <f t="shared" si="2"/>
        <v>Same</v>
      </c>
      <c r="F31" s="6" t="s">
        <v>1852</v>
      </c>
      <c r="G31" s="3">
        <v>59.95</v>
      </c>
      <c r="H31" s="2" t="s">
        <v>33</v>
      </c>
      <c r="I31" s="4">
        <f>[1]Sheet1!I31</f>
        <v>412</v>
      </c>
      <c r="J31" s="3" t="str">
        <f t="shared" si="0"/>
        <v>1234_A1C1.webp</v>
      </c>
      <c r="K31" s="5">
        <f>Sheet4!E31</f>
        <v>6</v>
      </c>
      <c r="L31" s="5"/>
      <c r="M31" s="4"/>
    </row>
    <row r="32" spans="1:13" x14ac:dyDescent="0.25">
      <c r="A32" t="s">
        <v>2112</v>
      </c>
      <c r="B32" t="s">
        <v>2232</v>
      </c>
      <c r="C32" s="25">
        <v>1235</v>
      </c>
      <c r="D32" s="28">
        <v>1235</v>
      </c>
      <c r="E32" s="2" t="str">
        <f t="shared" si="2"/>
        <v>Same</v>
      </c>
      <c r="F32" s="6" t="s">
        <v>1849</v>
      </c>
      <c r="G32" s="3">
        <v>42.95</v>
      </c>
      <c r="H32" s="2" t="s">
        <v>34</v>
      </c>
      <c r="I32" s="4">
        <f>[1]Sheet1!I32</f>
        <v>610</v>
      </c>
      <c r="J32" s="3" t="str">
        <f t="shared" si="0"/>
        <v>1235_A1C1.webp</v>
      </c>
      <c r="K32" s="5">
        <f>Sheet4!E32</f>
        <v>24</v>
      </c>
      <c r="L32" s="5"/>
      <c r="M32" s="4"/>
    </row>
    <row r="33" spans="1:13" x14ac:dyDescent="0.25">
      <c r="A33" t="s">
        <v>2112</v>
      </c>
      <c r="B33" t="s">
        <v>2232</v>
      </c>
      <c r="C33" s="25">
        <v>1237</v>
      </c>
      <c r="D33" s="28">
        <v>1237</v>
      </c>
      <c r="E33" s="2" t="str">
        <f t="shared" si="2"/>
        <v>Same</v>
      </c>
      <c r="F33" s="6" t="s">
        <v>1845</v>
      </c>
      <c r="G33" s="3">
        <v>30.5</v>
      </c>
      <c r="H33" s="2" t="s">
        <v>35</v>
      </c>
      <c r="I33" s="4">
        <f>[1]Sheet1!I33</f>
        <v>1080</v>
      </c>
      <c r="J33" s="3" t="str">
        <f t="shared" si="0"/>
        <v>1237_A1C1.webp</v>
      </c>
      <c r="K33" s="5">
        <f>Sheet4!E33</f>
        <v>12</v>
      </c>
      <c r="L33" s="5"/>
      <c r="M33" s="4"/>
    </row>
    <row r="34" spans="1:13" x14ac:dyDescent="0.25">
      <c r="A34" t="s">
        <v>2112</v>
      </c>
      <c r="B34" t="s">
        <v>2232</v>
      </c>
      <c r="C34" s="25">
        <v>1239</v>
      </c>
      <c r="D34" s="28">
        <v>1239</v>
      </c>
      <c r="E34" s="2" t="str">
        <f t="shared" si="2"/>
        <v>Same</v>
      </c>
      <c r="F34" s="6" t="s">
        <v>1850</v>
      </c>
      <c r="G34" s="3">
        <v>40.5</v>
      </c>
      <c r="H34" s="2" t="s">
        <v>36</v>
      </c>
      <c r="I34" s="4">
        <f>[1]Sheet1!I34</f>
        <v>972</v>
      </c>
      <c r="J34" s="3" t="str">
        <f t="shared" si="0"/>
        <v>1239_A1C1.webp</v>
      </c>
      <c r="K34" s="5">
        <f>Sheet4!E34</f>
        <v>9</v>
      </c>
      <c r="L34" s="5"/>
      <c r="M34" s="4"/>
    </row>
    <row r="35" spans="1:13" x14ac:dyDescent="0.25">
      <c r="A35" t="s">
        <v>2112</v>
      </c>
      <c r="B35" t="s">
        <v>2232</v>
      </c>
      <c r="C35" s="25">
        <v>1240</v>
      </c>
      <c r="D35" s="28">
        <v>1240</v>
      </c>
      <c r="E35" s="2" t="str">
        <f t="shared" si="2"/>
        <v>Same</v>
      </c>
      <c r="F35" s="6" t="s">
        <v>1852</v>
      </c>
      <c r="G35" s="3">
        <v>53.95</v>
      </c>
      <c r="H35" s="2" t="s">
        <v>37</v>
      </c>
      <c r="I35" s="4">
        <f>[1]Sheet1!I35</f>
        <v>163</v>
      </c>
      <c r="J35" s="3" t="str">
        <f t="shared" si="0"/>
        <v>1240_A1C1.webp</v>
      </c>
      <c r="K35" s="5">
        <f>Sheet4!E35</f>
        <v>6</v>
      </c>
      <c r="L35" s="5"/>
      <c r="M35" s="4"/>
    </row>
    <row r="36" spans="1:13" x14ac:dyDescent="0.25">
      <c r="A36" t="s">
        <v>2112</v>
      </c>
      <c r="B36" t="s">
        <v>2232</v>
      </c>
      <c r="C36" s="25">
        <v>1241</v>
      </c>
      <c r="D36" s="28">
        <v>1241</v>
      </c>
      <c r="E36" s="2" t="str">
        <f t="shared" si="2"/>
        <v>Same</v>
      </c>
      <c r="F36" s="6" t="s">
        <v>1851</v>
      </c>
      <c r="G36" s="3">
        <v>66.5</v>
      </c>
      <c r="H36" s="2" t="s">
        <v>38</v>
      </c>
      <c r="I36" s="4">
        <f>[1]Sheet1!I36</f>
        <v>411</v>
      </c>
      <c r="J36" s="3" t="str">
        <f t="shared" si="0"/>
        <v>1241_A1C1.webp</v>
      </c>
      <c r="K36" s="5">
        <f>Sheet4!E36</f>
        <v>6</v>
      </c>
      <c r="L36" s="5"/>
      <c r="M36" s="4"/>
    </row>
    <row r="37" spans="1:13" x14ac:dyDescent="0.25">
      <c r="A37" t="s">
        <v>2112</v>
      </c>
      <c r="B37" t="s">
        <v>2232</v>
      </c>
      <c r="C37" s="25">
        <v>1250</v>
      </c>
      <c r="D37" s="28">
        <v>1250</v>
      </c>
      <c r="E37" s="2" t="str">
        <f t="shared" si="2"/>
        <v>Same</v>
      </c>
      <c r="F37" s="6" t="s">
        <v>1850</v>
      </c>
      <c r="G37" s="3">
        <v>39.950000000000003</v>
      </c>
      <c r="H37" s="2" t="s">
        <v>39</v>
      </c>
      <c r="I37" s="4">
        <f>[1]Sheet1!I37</f>
        <v>233</v>
      </c>
      <c r="J37" s="3" t="str">
        <f t="shared" si="0"/>
        <v>1250_A1C1.webp</v>
      </c>
      <c r="K37" s="5">
        <f>Sheet4!E37</f>
        <v>9</v>
      </c>
      <c r="L37" s="5"/>
      <c r="M37" s="4"/>
    </row>
    <row r="38" spans="1:13" x14ac:dyDescent="0.25">
      <c r="A38" t="s">
        <v>2112</v>
      </c>
      <c r="B38" t="s">
        <v>2232</v>
      </c>
      <c r="C38" s="25">
        <v>1251</v>
      </c>
      <c r="D38" s="28">
        <v>1251</v>
      </c>
      <c r="E38" s="2" t="str">
        <f t="shared" si="2"/>
        <v>Same</v>
      </c>
      <c r="F38" s="6" t="s">
        <v>1852</v>
      </c>
      <c r="G38" s="3">
        <v>53.5</v>
      </c>
      <c r="H38" s="2" t="s">
        <v>40</v>
      </c>
      <c r="I38" s="4">
        <f>[1]Sheet1!I38</f>
        <v>166</v>
      </c>
      <c r="J38" s="3" t="str">
        <f t="shared" si="0"/>
        <v>1251_A1C1.webp</v>
      </c>
      <c r="K38" s="5">
        <f>Sheet4!E38</f>
        <v>6</v>
      </c>
      <c r="L38" s="5"/>
      <c r="M38" s="4"/>
    </row>
    <row r="39" spans="1:13" x14ac:dyDescent="0.25">
      <c r="A39" t="s">
        <v>2112</v>
      </c>
      <c r="B39" t="s">
        <v>2292</v>
      </c>
      <c r="C39" s="25">
        <v>1255</v>
      </c>
      <c r="D39" s="28">
        <v>1255</v>
      </c>
      <c r="E39" s="2" t="str">
        <f t="shared" si="2"/>
        <v>Same</v>
      </c>
      <c r="F39" s="6" t="s">
        <v>1842</v>
      </c>
      <c r="G39" s="3">
        <v>55.95</v>
      </c>
      <c r="H39" s="2" t="s">
        <v>41</v>
      </c>
      <c r="I39" s="4">
        <f>[1]Sheet1!I39</f>
        <v>1608</v>
      </c>
      <c r="J39" s="3" t="str">
        <f t="shared" si="0"/>
        <v>1255_A1C1.webp</v>
      </c>
      <c r="K39" s="5">
        <f>Sheet4!E39</f>
        <v>6</v>
      </c>
      <c r="L39" s="5" t="s">
        <v>5278</v>
      </c>
      <c r="M39" s="4"/>
    </row>
    <row r="40" spans="1:13" x14ac:dyDescent="0.25">
      <c r="A40" t="s">
        <v>2298</v>
      </c>
      <c r="B40" t="s">
        <v>2299</v>
      </c>
      <c r="C40" s="25">
        <v>1304</v>
      </c>
      <c r="D40" s="28">
        <v>1304</v>
      </c>
      <c r="E40" s="2" t="str">
        <f t="shared" si="2"/>
        <v>Same</v>
      </c>
      <c r="F40" s="6" t="s">
        <v>1853</v>
      </c>
      <c r="G40" s="3">
        <v>18.95</v>
      </c>
      <c r="H40" s="2" t="s">
        <v>42</v>
      </c>
      <c r="I40" s="4">
        <f>[1]Sheet1!I40</f>
        <v>63</v>
      </c>
      <c r="J40" s="3" t="str">
        <f t="shared" si="0"/>
        <v>1304_A1C1.webp</v>
      </c>
      <c r="K40" s="5">
        <f>Sheet4!E40</f>
        <v>12</v>
      </c>
      <c r="L40" s="5"/>
      <c r="M40" s="4"/>
    </row>
    <row r="41" spans="1:13" x14ac:dyDescent="0.25">
      <c r="A41" t="s">
        <v>2298</v>
      </c>
      <c r="B41" t="s">
        <v>2305</v>
      </c>
      <c r="C41" s="25">
        <v>1307</v>
      </c>
      <c r="D41" s="28">
        <v>1307</v>
      </c>
      <c r="E41" s="2" t="str">
        <f t="shared" si="2"/>
        <v>Same</v>
      </c>
      <c r="F41" s="6" t="s">
        <v>1854</v>
      </c>
      <c r="G41" s="3">
        <v>16.95</v>
      </c>
      <c r="H41" s="2" t="s">
        <v>43</v>
      </c>
      <c r="I41" s="4">
        <f>[1]Sheet1!I41</f>
        <v>374</v>
      </c>
      <c r="J41" s="3" t="str">
        <f t="shared" si="0"/>
        <v>1307_A1C1.webp</v>
      </c>
      <c r="K41" s="5">
        <f>Sheet4!E41</f>
        <v>12</v>
      </c>
      <c r="L41" s="5"/>
      <c r="M41" s="4"/>
    </row>
    <row r="42" spans="1:13" x14ac:dyDescent="0.25">
      <c r="A42" t="s">
        <v>2298</v>
      </c>
      <c r="B42" t="s">
        <v>2305</v>
      </c>
      <c r="C42" s="25">
        <v>1309</v>
      </c>
      <c r="D42" s="28">
        <v>1309</v>
      </c>
      <c r="E42" s="2" t="str">
        <f t="shared" si="2"/>
        <v>Same</v>
      </c>
      <c r="F42" s="6" t="s">
        <v>1853</v>
      </c>
      <c r="G42" s="3">
        <v>27.25</v>
      </c>
      <c r="H42" s="2" t="s">
        <v>44</v>
      </c>
      <c r="I42" s="4">
        <f>[1]Sheet1!I42</f>
        <v>662</v>
      </c>
      <c r="J42" s="3" t="str">
        <f t="shared" si="0"/>
        <v>1309_A1C1.webp</v>
      </c>
      <c r="K42" s="5">
        <f>Sheet4!E42</f>
        <v>12</v>
      </c>
      <c r="L42" s="5"/>
      <c r="M42" s="4"/>
    </row>
    <row r="43" spans="1:13" x14ac:dyDescent="0.25">
      <c r="A43" t="s">
        <v>2298</v>
      </c>
      <c r="B43" t="s">
        <v>2299</v>
      </c>
      <c r="C43" s="25">
        <v>1312</v>
      </c>
      <c r="D43" s="28">
        <v>1312</v>
      </c>
      <c r="E43" s="2" t="str">
        <f t="shared" si="2"/>
        <v>Same</v>
      </c>
      <c r="F43" s="6" t="s">
        <v>1855</v>
      </c>
      <c r="G43" s="3">
        <v>36.25</v>
      </c>
      <c r="H43" s="2" t="s">
        <v>45</v>
      </c>
      <c r="I43" s="4">
        <f>[1]Sheet1!I43</f>
        <v>322</v>
      </c>
      <c r="J43" s="3" t="str">
        <f t="shared" si="0"/>
        <v>1312_A1C1.webp</v>
      </c>
      <c r="K43" s="5">
        <f>Sheet4!E43</f>
        <v>12</v>
      </c>
      <c r="L43" s="5"/>
      <c r="M43" s="4"/>
    </row>
    <row r="44" spans="1:13" x14ac:dyDescent="0.25">
      <c r="A44" t="s">
        <v>2298</v>
      </c>
      <c r="B44" t="s">
        <v>2299</v>
      </c>
      <c r="C44" s="25">
        <v>1317</v>
      </c>
      <c r="D44" s="28">
        <v>1317</v>
      </c>
      <c r="E44" s="2" t="str">
        <f t="shared" si="2"/>
        <v>Same</v>
      </c>
      <c r="F44" s="6" t="s">
        <v>1856</v>
      </c>
      <c r="G44" s="3">
        <v>14.25</v>
      </c>
      <c r="H44" s="2" t="s">
        <v>46</v>
      </c>
      <c r="I44" s="4">
        <f>[1]Sheet1!I44</f>
        <v>187</v>
      </c>
      <c r="J44" s="3" t="str">
        <f t="shared" si="0"/>
        <v>1317_A1C1.webp</v>
      </c>
      <c r="K44" s="5">
        <f>Sheet4!E44</f>
        <v>12</v>
      </c>
      <c r="L44" s="5"/>
      <c r="M44" s="4"/>
    </row>
    <row r="45" spans="1:13" x14ac:dyDescent="0.25">
      <c r="A45" t="s">
        <v>2298</v>
      </c>
      <c r="B45" t="s">
        <v>2299</v>
      </c>
      <c r="C45" s="25">
        <v>1319</v>
      </c>
      <c r="D45" s="28">
        <v>1319</v>
      </c>
      <c r="E45" s="2" t="str">
        <f t="shared" si="2"/>
        <v>Same</v>
      </c>
      <c r="F45" s="6" t="s">
        <v>1857</v>
      </c>
      <c r="G45" s="3">
        <v>41.75</v>
      </c>
      <c r="H45" s="2" t="s">
        <v>47</v>
      </c>
      <c r="I45" s="4">
        <f>[1]Sheet1!I45</f>
        <v>1851</v>
      </c>
      <c r="J45" s="3" t="str">
        <f t="shared" si="0"/>
        <v>1319_A1C1.webp</v>
      </c>
      <c r="K45" s="5">
        <f>Sheet4!E45</f>
        <v>24</v>
      </c>
      <c r="L45" s="5"/>
      <c r="M45" s="4"/>
    </row>
    <row r="46" spans="1:13" x14ac:dyDescent="0.25">
      <c r="A46" t="s">
        <v>2298</v>
      </c>
      <c r="B46" t="s">
        <v>2330</v>
      </c>
      <c r="C46" s="25">
        <v>1327</v>
      </c>
      <c r="D46" s="28">
        <v>1327</v>
      </c>
      <c r="E46" s="2" t="str">
        <f t="shared" si="2"/>
        <v>Same</v>
      </c>
      <c r="F46" s="6" t="s">
        <v>1854</v>
      </c>
      <c r="G46" s="3">
        <v>18.95</v>
      </c>
      <c r="H46" s="2" t="s">
        <v>48</v>
      </c>
      <c r="I46" s="4">
        <f>[1]Sheet1!I46</f>
        <v>716</v>
      </c>
      <c r="J46" s="3" t="str">
        <f t="shared" si="0"/>
        <v>1327_A1C1.webp</v>
      </c>
      <c r="K46" s="5">
        <f>Sheet4!E46</f>
        <v>12</v>
      </c>
      <c r="L46" s="5"/>
      <c r="M46" s="4"/>
    </row>
    <row r="47" spans="1:13" x14ac:dyDescent="0.25">
      <c r="A47" t="s">
        <v>2298</v>
      </c>
      <c r="B47" t="s">
        <v>2330</v>
      </c>
      <c r="C47" s="25">
        <v>1331</v>
      </c>
      <c r="D47" s="28">
        <v>1331</v>
      </c>
      <c r="E47" s="2" t="str">
        <f t="shared" si="2"/>
        <v>Same</v>
      </c>
      <c r="F47" s="6" t="s">
        <v>1853</v>
      </c>
      <c r="G47" s="3">
        <v>31.5</v>
      </c>
      <c r="H47" s="2" t="s">
        <v>49</v>
      </c>
      <c r="I47" s="4">
        <f>[1]Sheet1!I47</f>
        <v>2230</v>
      </c>
      <c r="J47" s="3" t="str">
        <f t="shared" si="0"/>
        <v>1331_A1C1.webp</v>
      </c>
      <c r="K47" s="5">
        <f>Sheet4!E47</f>
        <v>12</v>
      </c>
      <c r="L47" s="5"/>
      <c r="M47" s="4"/>
    </row>
    <row r="48" spans="1:13" x14ac:dyDescent="0.25">
      <c r="A48" t="s">
        <v>2298</v>
      </c>
      <c r="B48" t="s">
        <v>2330</v>
      </c>
      <c r="C48" s="25">
        <v>1332</v>
      </c>
      <c r="D48" s="28">
        <v>1332</v>
      </c>
      <c r="E48" s="2" t="str">
        <f t="shared" si="2"/>
        <v>Same</v>
      </c>
      <c r="F48" s="6" t="s">
        <v>1855</v>
      </c>
      <c r="G48" s="3">
        <v>64.5</v>
      </c>
      <c r="H48" s="2" t="s">
        <v>50</v>
      </c>
      <c r="I48" s="4">
        <f>[1]Sheet1!I48</f>
        <v>438</v>
      </c>
      <c r="J48" s="3" t="str">
        <f t="shared" si="0"/>
        <v>1332_A1C1.webp</v>
      </c>
      <c r="K48" s="5">
        <f>Sheet4!E48</f>
        <v>12</v>
      </c>
      <c r="L48" s="5"/>
      <c r="M48" s="4"/>
    </row>
    <row r="49" spans="1:13" x14ac:dyDescent="0.25">
      <c r="A49" t="s">
        <v>2298</v>
      </c>
      <c r="B49" t="s">
        <v>2342</v>
      </c>
      <c r="C49" s="25">
        <v>1333</v>
      </c>
      <c r="D49" s="28">
        <v>1333</v>
      </c>
      <c r="E49" s="2" t="str">
        <f t="shared" si="2"/>
        <v>Same</v>
      </c>
      <c r="F49" s="6" t="s">
        <v>1858</v>
      </c>
      <c r="G49" s="3">
        <v>21.5</v>
      </c>
      <c r="H49" s="2" t="s">
        <v>51</v>
      </c>
      <c r="I49" s="4">
        <f>[1]Sheet1!I49</f>
        <v>111</v>
      </c>
      <c r="J49" s="3" t="str">
        <f t="shared" si="0"/>
        <v>1333_A1C1.webp</v>
      </c>
      <c r="K49" s="5">
        <f>Sheet4!E49</f>
        <v>12</v>
      </c>
      <c r="L49" s="5"/>
      <c r="M49" s="4"/>
    </row>
    <row r="50" spans="1:13" x14ac:dyDescent="0.25">
      <c r="A50" t="s">
        <v>2298</v>
      </c>
      <c r="B50" t="s">
        <v>2342</v>
      </c>
      <c r="C50" s="25">
        <v>1335</v>
      </c>
      <c r="D50" s="28">
        <v>1335</v>
      </c>
      <c r="E50" s="2" t="str">
        <f t="shared" si="2"/>
        <v>Same</v>
      </c>
      <c r="F50" s="6" t="s">
        <v>1859</v>
      </c>
      <c r="G50" s="3">
        <v>41.5</v>
      </c>
      <c r="H50" s="2" t="s">
        <v>52</v>
      </c>
      <c r="I50" s="4">
        <f>[1]Sheet1!I50</f>
        <v>243</v>
      </c>
      <c r="J50" s="3" t="str">
        <f t="shared" si="0"/>
        <v>1335_A1C1.webp</v>
      </c>
      <c r="K50" s="5">
        <f>Sheet4!E50</f>
        <v>12</v>
      </c>
      <c r="L50" s="5"/>
      <c r="M50" s="4"/>
    </row>
    <row r="51" spans="1:13" x14ac:dyDescent="0.25">
      <c r="A51" t="s">
        <v>2298</v>
      </c>
      <c r="B51" t="s">
        <v>2342</v>
      </c>
      <c r="C51" s="25">
        <v>1337</v>
      </c>
      <c r="D51" s="28">
        <v>1337</v>
      </c>
      <c r="E51" s="2" t="str">
        <f t="shared" si="2"/>
        <v>Same</v>
      </c>
      <c r="F51" s="6" t="s">
        <v>1855</v>
      </c>
      <c r="G51" s="3">
        <v>86.95</v>
      </c>
      <c r="H51" s="2" t="s">
        <v>53</v>
      </c>
      <c r="I51" s="4">
        <f>[1]Sheet1!I51</f>
        <v>183</v>
      </c>
      <c r="J51" s="3" t="str">
        <f t="shared" si="0"/>
        <v>1337_A1C1.webp</v>
      </c>
      <c r="K51" s="5">
        <f>Sheet4!E51</f>
        <v>12</v>
      </c>
      <c r="L51" s="5"/>
      <c r="M51" s="4"/>
    </row>
    <row r="52" spans="1:13" x14ac:dyDescent="0.25">
      <c r="A52" t="s">
        <v>2298</v>
      </c>
      <c r="B52" t="s">
        <v>2330</v>
      </c>
      <c r="C52" s="25">
        <v>1341</v>
      </c>
      <c r="D52" s="28">
        <v>1341</v>
      </c>
      <c r="E52" s="2" t="str">
        <f t="shared" si="2"/>
        <v>Same</v>
      </c>
      <c r="F52" s="6" t="s">
        <v>1860</v>
      </c>
      <c r="G52" s="3">
        <v>18.95</v>
      </c>
      <c r="H52" s="2" t="s">
        <v>54</v>
      </c>
      <c r="I52" s="4">
        <f>[1]Sheet1!I52</f>
        <v>845</v>
      </c>
      <c r="J52" s="3" t="str">
        <f t="shared" si="0"/>
        <v>1341_A1C1.webp</v>
      </c>
      <c r="K52" s="5">
        <f>Sheet4!E52</f>
        <v>12</v>
      </c>
      <c r="L52" s="5"/>
      <c r="M52" s="4"/>
    </row>
    <row r="53" spans="1:13" x14ac:dyDescent="0.25">
      <c r="A53" t="s">
        <v>2298</v>
      </c>
      <c r="B53" t="s">
        <v>2358</v>
      </c>
      <c r="C53" s="25">
        <v>1345</v>
      </c>
      <c r="D53" s="28">
        <v>1345</v>
      </c>
      <c r="E53" s="2" t="str">
        <f t="shared" si="2"/>
        <v>Same</v>
      </c>
      <c r="F53" s="6" t="s">
        <v>1857</v>
      </c>
      <c r="G53" s="3">
        <v>23.5</v>
      </c>
      <c r="H53" s="2" t="s">
        <v>55</v>
      </c>
      <c r="I53" s="4">
        <f>[1]Sheet1!I53</f>
        <v>222</v>
      </c>
      <c r="J53" s="3" t="str">
        <f t="shared" si="0"/>
        <v>1345_A1C1.webp</v>
      </c>
      <c r="K53" s="5">
        <f>Sheet4!E53</f>
        <v>12</v>
      </c>
      <c r="L53" s="5" t="s">
        <v>5278</v>
      </c>
      <c r="M53" s="4"/>
    </row>
    <row r="54" spans="1:13" x14ac:dyDescent="0.25">
      <c r="A54" t="s">
        <v>2298</v>
      </c>
      <c r="B54" t="s">
        <v>2358</v>
      </c>
      <c r="C54" s="25">
        <v>1346</v>
      </c>
      <c r="D54" s="28">
        <v>1346</v>
      </c>
      <c r="E54" s="2" t="str">
        <f t="shared" si="2"/>
        <v>Same</v>
      </c>
      <c r="F54" s="6" t="s">
        <v>1861</v>
      </c>
      <c r="G54" s="3">
        <v>24.95</v>
      </c>
      <c r="H54" s="2" t="s">
        <v>56</v>
      </c>
      <c r="I54" s="4">
        <f>[1]Sheet1!I54</f>
        <v>51</v>
      </c>
      <c r="J54" s="3" t="str">
        <f t="shared" si="0"/>
        <v>1346_A1C1.webp</v>
      </c>
      <c r="K54" s="5">
        <f>Sheet4!E54</f>
        <v>12</v>
      </c>
      <c r="L54" s="5" t="s">
        <v>5278</v>
      </c>
      <c r="M54" s="4"/>
    </row>
    <row r="55" spans="1:13" x14ac:dyDescent="0.25">
      <c r="A55" t="s">
        <v>2298</v>
      </c>
      <c r="B55" t="s">
        <v>2369</v>
      </c>
      <c r="C55" s="25">
        <v>1351</v>
      </c>
      <c r="D55" s="28">
        <v>1351</v>
      </c>
      <c r="E55" s="2" t="str">
        <f t="shared" si="2"/>
        <v>Same</v>
      </c>
      <c r="F55" s="6" t="s">
        <v>1858</v>
      </c>
      <c r="G55" s="3">
        <v>19.95</v>
      </c>
      <c r="H55" s="2" t="s">
        <v>57</v>
      </c>
      <c r="I55" s="4">
        <f>[1]Sheet1!I55</f>
        <v>59</v>
      </c>
      <c r="J55" s="3" t="str">
        <f t="shared" si="0"/>
        <v>1351_A1C1.webp</v>
      </c>
      <c r="K55" s="5">
        <f>Sheet4!E55</f>
        <v>12</v>
      </c>
      <c r="L55" s="5"/>
      <c r="M55" s="4"/>
    </row>
    <row r="56" spans="1:13" x14ac:dyDescent="0.25">
      <c r="A56" t="s">
        <v>2298</v>
      </c>
      <c r="B56" t="s">
        <v>2369</v>
      </c>
      <c r="C56" s="25">
        <v>1353</v>
      </c>
      <c r="D56" s="28">
        <v>1353</v>
      </c>
      <c r="E56" s="2" t="str">
        <f t="shared" si="2"/>
        <v>Same</v>
      </c>
      <c r="F56" s="6" t="s">
        <v>1853</v>
      </c>
      <c r="G56" s="3">
        <v>32.950000000000003</v>
      </c>
      <c r="H56" s="2" t="s">
        <v>58</v>
      </c>
      <c r="I56" s="4">
        <f>[1]Sheet1!I56</f>
        <v>396</v>
      </c>
      <c r="J56" s="3" t="str">
        <f t="shared" si="0"/>
        <v>1353_A1C1.webp</v>
      </c>
      <c r="K56" s="5">
        <f>Sheet4!E56</f>
        <v>12</v>
      </c>
      <c r="L56" s="5"/>
      <c r="M56" s="4"/>
    </row>
    <row r="57" spans="1:13" x14ac:dyDescent="0.25">
      <c r="A57" t="s">
        <v>2298</v>
      </c>
      <c r="B57" t="s">
        <v>2358</v>
      </c>
      <c r="C57" s="25">
        <v>1360</v>
      </c>
      <c r="D57" s="28">
        <v>1360</v>
      </c>
      <c r="E57" s="2" t="str">
        <f t="shared" si="2"/>
        <v>Same</v>
      </c>
      <c r="F57" s="6" t="s">
        <v>1862</v>
      </c>
      <c r="G57" s="3">
        <v>37.5</v>
      </c>
      <c r="H57" s="2" t="s">
        <v>59</v>
      </c>
      <c r="I57" s="4">
        <f>[1]Sheet1!I57</f>
        <v>12</v>
      </c>
      <c r="J57" s="3" t="str">
        <f t="shared" si="0"/>
        <v>1360_A1C1.webp</v>
      </c>
      <c r="K57" s="5">
        <f>Sheet4!E57</f>
        <v>12</v>
      </c>
      <c r="L57" s="5"/>
      <c r="M57" s="4"/>
    </row>
    <row r="58" spans="1:13" x14ac:dyDescent="0.25">
      <c r="A58" t="s">
        <v>2298</v>
      </c>
      <c r="B58" t="s">
        <v>2358</v>
      </c>
      <c r="C58" s="25">
        <v>1363</v>
      </c>
      <c r="D58" s="28">
        <v>1363</v>
      </c>
      <c r="E58" s="2" t="str">
        <f t="shared" si="2"/>
        <v>Same</v>
      </c>
      <c r="F58" s="6" t="s">
        <v>1862</v>
      </c>
      <c r="G58" s="3">
        <v>30.95</v>
      </c>
      <c r="H58" s="2" t="s">
        <v>60</v>
      </c>
      <c r="I58" s="4">
        <f>[1]Sheet1!I58</f>
        <v>37</v>
      </c>
      <c r="J58" s="3" t="str">
        <f t="shared" si="0"/>
        <v>1363_A1C1.webp</v>
      </c>
      <c r="K58" s="5">
        <f>Sheet4!E58</f>
        <v>12</v>
      </c>
      <c r="L58" s="5"/>
      <c r="M58" s="4"/>
    </row>
    <row r="59" spans="1:13" x14ac:dyDescent="0.25">
      <c r="A59" t="s">
        <v>2298</v>
      </c>
      <c r="B59" t="s">
        <v>2388</v>
      </c>
      <c r="C59" s="25">
        <v>1368</v>
      </c>
      <c r="D59" s="28">
        <v>1368</v>
      </c>
      <c r="E59" s="2" t="str">
        <f t="shared" si="2"/>
        <v>Same</v>
      </c>
      <c r="F59" s="6" t="s">
        <v>1863</v>
      </c>
      <c r="G59" s="3">
        <v>25.95</v>
      </c>
      <c r="H59" s="2" t="s">
        <v>61</v>
      </c>
      <c r="I59" s="4">
        <f>[1]Sheet1!I59</f>
        <v>57</v>
      </c>
      <c r="J59" s="3" t="str">
        <f t="shared" si="0"/>
        <v>1368_A1C1.webp</v>
      </c>
      <c r="K59" s="5">
        <f>Sheet4!E59</f>
        <v>12</v>
      </c>
      <c r="L59" s="5"/>
      <c r="M59" s="4"/>
    </row>
    <row r="60" spans="1:13" x14ac:dyDescent="0.25">
      <c r="A60" t="s">
        <v>2298</v>
      </c>
      <c r="B60" t="s">
        <v>2388</v>
      </c>
      <c r="C60" s="25">
        <v>1370</v>
      </c>
      <c r="D60" s="28">
        <v>1370</v>
      </c>
      <c r="E60" s="2" t="str">
        <f t="shared" si="2"/>
        <v>Same</v>
      </c>
      <c r="F60" s="6" t="s">
        <v>1862</v>
      </c>
      <c r="G60" s="3">
        <v>30.95</v>
      </c>
      <c r="H60" s="2" t="s">
        <v>62</v>
      </c>
      <c r="I60" s="4">
        <f>[1]Sheet1!I60</f>
        <v>880</v>
      </c>
      <c r="J60" s="3" t="str">
        <f t="shared" si="0"/>
        <v>1370_A1C1.webp</v>
      </c>
      <c r="K60" s="5">
        <f>Sheet4!E60</f>
        <v>12</v>
      </c>
      <c r="L60" s="5"/>
      <c r="M60" s="4"/>
    </row>
    <row r="61" spans="1:13" x14ac:dyDescent="0.25">
      <c r="A61" t="s">
        <v>2298</v>
      </c>
      <c r="B61" t="s">
        <v>2388</v>
      </c>
      <c r="C61" s="25">
        <v>1373</v>
      </c>
      <c r="D61" s="28">
        <v>1373</v>
      </c>
      <c r="E61" s="2" t="str">
        <f t="shared" si="2"/>
        <v>Same</v>
      </c>
      <c r="F61" s="6" t="s">
        <v>1856</v>
      </c>
      <c r="G61" s="3">
        <v>26.5</v>
      </c>
      <c r="H61" s="2" t="s">
        <v>63</v>
      </c>
      <c r="I61" s="4">
        <f>[1]Sheet1!I61</f>
        <v>813</v>
      </c>
      <c r="J61" s="3" t="str">
        <f t="shared" si="0"/>
        <v>1373_A1C1.webp</v>
      </c>
      <c r="K61" s="5">
        <f>Sheet4!E61</f>
        <v>12</v>
      </c>
      <c r="L61" s="5"/>
      <c r="M61" s="4"/>
    </row>
    <row r="62" spans="1:13" x14ac:dyDescent="0.25">
      <c r="A62" t="s">
        <v>2298</v>
      </c>
      <c r="B62" t="s">
        <v>2388</v>
      </c>
      <c r="C62" s="25">
        <v>1375</v>
      </c>
      <c r="D62" s="28">
        <v>1375</v>
      </c>
      <c r="E62" s="2" t="str">
        <f t="shared" si="2"/>
        <v>Same</v>
      </c>
      <c r="F62" s="6" t="s">
        <v>1864</v>
      </c>
      <c r="G62" s="3">
        <v>32.950000000000003</v>
      </c>
      <c r="H62" s="2" t="s">
        <v>64</v>
      </c>
      <c r="I62" s="4">
        <f>[1]Sheet1!I62</f>
        <v>1166</v>
      </c>
      <c r="J62" s="3" t="str">
        <f t="shared" si="0"/>
        <v>1375_A1C1.webp</v>
      </c>
      <c r="K62" s="5">
        <f>Sheet4!E62</f>
        <v>12</v>
      </c>
      <c r="L62" s="5"/>
      <c r="M62" s="4"/>
    </row>
    <row r="63" spans="1:13" x14ac:dyDescent="0.25">
      <c r="A63" t="s">
        <v>2298</v>
      </c>
      <c r="B63" t="s">
        <v>2388</v>
      </c>
      <c r="C63" s="25">
        <v>1377</v>
      </c>
      <c r="D63" s="28">
        <v>1377</v>
      </c>
      <c r="E63" s="2" t="str">
        <f t="shared" si="2"/>
        <v>Same</v>
      </c>
      <c r="F63" s="6" t="s">
        <v>1865</v>
      </c>
      <c r="G63" s="3">
        <v>41.95</v>
      </c>
      <c r="H63" s="2" t="s">
        <v>65</v>
      </c>
      <c r="I63" s="4">
        <f>[1]Sheet1!I63</f>
        <v>210</v>
      </c>
      <c r="J63" s="3" t="str">
        <f t="shared" si="0"/>
        <v>1377_A1C1.webp</v>
      </c>
      <c r="K63" s="5">
        <f>Sheet4!E63</f>
        <v>12</v>
      </c>
      <c r="L63" s="5"/>
      <c r="M63" s="4"/>
    </row>
    <row r="64" spans="1:13" x14ac:dyDescent="0.25">
      <c r="A64" t="s">
        <v>2298</v>
      </c>
      <c r="B64" t="s">
        <v>2404</v>
      </c>
      <c r="C64" s="25">
        <v>1417</v>
      </c>
      <c r="D64" s="28">
        <v>1417</v>
      </c>
      <c r="E64" s="2" t="str">
        <f t="shared" si="2"/>
        <v>Same</v>
      </c>
      <c r="F64" s="6" t="s">
        <v>1866</v>
      </c>
      <c r="G64" s="3">
        <v>47.95</v>
      </c>
      <c r="H64" s="2" t="s">
        <v>66</v>
      </c>
      <c r="I64" s="4">
        <f>[1]Sheet1!I64</f>
        <v>1746</v>
      </c>
      <c r="J64" s="3" t="str">
        <f t="shared" si="0"/>
        <v>1417_A1C1.webp</v>
      </c>
      <c r="K64" s="5">
        <f>Sheet4!E64</f>
        <v>24</v>
      </c>
      <c r="L64" s="5"/>
      <c r="M64" s="4"/>
    </row>
    <row r="65" spans="1:13" x14ac:dyDescent="0.25">
      <c r="A65" t="s">
        <v>2298</v>
      </c>
      <c r="B65" t="s">
        <v>2404</v>
      </c>
      <c r="C65" s="25">
        <v>1419</v>
      </c>
      <c r="D65" s="28">
        <v>1419</v>
      </c>
      <c r="E65" s="2" t="str">
        <f t="shared" si="2"/>
        <v>Same</v>
      </c>
      <c r="F65" s="6" t="s">
        <v>1853</v>
      </c>
      <c r="G65" s="3">
        <v>30.75</v>
      </c>
      <c r="H65" s="2" t="s">
        <v>67</v>
      </c>
      <c r="I65" s="4">
        <f>[1]Sheet1!I65</f>
        <v>2749</v>
      </c>
      <c r="J65" s="3" t="str">
        <f t="shared" si="0"/>
        <v>1419_A1C1.webp</v>
      </c>
      <c r="K65" s="5">
        <f>Sheet4!E65</f>
        <v>12</v>
      </c>
      <c r="L65" s="5"/>
      <c r="M65" s="4"/>
    </row>
    <row r="66" spans="1:13" x14ac:dyDescent="0.25">
      <c r="A66" t="s">
        <v>2298</v>
      </c>
      <c r="B66" t="s">
        <v>2404</v>
      </c>
      <c r="C66" s="25">
        <v>1421</v>
      </c>
      <c r="D66" s="28">
        <v>1421</v>
      </c>
      <c r="E66" s="2" t="str">
        <f t="shared" si="2"/>
        <v>Same</v>
      </c>
      <c r="F66" s="6" t="s">
        <v>1867</v>
      </c>
      <c r="G66" s="3">
        <v>58.95</v>
      </c>
      <c r="H66" s="2" t="s">
        <v>68</v>
      </c>
      <c r="I66" s="4">
        <f>[1]Sheet1!I66</f>
        <v>625</v>
      </c>
      <c r="J66" s="3" t="str">
        <f t="shared" ref="J66:J129" si="3">C66 &amp; "_A1C1.webp"</f>
        <v>1421_A1C1.webp</v>
      </c>
      <c r="K66" s="5">
        <f>Sheet4!E66</f>
        <v>12</v>
      </c>
      <c r="L66" s="5"/>
      <c r="M66" s="4"/>
    </row>
    <row r="67" spans="1:13" x14ac:dyDescent="0.25">
      <c r="A67" t="s">
        <v>2298</v>
      </c>
      <c r="B67" t="s">
        <v>2404</v>
      </c>
      <c r="C67" s="25">
        <v>1425</v>
      </c>
      <c r="D67" s="28">
        <v>1425</v>
      </c>
      <c r="E67" s="2" t="str">
        <f t="shared" ref="E67:E130" si="4">IF(C67=D67, "Same","New")</f>
        <v>Same</v>
      </c>
      <c r="F67" s="6" t="s">
        <v>1864</v>
      </c>
      <c r="G67" s="3">
        <v>14.95</v>
      </c>
      <c r="H67" s="2" t="s">
        <v>69</v>
      </c>
      <c r="I67" s="4">
        <f>[1]Sheet1!I67</f>
        <v>275</v>
      </c>
      <c r="J67" s="3" t="str">
        <f t="shared" si="3"/>
        <v>1425_A1C1.webp</v>
      </c>
      <c r="K67" s="5">
        <f>Sheet4!E67</f>
        <v>12</v>
      </c>
      <c r="L67" s="5"/>
      <c r="M67" s="4"/>
    </row>
    <row r="68" spans="1:13" x14ac:dyDescent="0.25">
      <c r="A68" t="s">
        <v>2298</v>
      </c>
      <c r="B68" t="s">
        <v>2404</v>
      </c>
      <c r="C68" s="25">
        <v>1427</v>
      </c>
      <c r="D68" s="28">
        <v>1427</v>
      </c>
      <c r="E68" s="2" t="str">
        <f t="shared" si="4"/>
        <v>Same</v>
      </c>
      <c r="F68" s="6" t="s">
        <v>1865</v>
      </c>
      <c r="G68" s="3">
        <v>18.25</v>
      </c>
      <c r="H68" s="2" t="s">
        <v>70</v>
      </c>
      <c r="I68" s="4">
        <f>[1]Sheet1!I68</f>
        <v>150</v>
      </c>
      <c r="J68" s="3" t="str">
        <f t="shared" si="3"/>
        <v>1427_A1C1.webp</v>
      </c>
      <c r="K68" s="5">
        <f>Sheet4!E68</f>
        <v>12</v>
      </c>
      <c r="L68" s="5"/>
      <c r="M68" s="4"/>
    </row>
    <row r="69" spans="1:13" x14ac:dyDescent="0.25">
      <c r="A69" t="s">
        <v>2298</v>
      </c>
      <c r="B69" t="s">
        <v>2404</v>
      </c>
      <c r="C69" s="25">
        <v>1429</v>
      </c>
      <c r="D69" s="28">
        <v>1429</v>
      </c>
      <c r="E69" s="2" t="str">
        <f t="shared" si="4"/>
        <v>Same</v>
      </c>
      <c r="F69" s="6" t="s">
        <v>1868</v>
      </c>
      <c r="G69" s="3">
        <v>24.95</v>
      </c>
      <c r="H69" s="2" t="s">
        <v>71</v>
      </c>
      <c r="I69" s="4">
        <f>[1]Sheet1!I69</f>
        <v>672</v>
      </c>
      <c r="J69" s="3" t="str">
        <f t="shared" si="3"/>
        <v>1429_A1C1.webp</v>
      </c>
      <c r="K69" s="5">
        <f>Sheet4!E69</f>
        <v>12</v>
      </c>
      <c r="L69" s="5"/>
      <c r="M69" s="4"/>
    </row>
    <row r="70" spans="1:13" x14ac:dyDescent="0.25">
      <c r="A70" t="s">
        <v>2298</v>
      </c>
      <c r="B70" t="s">
        <v>2404</v>
      </c>
      <c r="C70" s="25">
        <v>1431</v>
      </c>
      <c r="D70" s="28">
        <v>1431</v>
      </c>
      <c r="E70" s="2" t="str">
        <f t="shared" si="4"/>
        <v>Same</v>
      </c>
      <c r="F70" s="6" t="s">
        <v>1855</v>
      </c>
      <c r="G70" s="3">
        <v>47.5</v>
      </c>
      <c r="H70" s="2" t="s">
        <v>72</v>
      </c>
      <c r="I70" s="4">
        <f>[1]Sheet1!I70</f>
        <v>332</v>
      </c>
      <c r="J70" s="3" t="str">
        <f t="shared" si="3"/>
        <v>1431_A1C1.webp</v>
      </c>
      <c r="K70" s="5">
        <f>Sheet4!E70</f>
        <v>12</v>
      </c>
      <c r="L70" s="5"/>
      <c r="M70" s="4"/>
    </row>
    <row r="71" spans="1:13" x14ac:dyDescent="0.25">
      <c r="A71" t="s">
        <v>2298</v>
      </c>
      <c r="B71" t="s">
        <v>2305</v>
      </c>
      <c r="C71" s="25">
        <v>1460</v>
      </c>
      <c r="D71" s="28">
        <v>1460</v>
      </c>
      <c r="E71" s="2" t="str">
        <f t="shared" si="4"/>
        <v>Same</v>
      </c>
      <c r="F71" s="6" t="s">
        <v>1860</v>
      </c>
      <c r="G71" s="3">
        <v>40.25</v>
      </c>
      <c r="H71" s="2" t="s">
        <v>73</v>
      </c>
      <c r="I71" s="4">
        <f>[1]Sheet1!I71</f>
        <v>455</v>
      </c>
      <c r="J71" s="3" t="str">
        <f t="shared" si="3"/>
        <v>1460_A1C1.webp</v>
      </c>
      <c r="K71" s="5">
        <f>Sheet4!E71</f>
        <v>24</v>
      </c>
      <c r="L71" s="5"/>
      <c r="M71" s="4"/>
    </row>
    <row r="72" spans="1:13" x14ac:dyDescent="0.25">
      <c r="A72" t="s">
        <v>2298</v>
      </c>
      <c r="B72" t="s">
        <v>2436</v>
      </c>
      <c r="C72" s="25">
        <v>1461</v>
      </c>
      <c r="D72" s="28">
        <v>1461</v>
      </c>
      <c r="E72" s="2" t="str">
        <f t="shared" si="4"/>
        <v>Same</v>
      </c>
      <c r="F72" s="6" t="s">
        <v>1860</v>
      </c>
      <c r="G72" s="3">
        <v>61.75</v>
      </c>
      <c r="H72" s="2" t="s">
        <v>74</v>
      </c>
      <c r="I72" s="4">
        <f>[1]Sheet1!I72</f>
        <v>444</v>
      </c>
      <c r="J72" s="3" t="str">
        <f t="shared" si="3"/>
        <v>1461_A1C1.webp</v>
      </c>
      <c r="K72" s="5">
        <f>Sheet4!E72</f>
        <v>24</v>
      </c>
      <c r="L72" s="5"/>
      <c r="M72" s="4"/>
    </row>
    <row r="73" spans="1:13" x14ac:dyDescent="0.25">
      <c r="A73" t="s">
        <v>2298</v>
      </c>
      <c r="B73" t="s">
        <v>2404</v>
      </c>
      <c r="C73" s="25">
        <v>1465</v>
      </c>
      <c r="D73" s="28">
        <v>1465</v>
      </c>
      <c r="E73" s="2" t="str">
        <f t="shared" si="4"/>
        <v>Same</v>
      </c>
      <c r="F73" s="6" t="s">
        <v>1869</v>
      </c>
      <c r="G73" s="3">
        <v>42.5</v>
      </c>
      <c r="H73" s="2" t="s">
        <v>75</v>
      </c>
      <c r="I73" s="4">
        <f>[1]Sheet1!I73</f>
        <v>589</v>
      </c>
      <c r="J73" s="3" t="str">
        <f t="shared" si="3"/>
        <v>1465_A1C1.webp</v>
      </c>
      <c r="K73" s="5">
        <f>Sheet4!E73</f>
        <v>24</v>
      </c>
      <c r="L73" s="5"/>
      <c r="M73" s="4"/>
    </row>
    <row r="74" spans="1:13" x14ac:dyDescent="0.25">
      <c r="A74" t="s">
        <v>2298</v>
      </c>
      <c r="B74" t="s">
        <v>2305</v>
      </c>
      <c r="C74" s="25">
        <v>1467</v>
      </c>
      <c r="D74" s="28">
        <v>1467</v>
      </c>
      <c r="E74" s="2" t="str">
        <f t="shared" si="4"/>
        <v>Same</v>
      </c>
      <c r="F74" s="6" t="s">
        <v>1861</v>
      </c>
      <c r="G74" s="3">
        <v>43.95</v>
      </c>
      <c r="H74" s="2" t="s">
        <v>76</v>
      </c>
      <c r="I74" s="4">
        <f>[1]Sheet1!I74</f>
        <v>818</v>
      </c>
      <c r="J74" s="3" t="str">
        <f t="shared" si="3"/>
        <v>1467_A1C1.webp</v>
      </c>
      <c r="K74" s="5">
        <f>Sheet4!E74</f>
        <v>24</v>
      </c>
      <c r="L74" s="5"/>
      <c r="M74" s="4"/>
    </row>
    <row r="75" spans="1:13" x14ac:dyDescent="0.25">
      <c r="A75" t="s">
        <v>2298</v>
      </c>
      <c r="B75" t="s">
        <v>2330</v>
      </c>
      <c r="C75" s="25">
        <v>1469</v>
      </c>
      <c r="D75" s="28">
        <v>1469</v>
      </c>
      <c r="E75" s="2" t="str">
        <f t="shared" si="4"/>
        <v>Same</v>
      </c>
      <c r="F75" s="6" t="s">
        <v>1861</v>
      </c>
      <c r="G75" s="3">
        <v>50.5</v>
      </c>
      <c r="H75" s="2" t="s">
        <v>77</v>
      </c>
      <c r="I75" s="4">
        <f>[1]Sheet1!I75</f>
        <v>4720</v>
      </c>
      <c r="J75" s="3" t="str">
        <f t="shared" si="3"/>
        <v>1469_A1C1.webp</v>
      </c>
      <c r="K75" s="5">
        <f>Sheet4!E75</f>
        <v>24</v>
      </c>
      <c r="L75" s="5"/>
      <c r="M75" s="4"/>
    </row>
    <row r="76" spans="1:13" x14ac:dyDescent="0.25">
      <c r="A76" t="s">
        <v>2298</v>
      </c>
      <c r="B76" t="s">
        <v>2369</v>
      </c>
      <c r="C76" s="25">
        <v>1473</v>
      </c>
      <c r="D76" s="28">
        <v>1473</v>
      </c>
      <c r="E76" s="2" t="str">
        <f t="shared" si="4"/>
        <v>Same</v>
      </c>
      <c r="F76" s="6" t="s">
        <v>1870</v>
      </c>
      <c r="G76" s="3">
        <v>50.5</v>
      </c>
      <c r="H76" s="2" t="s">
        <v>78</v>
      </c>
      <c r="I76" s="4">
        <f>[1]Sheet1!I76</f>
        <v>251</v>
      </c>
      <c r="J76" s="3" t="str">
        <f t="shared" si="3"/>
        <v>1473_A1C1.webp</v>
      </c>
      <c r="K76" s="5">
        <f>Sheet4!E76</f>
        <v>24</v>
      </c>
      <c r="L76" s="5"/>
      <c r="M76" s="4"/>
    </row>
    <row r="77" spans="1:13" x14ac:dyDescent="0.25">
      <c r="A77" t="s">
        <v>2298</v>
      </c>
      <c r="B77" t="s">
        <v>2342</v>
      </c>
      <c r="C77" s="25">
        <v>1475</v>
      </c>
      <c r="D77" s="28">
        <v>1475</v>
      </c>
      <c r="E77" s="2" t="str">
        <f t="shared" si="4"/>
        <v>Same</v>
      </c>
      <c r="F77" s="6" t="s">
        <v>1870</v>
      </c>
      <c r="G77" s="3">
        <v>65.5</v>
      </c>
      <c r="H77" s="2" t="s">
        <v>79</v>
      </c>
      <c r="I77" s="4">
        <f>[1]Sheet1!I77</f>
        <v>508</v>
      </c>
      <c r="J77" s="3" t="str">
        <f t="shared" si="3"/>
        <v>1475_A1C1.webp</v>
      </c>
      <c r="K77" s="5">
        <f>Sheet4!E77</f>
        <v>24</v>
      </c>
      <c r="L77" s="5"/>
      <c r="M77" s="4"/>
    </row>
    <row r="78" spans="1:13" x14ac:dyDescent="0.25">
      <c r="A78" t="s">
        <v>2298</v>
      </c>
      <c r="B78" t="s">
        <v>2459</v>
      </c>
      <c r="C78" s="25">
        <v>1477</v>
      </c>
      <c r="D78" s="28">
        <v>1477</v>
      </c>
      <c r="E78" s="2" t="str">
        <f t="shared" si="4"/>
        <v>Same</v>
      </c>
      <c r="F78" s="6" t="s">
        <v>1866</v>
      </c>
      <c r="G78" s="3">
        <v>44.5</v>
      </c>
      <c r="H78" s="2" t="s">
        <v>80</v>
      </c>
      <c r="I78" s="4">
        <f>[1]Sheet1!I78</f>
        <v>3305</v>
      </c>
      <c r="J78" s="3" t="str">
        <f t="shared" si="3"/>
        <v>1477_A1C1.webp</v>
      </c>
      <c r="K78" s="5">
        <f>Sheet4!E78</f>
        <v>24</v>
      </c>
      <c r="L78" s="5"/>
      <c r="M78" s="4"/>
    </row>
    <row r="79" spans="1:13" x14ac:dyDescent="0.25">
      <c r="A79" t="s">
        <v>2298</v>
      </c>
      <c r="B79" t="s">
        <v>2459</v>
      </c>
      <c r="C79" s="25">
        <v>1478</v>
      </c>
      <c r="D79" s="28">
        <v>1478</v>
      </c>
      <c r="E79" s="2" t="str">
        <f t="shared" si="4"/>
        <v>Same</v>
      </c>
      <c r="F79" s="6" t="s">
        <v>1855</v>
      </c>
      <c r="G79" s="3">
        <v>53.95</v>
      </c>
      <c r="H79" s="2" t="s">
        <v>81</v>
      </c>
      <c r="I79" s="4">
        <f>[1]Sheet1!I79</f>
        <v>686</v>
      </c>
      <c r="J79" s="3" t="str">
        <f t="shared" si="3"/>
        <v>1478_A1C1.webp</v>
      </c>
      <c r="K79" s="5">
        <f>Sheet4!E79</f>
        <v>12</v>
      </c>
      <c r="L79" s="5"/>
      <c r="M79" s="4"/>
    </row>
    <row r="80" spans="1:13" x14ac:dyDescent="0.25">
      <c r="A80" t="s">
        <v>2298</v>
      </c>
      <c r="B80" t="s">
        <v>2459</v>
      </c>
      <c r="C80" s="25">
        <v>1479</v>
      </c>
      <c r="D80" s="28">
        <v>1479</v>
      </c>
      <c r="E80" s="2" t="str">
        <f t="shared" si="4"/>
        <v>Same</v>
      </c>
      <c r="F80" s="6" t="s">
        <v>1853</v>
      </c>
      <c r="G80" s="3">
        <v>28.95</v>
      </c>
      <c r="H80" s="2" t="s">
        <v>82</v>
      </c>
      <c r="I80" s="4">
        <f>[1]Sheet1!I80</f>
        <v>2990</v>
      </c>
      <c r="J80" s="3" t="str">
        <f t="shared" si="3"/>
        <v>1479_A1C1.webp</v>
      </c>
      <c r="K80" s="5">
        <f>Sheet4!E80</f>
        <v>12</v>
      </c>
      <c r="L80" s="5"/>
      <c r="M80" s="4"/>
    </row>
    <row r="81" spans="1:13" x14ac:dyDescent="0.25">
      <c r="A81" t="s">
        <v>2298</v>
      </c>
      <c r="B81" t="s">
        <v>2369</v>
      </c>
      <c r="C81" s="25">
        <v>1480</v>
      </c>
      <c r="D81" s="28">
        <v>1480</v>
      </c>
      <c r="E81" s="2" t="str">
        <f t="shared" si="4"/>
        <v>Same</v>
      </c>
      <c r="F81" s="6" t="s">
        <v>1866</v>
      </c>
      <c r="G81" s="3">
        <v>38.950000000000003</v>
      </c>
      <c r="H81" s="2" t="s">
        <v>83</v>
      </c>
      <c r="I81" s="4">
        <f>[1]Sheet1!I81</f>
        <v>177</v>
      </c>
      <c r="J81" s="3" t="str">
        <f t="shared" si="3"/>
        <v>1480_A1C1.webp</v>
      </c>
      <c r="K81" s="5">
        <f>Sheet4!E81</f>
        <v>24</v>
      </c>
      <c r="L81" s="5"/>
      <c r="M81" s="4"/>
    </row>
    <row r="82" spans="1:13" x14ac:dyDescent="0.25">
      <c r="A82" t="s">
        <v>2298</v>
      </c>
      <c r="B82" t="s">
        <v>2473</v>
      </c>
      <c r="C82" s="25">
        <v>1485</v>
      </c>
      <c r="D82" s="28">
        <v>1485</v>
      </c>
      <c r="E82" s="2" t="str">
        <f t="shared" si="4"/>
        <v>Same</v>
      </c>
      <c r="F82" s="6" t="s">
        <v>1871</v>
      </c>
      <c r="G82" s="3">
        <v>29.95</v>
      </c>
      <c r="H82" s="2" t="s">
        <v>84</v>
      </c>
      <c r="I82" s="4">
        <f>[1]Sheet1!I82</f>
        <v>78</v>
      </c>
      <c r="J82" s="3" t="str">
        <f t="shared" si="3"/>
        <v>1485_A1C1.webp</v>
      </c>
      <c r="K82" s="5">
        <f>Sheet4!E82</f>
        <v>12</v>
      </c>
      <c r="L82" s="5"/>
      <c r="M82" s="4"/>
    </row>
    <row r="83" spans="1:13" x14ac:dyDescent="0.25">
      <c r="A83" t="s">
        <v>2298</v>
      </c>
      <c r="B83" t="s">
        <v>2478</v>
      </c>
      <c r="C83" s="25">
        <v>1489</v>
      </c>
      <c r="D83" s="28">
        <v>1489</v>
      </c>
      <c r="E83" s="2" t="str">
        <f t="shared" si="4"/>
        <v>Same</v>
      </c>
      <c r="F83" s="6" t="s">
        <v>1872</v>
      </c>
      <c r="G83" s="3">
        <v>30.5</v>
      </c>
      <c r="H83" s="2" t="s">
        <v>85</v>
      </c>
      <c r="I83" s="4">
        <f>[1]Sheet1!I83</f>
        <v>30</v>
      </c>
      <c r="J83" s="3" t="str">
        <f t="shared" si="3"/>
        <v>1489_A1C1.webp</v>
      </c>
      <c r="K83" s="5">
        <f>Sheet4!E83</f>
        <v>12</v>
      </c>
      <c r="L83" s="5"/>
      <c r="M83" s="4"/>
    </row>
    <row r="84" spans="1:13" x14ac:dyDescent="0.25">
      <c r="A84" t="s">
        <v>2298</v>
      </c>
      <c r="B84" t="s">
        <v>2478</v>
      </c>
      <c r="C84" s="25">
        <v>1490</v>
      </c>
      <c r="D84" s="28">
        <v>1490</v>
      </c>
      <c r="E84" s="2" t="str">
        <f t="shared" si="4"/>
        <v>Same</v>
      </c>
      <c r="F84" s="6" t="s">
        <v>1872</v>
      </c>
      <c r="G84" s="3">
        <v>30.5</v>
      </c>
      <c r="H84" s="2" t="s">
        <v>86</v>
      </c>
      <c r="I84" s="4">
        <f>[1]Sheet1!I84</f>
        <v>138</v>
      </c>
      <c r="J84" s="3" t="str">
        <f t="shared" si="3"/>
        <v>1490_A1C1.webp</v>
      </c>
      <c r="K84" s="5">
        <f>Sheet4!E84</f>
        <v>12</v>
      </c>
      <c r="L84" s="5"/>
      <c r="M84" s="4"/>
    </row>
    <row r="85" spans="1:13" x14ac:dyDescent="0.25">
      <c r="A85" t="s">
        <v>2298</v>
      </c>
      <c r="B85" t="s">
        <v>2478</v>
      </c>
      <c r="C85" s="25">
        <v>1491</v>
      </c>
      <c r="D85" s="28">
        <v>1491</v>
      </c>
      <c r="E85" s="2" t="str">
        <f t="shared" si="4"/>
        <v>Same</v>
      </c>
      <c r="F85" s="6" t="s">
        <v>1872</v>
      </c>
      <c r="G85" s="3">
        <v>30.5</v>
      </c>
      <c r="H85" s="2" t="s">
        <v>87</v>
      </c>
      <c r="I85" s="4">
        <f>[1]Sheet1!I85</f>
        <v>321</v>
      </c>
      <c r="J85" s="3" t="str">
        <f t="shared" si="3"/>
        <v>1491_A1C1.webp</v>
      </c>
      <c r="K85" s="5">
        <f>Sheet4!E85</f>
        <v>12</v>
      </c>
      <c r="L85" s="5"/>
      <c r="M85" s="4"/>
    </row>
    <row r="86" spans="1:13" x14ac:dyDescent="0.25">
      <c r="A86" t="s">
        <v>2298</v>
      </c>
      <c r="B86" t="s">
        <v>2478</v>
      </c>
      <c r="C86" s="25">
        <v>1492</v>
      </c>
      <c r="D86" s="28">
        <v>1492</v>
      </c>
      <c r="E86" s="2" t="str">
        <f t="shared" si="4"/>
        <v>Same</v>
      </c>
      <c r="F86" s="6" t="s">
        <v>1872</v>
      </c>
      <c r="G86" s="3">
        <v>30.5</v>
      </c>
      <c r="H86" s="2" t="s">
        <v>88</v>
      </c>
      <c r="I86" s="4">
        <f>[1]Sheet1!I86</f>
        <v>0</v>
      </c>
      <c r="J86" s="3" t="str">
        <f t="shared" si="3"/>
        <v>1492_A1C1.webp</v>
      </c>
      <c r="K86" s="5">
        <f>Sheet4!E86</f>
        <v>12</v>
      </c>
      <c r="L86" s="5"/>
      <c r="M86" s="4"/>
    </row>
    <row r="87" spans="1:13" x14ac:dyDescent="0.25">
      <c r="A87" t="s">
        <v>2298</v>
      </c>
      <c r="B87" t="s">
        <v>2436</v>
      </c>
      <c r="C87" s="25">
        <v>1494</v>
      </c>
      <c r="D87" s="28">
        <v>1494</v>
      </c>
      <c r="E87" s="2" t="str">
        <f t="shared" si="4"/>
        <v>Same</v>
      </c>
      <c r="F87" s="6" t="s">
        <v>1873</v>
      </c>
      <c r="G87" s="3">
        <v>28.5</v>
      </c>
      <c r="H87" s="2" t="s">
        <v>89</v>
      </c>
      <c r="I87" s="4">
        <f>[1]Sheet1!I87</f>
        <v>186</v>
      </c>
      <c r="J87" s="3" t="str">
        <f t="shared" si="3"/>
        <v>1494_A1C1.webp</v>
      </c>
      <c r="K87" s="5">
        <f>Sheet4!E87</f>
        <v>12</v>
      </c>
      <c r="L87" s="5"/>
      <c r="M87" s="4"/>
    </row>
    <row r="88" spans="1:13" x14ac:dyDescent="0.25">
      <c r="A88" t="s">
        <v>2298</v>
      </c>
      <c r="B88" t="s">
        <v>2436</v>
      </c>
      <c r="C88" s="25">
        <v>1495</v>
      </c>
      <c r="D88" s="28">
        <v>1495</v>
      </c>
      <c r="E88" s="2" t="str">
        <f t="shared" si="4"/>
        <v>Same</v>
      </c>
      <c r="F88" s="6" t="s">
        <v>1873</v>
      </c>
      <c r="G88" s="3">
        <v>28.5</v>
      </c>
      <c r="H88" s="2" t="s">
        <v>90</v>
      </c>
      <c r="I88" s="4">
        <f>[1]Sheet1!I88</f>
        <v>1078</v>
      </c>
      <c r="J88" s="3" t="str">
        <f t="shared" si="3"/>
        <v>1495_A1C1.webp</v>
      </c>
      <c r="K88" s="5">
        <f>Sheet4!E88</f>
        <v>12</v>
      </c>
      <c r="L88" s="5"/>
      <c r="M88" s="4"/>
    </row>
    <row r="89" spans="1:13" x14ac:dyDescent="0.25">
      <c r="A89" t="s">
        <v>2298</v>
      </c>
      <c r="B89" t="s">
        <v>2436</v>
      </c>
      <c r="C89" s="25">
        <v>1496</v>
      </c>
      <c r="D89" s="28">
        <v>1496</v>
      </c>
      <c r="E89" s="2" t="str">
        <f t="shared" si="4"/>
        <v>Same</v>
      </c>
      <c r="F89" s="6" t="s">
        <v>1873</v>
      </c>
      <c r="G89" s="3">
        <v>28.5</v>
      </c>
      <c r="H89" s="2" t="s">
        <v>91</v>
      </c>
      <c r="I89" s="4">
        <f>[1]Sheet1!I89</f>
        <v>349</v>
      </c>
      <c r="J89" s="3" t="str">
        <f t="shared" si="3"/>
        <v>1496_A1C1.webp</v>
      </c>
      <c r="K89" s="5">
        <f>Sheet4!E89</f>
        <v>12</v>
      </c>
      <c r="L89" s="5"/>
      <c r="M89" s="4"/>
    </row>
    <row r="90" spans="1:13" x14ac:dyDescent="0.25">
      <c r="A90" t="s">
        <v>2298</v>
      </c>
      <c r="B90" t="s">
        <v>2436</v>
      </c>
      <c r="C90" s="25">
        <v>1501</v>
      </c>
      <c r="D90" s="28">
        <v>1501</v>
      </c>
      <c r="E90" s="2" t="str">
        <f t="shared" si="4"/>
        <v>Same</v>
      </c>
      <c r="F90" s="6" t="s">
        <v>1866</v>
      </c>
      <c r="G90" s="3">
        <v>28.5</v>
      </c>
      <c r="H90" s="2" t="s">
        <v>92</v>
      </c>
      <c r="I90" s="4">
        <f>[1]Sheet1!I90</f>
        <v>239</v>
      </c>
      <c r="J90" s="3" t="str">
        <f t="shared" si="3"/>
        <v>1501_A1C1.webp</v>
      </c>
      <c r="K90" s="5">
        <f>Sheet4!E90</f>
        <v>12</v>
      </c>
      <c r="L90" s="5"/>
      <c r="M90" s="4"/>
    </row>
    <row r="91" spans="1:13" x14ac:dyDescent="0.25">
      <c r="A91" t="s">
        <v>2298</v>
      </c>
      <c r="B91" t="s">
        <v>2478</v>
      </c>
      <c r="C91" s="25">
        <v>1508</v>
      </c>
      <c r="D91" s="28">
        <v>1508</v>
      </c>
      <c r="E91" s="2" t="str">
        <f t="shared" si="4"/>
        <v>Same</v>
      </c>
      <c r="F91" s="6" t="s">
        <v>1872</v>
      </c>
      <c r="G91" s="3">
        <v>32.5</v>
      </c>
      <c r="H91" s="2" t="s">
        <v>93</v>
      </c>
      <c r="I91" s="4">
        <f>[1]Sheet1!I91</f>
        <v>57</v>
      </c>
      <c r="J91" s="3" t="str">
        <f t="shared" si="3"/>
        <v>1508_A1C1.webp</v>
      </c>
      <c r="K91" s="5">
        <f>Sheet4!E91</f>
        <v>12</v>
      </c>
      <c r="L91" s="5"/>
      <c r="M91" s="4"/>
    </row>
    <row r="92" spans="1:13" x14ac:dyDescent="0.25">
      <c r="A92" t="s">
        <v>2298</v>
      </c>
      <c r="B92" t="s">
        <v>2497</v>
      </c>
      <c r="C92" s="25">
        <v>1510</v>
      </c>
      <c r="D92" s="28">
        <v>1510</v>
      </c>
      <c r="E92" s="2" t="str">
        <f t="shared" si="4"/>
        <v>Same</v>
      </c>
      <c r="F92" s="6" t="s">
        <v>1861</v>
      </c>
      <c r="G92" s="3">
        <v>42.95</v>
      </c>
      <c r="H92" s="2" t="s">
        <v>94</v>
      </c>
      <c r="I92" s="4">
        <f>[1]Sheet1!I92</f>
        <v>249</v>
      </c>
      <c r="J92" s="3" t="str">
        <f t="shared" si="3"/>
        <v>1510_A1C1.webp</v>
      </c>
      <c r="K92" s="5">
        <f>Sheet4!E92</f>
        <v>24</v>
      </c>
      <c r="L92" s="5"/>
      <c r="M92" s="4"/>
    </row>
    <row r="93" spans="1:13" x14ac:dyDescent="0.25">
      <c r="A93" t="s">
        <v>2298</v>
      </c>
      <c r="B93" t="s">
        <v>2497</v>
      </c>
      <c r="C93" s="25">
        <v>1511</v>
      </c>
      <c r="D93" s="28">
        <v>1511</v>
      </c>
      <c r="E93" s="2" t="str">
        <f t="shared" si="4"/>
        <v>Same</v>
      </c>
      <c r="F93" s="6" t="s">
        <v>1861</v>
      </c>
      <c r="G93" s="3">
        <v>55.95</v>
      </c>
      <c r="H93" s="2" t="s">
        <v>95</v>
      </c>
      <c r="I93" s="4">
        <f>[1]Sheet1!I93</f>
        <v>484</v>
      </c>
      <c r="J93" s="3" t="str">
        <f t="shared" si="3"/>
        <v>1511_A1C1.webp</v>
      </c>
      <c r="K93" s="5">
        <f>Sheet4!E93</f>
        <v>24</v>
      </c>
      <c r="L93" s="5"/>
      <c r="M93" s="4"/>
    </row>
    <row r="94" spans="1:13" x14ac:dyDescent="0.25">
      <c r="A94" t="s">
        <v>2298</v>
      </c>
      <c r="B94" t="s">
        <v>2497</v>
      </c>
      <c r="C94" s="25">
        <v>1512</v>
      </c>
      <c r="D94" s="28">
        <v>1512</v>
      </c>
      <c r="E94" s="2" t="str">
        <f t="shared" si="4"/>
        <v>Same</v>
      </c>
      <c r="F94" s="6" t="s">
        <v>1866</v>
      </c>
      <c r="G94" s="3">
        <v>47.95</v>
      </c>
      <c r="H94" s="2" t="s">
        <v>96</v>
      </c>
      <c r="I94" s="4">
        <f>[1]Sheet1!I94</f>
        <v>122</v>
      </c>
      <c r="J94" s="3" t="str">
        <f t="shared" si="3"/>
        <v>1512_A1C1.webp</v>
      </c>
      <c r="K94" s="5">
        <f>Sheet4!E94</f>
        <v>24</v>
      </c>
      <c r="L94" s="5"/>
      <c r="M94" s="4"/>
    </row>
    <row r="95" spans="1:13" x14ac:dyDescent="0.25">
      <c r="A95" t="s">
        <v>2298</v>
      </c>
      <c r="B95" t="s">
        <v>2497</v>
      </c>
      <c r="C95" s="25">
        <v>1513</v>
      </c>
      <c r="D95" s="28">
        <v>1513</v>
      </c>
      <c r="E95" s="2" t="str">
        <f t="shared" si="4"/>
        <v>Same</v>
      </c>
      <c r="F95" s="6" t="s">
        <v>1866</v>
      </c>
      <c r="G95" s="3">
        <v>43.95</v>
      </c>
      <c r="H95" s="2" t="s">
        <v>97</v>
      </c>
      <c r="I95" s="4">
        <f>[1]Sheet1!I95</f>
        <v>112</v>
      </c>
      <c r="J95" s="3" t="str">
        <f t="shared" si="3"/>
        <v>1513_A1C1.webp</v>
      </c>
      <c r="K95" s="5">
        <f>Sheet4!E95</f>
        <v>24</v>
      </c>
      <c r="L95" s="5"/>
      <c r="M95" s="4"/>
    </row>
    <row r="96" spans="1:13" x14ac:dyDescent="0.25">
      <c r="A96" t="s">
        <v>2298</v>
      </c>
      <c r="B96" t="s">
        <v>2497</v>
      </c>
      <c r="C96" s="25">
        <v>1518</v>
      </c>
      <c r="D96" s="28">
        <v>1518</v>
      </c>
      <c r="E96" s="2" t="str">
        <f t="shared" si="4"/>
        <v>Same</v>
      </c>
      <c r="F96" s="6" t="s">
        <v>1861</v>
      </c>
      <c r="G96" s="3">
        <v>54.95</v>
      </c>
      <c r="H96" s="2" t="s">
        <v>98</v>
      </c>
      <c r="I96" s="4">
        <f>[1]Sheet1!I96</f>
        <v>42</v>
      </c>
      <c r="J96" s="3" t="str">
        <f t="shared" si="3"/>
        <v>1518_A1C1.webp</v>
      </c>
      <c r="K96" s="5">
        <f>Sheet4!E96</f>
        <v>24</v>
      </c>
      <c r="L96" s="5"/>
      <c r="M96" s="4"/>
    </row>
    <row r="97" spans="1:13" x14ac:dyDescent="0.25">
      <c r="A97" t="s">
        <v>2298</v>
      </c>
      <c r="B97" t="s">
        <v>2478</v>
      </c>
      <c r="C97" s="25">
        <v>1565</v>
      </c>
      <c r="D97" s="28">
        <v>1565</v>
      </c>
      <c r="E97" s="2" t="str">
        <f t="shared" si="4"/>
        <v>Same</v>
      </c>
      <c r="F97" s="6" t="s">
        <v>1872</v>
      </c>
      <c r="G97" s="3">
        <v>27.5</v>
      </c>
      <c r="H97" s="2" t="s">
        <v>99</v>
      </c>
      <c r="I97" s="4">
        <f>[1]Sheet1!I97</f>
        <v>11</v>
      </c>
      <c r="J97" s="3" t="str">
        <f t="shared" si="3"/>
        <v>1565_A1C1.webp</v>
      </c>
      <c r="K97" s="5">
        <f>Sheet4!E97</f>
        <v>12</v>
      </c>
      <c r="L97" s="5"/>
      <c r="M97" s="4"/>
    </row>
    <row r="98" spans="1:13" x14ac:dyDescent="0.25">
      <c r="A98" t="s">
        <v>2298</v>
      </c>
      <c r="B98" t="s">
        <v>2478</v>
      </c>
      <c r="C98" s="25">
        <v>1566</v>
      </c>
      <c r="D98" s="28">
        <v>1566</v>
      </c>
      <c r="E98" s="2" t="str">
        <f t="shared" si="4"/>
        <v>Same</v>
      </c>
      <c r="F98" s="6" t="s">
        <v>1872</v>
      </c>
      <c r="G98" s="3">
        <v>27.5</v>
      </c>
      <c r="H98" s="2" t="s">
        <v>100</v>
      </c>
      <c r="I98" s="4">
        <f>[1]Sheet1!I98</f>
        <v>33</v>
      </c>
      <c r="J98" s="3" t="str">
        <f t="shared" si="3"/>
        <v>1566_A1C1.webp</v>
      </c>
      <c r="K98" s="5">
        <f>Sheet4!E98</f>
        <v>12</v>
      </c>
      <c r="L98" s="5"/>
      <c r="M98" s="4"/>
    </row>
    <row r="99" spans="1:13" x14ac:dyDescent="0.25">
      <c r="A99" t="s">
        <v>2298</v>
      </c>
      <c r="B99" t="s">
        <v>2478</v>
      </c>
      <c r="C99" s="25">
        <v>1567</v>
      </c>
      <c r="D99" s="28">
        <v>1567</v>
      </c>
      <c r="E99" s="2" t="str">
        <f t="shared" si="4"/>
        <v>Same</v>
      </c>
      <c r="F99" s="6" t="s">
        <v>1872</v>
      </c>
      <c r="G99" s="3">
        <v>27.5</v>
      </c>
      <c r="H99" s="2" t="s">
        <v>101</v>
      </c>
      <c r="I99" s="4">
        <f>[1]Sheet1!I99</f>
        <v>18</v>
      </c>
      <c r="J99" s="3" t="str">
        <f t="shared" si="3"/>
        <v>1567_A1C1.webp</v>
      </c>
      <c r="K99" s="5">
        <f>Sheet4!E99</f>
        <v>12</v>
      </c>
      <c r="L99" s="5"/>
      <c r="M99" s="4"/>
    </row>
    <row r="100" spans="1:13" x14ac:dyDescent="0.25">
      <c r="A100" t="s">
        <v>2514</v>
      </c>
      <c r="B100" t="s">
        <v>2515</v>
      </c>
      <c r="C100" s="25">
        <v>1685</v>
      </c>
      <c r="D100" s="28">
        <v>1685</v>
      </c>
      <c r="E100" s="2" t="str">
        <f t="shared" si="4"/>
        <v>Same</v>
      </c>
      <c r="F100" s="6" t="s">
        <v>1874</v>
      </c>
      <c r="G100" s="3">
        <v>21.5</v>
      </c>
      <c r="H100" s="2" t="s">
        <v>102</v>
      </c>
      <c r="I100" s="4">
        <f>[1]Sheet1!I100</f>
        <v>591</v>
      </c>
      <c r="J100" s="3" t="str">
        <f t="shared" si="3"/>
        <v>1685_A1C1.webp</v>
      </c>
      <c r="K100" s="5">
        <f>Sheet4!E100</f>
        <v>12</v>
      </c>
      <c r="L100" s="5"/>
      <c r="M100" s="4"/>
    </row>
    <row r="101" spans="1:13" x14ac:dyDescent="0.25">
      <c r="A101" t="s">
        <v>2514</v>
      </c>
      <c r="B101" t="s">
        <v>2515</v>
      </c>
      <c r="C101" s="25">
        <v>1686</v>
      </c>
      <c r="D101" s="28">
        <v>1686</v>
      </c>
      <c r="E101" s="2" t="str">
        <f t="shared" si="4"/>
        <v>Same</v>
      </c>
      <c r="F101" s="6" t="s">
        <v>1874</v>
      </c>
      <c r="G101" s="3">
        <v>21.5</v>
      </c>
      <c r="H101" s="2" t="s">
        <v>103</v>
      </c>
      <c r="I101" s="4">
        <f>[1]Sheet1!I101</f>
        <v>97</v>
      </c>
      <c r="J101" s="3" t="str">
        <f t="shared" si="3"/>
        <v>1686_A1C1.webp</v>
      </c>
      <c r="K101" s="5">
        <f>Sheet4!E101</f>
        <v>12</v>
      </c>
      <c r="L101" s="5"/>
      <c r="M101" s="4"/>
    </row>
    <row r="102" spans="1:13" x14ac:dyDescent="0.25">
      <c r="A102" t="s">
        <v>2518</v>
      </c>
      <c r="B102" t="s">
        <v>2519</v>
      </c>
      <c r="C102" s="25">
        <v>1980</v>
      </c>
      <c r="D102" s="28">
        <v>1980</v>
      </c>
      <c r="E102" s="2" t="str">
        <f t="shared" si="4"/>
        <v>Same</v>
      </c>
      <c r="F102" s="6" t="s">
        <v>1875</v>
      </c>
      <c r="G102">
        <v>22.95</v>
      </c>
      <c r="H102" s="2" t="s">
        <v>104</v>
      </c>
      <c r="I102" s="4">
        <f>[1]Sheet1!I102</f>
        <v>0</v>
      </c>
      <c r="J102" s="3" t="str">
        <f t="shared" si="3"/>
        <v>1980_A1C1.webp</v>
      </c>
      <c r="K102" s="5">
        <f>Sheet4!E102</f>
        <v>24</v>
      </c>
      <c r="L102" s="5"/>
      <c r="M102" s="4"/>
    </row>
    <row r="103" spans="1:13" x14ac:dyDescent="0.25">
      <c r="A103" t="s">
        <v>2518</v>
      </c>
      <c r="B103" t="s">
        <v>2519</v>
      </c>
      <c r="C103" s="25">
        <v>1981</v>
      </c>
      <c r="D103" s="28">
        <v>1981</v>
      </c>
      <c r="E103" s="2" t="str">
        <f t="shared" si="4"/>
        <v>Same</v>
      </c>
      <c r="F103" s="6" t="s">
        <v>1875</v>
      </c>
      <c r="G103">
        <v>22.95</v>
      </c>
      <c r="H103" s="2" t="s">
        <v>105</v>
      </c>
      <c r="I103" s="4">
        <f>[1]Sheet1!I103</f>
        <v>44</v>
      </c>
      <c r="J103" s="3" t="str">
        <f t="shared" si="3"/>
        <v>1981_A1C1.webp</v>
      </c>
      <c r="K103" s="5">
        <f>Sheet4!E103</f>
        <v>24</v>
      </c>
      <c r="L103" s="5"/>
      <c r="M103" s="4"/>
    </row>
    <row r="104" spans="1:13" x14ac:dyDescent="0.25">
      <c r="A104" t="s">
        <v>2518</v>
      </c>
      <c r="B104" t="s">
        <v>2519</v>
      </c>
      <c r="C104" s="25">
        <v>1982</v>
      </c>
      <c r="D104" s="28">
        <v>1982</v>
      </c>
      <c r="E104" s="2" t="str">
        <f t="shared" si="4"/>
        <v>Same</v>
      </c>
      <c r="F104" s="6" t="s">
        <v>1875</v>
      </c>
      <c r="G104">
        <v>22.95</v>
      </c>
      <c r="H104" s="2" t="s">
        <v>106</v>
      </c>
      <c r="I104" s="4">
        <f>[1]Sheet1!I104</f>
        <v>156</v>
      </c>
      <c r="J104" s="3" t="str">
        <f t="shared" si="3"/>
        <v>1982_A1C1.webp</v>
      </c>
      <c r="K104" s="5">
        <f>Sheet4!E104</f>
        <v>24</v>
      </c>
      <c r="L104" s="5"/>
      <c r="M104" s="4"/>
    </row>
    <row r="105" spans="1:13" x14ac:dyDescent="0.25">
      <c r="A105" t="s">
        <v>2518</v>
      </c>
      <c r="B105" t="s">
        <v>2519</v>
      </c>
      <c r="C105" s="25">
        <v>1983</v>
      </c>
      <c r="D105" s="28">
        <v>1983</v>
      </c>
      <c r="E105" s="2" t="str">
        <f t="shared" si="4"/>
        <v>Same</v>
      </c>
      <c r="F105" s="6" t="s">
        <v>1875</v>
      </c>
      <c r="G105">
        <v>22.95</v>
      </c>
      <c r="H105" s="2" t="s">
        <v>107</v>
      </c>
      <c r="I105" s="4">
        <f>[1]Sheet1!I105</f>
        <v>155</v>
      </c>
      <c r="J105" s="3" t="str">
        <f t="shared" si="3"/>
        <v>1983_A1C1.webp</v>
      </c>
      <c r="K105" s="5">
        <f>Sheet4!E105</f>
        <v>24</v>
      </c>
      <c r="L105" s="5"/>
      <c r="M105" s="4"/>
    </row>
    <row r="106" spans="1:13" x14ac:dyDescent="0.25">
      <c r="A106" t="s">
        <v>2518</v>
      </c>
      <c r="B106" t="s">
        <v>2519</v>
      </c>
      <c r="C106" s="25">
        <v>1984</v>
      </c>
      <c r="D106" s="28">
        <v>1984</v>
      </c>
      <c r="E106" s="2" t="str">
        <f t="shared" si="4"/>
        <v>Same</v>
      </c>
      <c r="F106" s="6" t="s">
        <v>1875</v>
      </c>
      <c r="G106">
        <v>22.95</v>
      </c>
      <c r="H106" s="2" t="s">
        <v>108</v>
      </c>
      <c r="I106" s="4">
        <f>[1]Sheet1!I106</f>
        <v>37</v>
      </c>
      <c r="J106" s="3" t="str">
        <f t="shared" si="3"/>
        <v>1984_A1C1.webp</v>
      </c>
      <c r="K106" s="5">
        <f>Sheet4!E106</f>
        <v>24</v>
      </c>
      <c r="L106" s="5"/>
      <c r="M106" s="4"/>
    </row>
    <row r="107" spans="1:13" x14ac:dyDescent="0.25">
      <c r="A107" t="s">
        <v>2518</v>
      </c>
      <c r="B107" t="s">
        <v>2519</v>
      </c>
      <c r="C107" s="25">
        <v>1986</v>
      </c>
      <c r="D107" s="28">
        <v>1986</v>
      </c>
      <c r="E107" s="2" t="str">
        <f t="shared" si="4"/>
        <v>Same</v>
      </c>
      <c r="F107" s="6" t="s">
        <v>1875</v>
      </c>
      <c r="G107">
        <v>22.95</v>
      </c>
      <c r="H107" s="2" t="s">
        <v>109</v>
      </c>
      <c r="I107" s="4">
        <f>[1]Sheet1!I107</f>
        <v>66</v>
      </c>
      <c r="J107" s="3" t="str">
        <f t="shared" si="3"/>
        <v>1986_A1C1.webp</v>
      </c>
      <c r="K107" s="5">
        <f>Sheet4!E107</f>
        <v>24</v>
      </c>
      <c r="L107" s="5"/>
      <c r="M107" s="4"/>
    </row>
    <row r="108" spans="1:13" x14ac:dyDescent="0.25">
      <c r="A108" t="s">
        <v>2518</v>
      </c>
      <c r="B108" t="s">
        <v>2526</v>
      </c>
      <c r="C108" s="25">
        <v>2001</v>
      </c>
      <c r="D108" s="28">
        <v>2001</v>
      </c>
      <c r="E108" s="2" t="str">
        <f t="shared" si="4"/>
        <v>Same</v>
      </c>
      <c r="F108" s="6" t="s">
        <v>1876</v>
      </c>
      <c r="G108" s="3">
        <v>34.950000000000003</v>
      </c>
      <c r="H108" s="2" t="s">
        <v>110</v>
      </c>
      <c r="I108" s="4">
        <f>[1]Sheet1!I108</f>
        <v>287920</v>
      </c>
      <c r="J108" s="3" t="str">
        <f t="shared" si="3"/>
        <v>2001_A1C1.webp</v>
      </c>
      <c r="K108" s="5">
        <f>Sheet4!E108</f>
        <v>24</v>
      </c>
      <c r="L108" s="5"/>
      <c r="M108" s="4"/>
    </row>
    <row r="109" spans="1:13" x14ac:dyDescent="0.25">
      <c r="A109" t="s">
        <v>2518</v>
      </c>
      <c r="B109" t="s">
        <v>2531</v>
      </c>
      <c r="C109" s="25">
        <v>2002</v>
      </c>
      <c r="D109" s="28">
        <v>2002</v>
      </c>
      <c r="E109" s="2" t="str">
        <f t="shared" si="4"/>
        <v>Same</v>
      </c>
      <c r="F109" s="6" t="s">
        <v>1876</v>
      </c>
      <c r="G109" s="3">
        <v>34.950000000000003</v>
      </c>
      <c r="H109" s="2" t="s">
        <v>111</v>
      </c>
      <c r="I109" s="4">
        <f>[1]Sheet1!I109</f>
        <v>34869</v>
      </c>
      <c r="J109" s="3" t="str">
        <f t="shared" si="3"/>
        <v>2002_A1C1.webp</v>
      </c>
      <c r="K109" s="5">
        <f>Sheet4!E109</f>
        <v>24</v>
      </c>
      <c r="L109" s="5"/>
      <c r="M109" s="4"/>
    </row>
    <row r="110" spans="1:13" x14ac:dyDescent="0.25">
      <c r="A110" t="s">
        <v>2518</v>
      </c>
      <c r="B110" t="s">
        <v>2533</v>
      </c>
      <c r="C110" s="25">
        <v>2003</v>
      </c>
      <c r="D110" s="28">
        <v>2003</v>
      </c>
      <c r="E110" s="2" t="str">
        <f t="shared" si="4"/>
        <v>Same</v>
      </c>
      <c r="F110" s="6" t="s">
        <v>1877</v>
      </c>
      <c r="G110" s="3">
        <v>33.25</v>
      </c>
      <c r="H110" s="2" t="s">
        <v>112</v>
      </c>
      <c r="I110" s="4">
        <f>[1]Sheet1!I110</f>
        <v>60463</v>
      </c>
      <c r="J110" s="3" t="str">
        <f t="shared" si="3"/>
        <v>2003_A1C1.webp</v>
      </c>
      <c r="K110" s="5">
        <f>Sheet4!E110</f>
        <v>12</v>
      </c>
      <c r="L110" s="5"/>
      <c r="M110" s="4"/>
    </row>
    <row r="111" spans="1:13" x14ac:dyDescent="0.25">
      <c r="A111" t="s">
        <v>2518</v>
      </c>
      <c r="B111" t="s">
        <v>2538</v>
      </c>
      <c r="C111" s="25">
        <v>2004</v>
      </c>
      <c r="D111" s="28">
        <v>2004</v>
      </c>
      <c r="E111" s="2" t="str">
        <f t="shared" si="4"/>
        <v>Same</v>
      </c>
      <c r="F111" s="6" t="s">
        <v>1878</v>
      </c>
      <c r="G111" s="3">
        <v>53.5</v>
      </c>
      <c r="H111" s="2" t="s">
        <v>113</v>
      </c>
      <c r="I111" s="4">
        <f>[1]Sheet1!I111</f>
        <v>36941</v>
      </c>
      <c r="J111" s="3" t="str">
        <f t="shared" si="3"/>
        <v>2004_A1C1.webp</v>
      </c>
      <c r="K111" s="5">
        <f>Sheet4!E111</f>
        <v>6</v>
      </c>
      <c r="L111" s="5"/>
      <c r="M111" s="4"/>
    </row>
    <row r="112" spans="1:13" x14ac:dyDescent="0.25">
      <c r="A112" t="s">
        <v>2518</v>
      </c>
      <c r="B112" t="s">
        <v>2526</v>
      </c>
      <c r="C112" s="25">
        <v>2005</v>
      </c>
      <c r="D112" s="28">
        <v>2005</v>
      </c>
      <c r="E112" s="2" t="str">
        <f t="shared" si="4"/>
        <v>Same</v>
      </c>
      <c r="F112" s="6" t="s">
        <v>1876</v>
      </c>
      <c r="G112" s="3">
        <v>49.5</v>
      </c>
      <c r="H112" s="2" t="s">
        <v>114</v>
      </c>
      <c r="I112" s="4">
        <f>[1]Sheet1!I112</f>
        <v>20732</v>
      </c>
      <c r="J112" s="3" t="str">
        <f t="shared" si="3"/>
        <v>2005_A1C1.webp</v>
      </c>
      <c r="K112" s="5">
        <f>Sheet4!E112</f>
        <v>24</v>
      </c>
      <c r="L112" s="5"/>
      <c r="M112" s="4"/>
    </row>
    <row r="113" spans="1:13" x14ac:dyDescent="0.25">
      <c r="A113" t="s">
        <v>2518</v>
      </c>
      <c r="B113" t="s">
        <v>2533</v>
      </c>
      <c r="C113" s="25">
        <v>2006</v>
      </c>
      <c r="D113" s="28">
        <v>2006</v>
      </c>
      <c r="E113" s="2" t="str">
        <f t="shared" si="4"/>
        <v>Same</v>
      </c>
      <c r="F113" s="6" t="s">
        <v>1879</v>
      </c>
      <c r="G113" s="3">
        <v>49.5</v>
      </c>
      <c r="H113" s="2" t="s">
        <v>115</v>
      </c>
      <c r="I113" s="4">
        <f>[1]Sheet1!I113</f>
        <v>5047</v>
      </c>
      <c r="J113" s="3" t="str">
        <f t="shared" si="3"/>
        <v>2006_A1C1.webp</v>
      </c>
      <c r="K113" s="5">
        <f>Sheet4!E113</f>
        <v>12</v>
      </c>
      <c r="L113" s="5"/>
      <c r="M113" s="4"/>
    </row>
    <row r="114" spans="1:13" x14ac:dyDescent="0.25">
      <c r="A114" t="s">
        <v>2518</v>
      </c>
      <c r="B114" t="s">
        <v>2548</v>
      </c>
      <c r="C114" s="25">
        <v>2007</v>
      </c>
      <c r="D114" s="28">
        <v>2007</v>
      </c>
      <c r="E114" s="2" t="str">
        <f t="shared" si="4"/>
        <v>Same</v>
      </c>
      <c r="F114" s="6" t="s">
        <v>1876</v>
      </c>
      <c r="G114" s="3">
        <v>768.9</v>
      </c>
      <c r="H114" s="2" t="s">
        <v>116</v>
      </c>
      <c r="I114" s="4">
        <f>[1]Sheet1!I114</f>
        <v>317</v>
      </c>
      <c r="J114" s="3" t="str">
        <f t="shared" si="3"/>
        <v>2007_A1C1.webp</v>
      </c>
      <c r="K114" s="5">
        <f>Sheet4!E114</f>
        <v>528</v>
      </c>
      <c r="L114" s="5"/>
      <c r="M114" s="4"/>
    </row>
    <row r="115" spans="1:13" x14ac:dyDescent="0.25">
      <c r="A115" t="s">
        <v>2518</v>
      </c>
      <c r="B115" t="s">
        <v>2551</v>
      </c>
      <c r="C115" s="25">
        <v>2009</v>
      </c>
      <c r="D115" s="28">
        <v>2009</v>
      </c>
      <c r="E115" s="2" t="str">
        <f t="shared" si="4"/>
        <v>Same</v>
      </c>
      <c r="F115" s="6" t="s">
        <v>1876</v>
      </c>
      <c r="G115" s="3">
        <v>20.95</v>
      </c>
      <c r="H115" s="2" t="s">
        <v>117</v>
      </c>
      <c r="I115" s="4">
        <f>[1]Sheet1!I115</f>
        <v>12006</v>
      </c>
      <c r="J115" s="3" t="str">
        <f t="shared" si="3"/>
        <v>2009_A1C1.webp</v>
      </c>
      <c r="K115" s="5">
        <f>Sheet4!E115</f>
        <v>12</v>
      </c>
      <c r="L115" s="5"/>
      <c r="M115" s="4"/>
    </row>
    <row r="116" spans="1:13" x14ac:dyDescent="0.25">
      <c r="A116" t="s">
        <v>2518</v>
      </c>
      <c r="B116" t="s">
        <v>2526</v>
      </c>
      <c r="C116" s="25">
        <v>2010</v>
      </c>
      <c r="D116" s="28">
        <v>2010</v>
      </c>
      <c r="E116" s="2" t="str">
        <f t="shared" si="4"/>
        <v>Same</v>
      </c>
      <c r="F116" s="6" t="s">
        <v>1876</v>
      </c>
      <c r="G116" s="3">
        <v>39.5</v>
      </c>
      <c r="H116" s="2" t="s">
        <v>118</v>
      </c>
      <c r="I116" s="4">
        <f>[1]Sheet1!I116</f>
        <v>0</v>
      </c>
      <c r="J116" s="3" t="str">
        <f t="shared" si="3"/>
        <v>2010_A1C1.webp</v>
      </c>
      <c r="K116" s="5">
        <f>Sheet4!E116</f>
        <v>24</v>
      </c>
      <c r="L116" s="5"/>
      <c r="M116" s="4"/>
    </row>
    <row r="117" spans="1:13" x14ac:dyDescent="0.25">
      <c r="A117" t="s">
        <v>2518</v>
      </c>
      <c r="B117" t="s">
        <v>2526</v>
      </c>
      <c r="C117" s="25">
        <v>2021</v>
      </c>
      <c r="D117" s="28">
        <v>2021</v>
      </c>
      <c r="E117" s="2" t="str">
        <f t="shared" si="4"/>
        <v>Same</v>
      </c>
      <c r="F117" s="6" t="s">
        <v>1880</v>
      </c>
      <c r="G117" s="3">
        <v>28.95</v>
      </c>
      <c r="H117" s="2" t="s">
        <v>119</v>
      </c>
      <c r="I117" s="4">
        <f>[1]Sheet1!I117</f>
        <v>4633</v>
      </c>
      <c r="J117" s="3" t="str">
        <f t="shared" si="3"/>
        <v>2021_A1C1.webp</v>
      </c>
      <c r="K117" s="5">
        <f>Sheet4!E117</f>
        <v>24</v>
      </c>
      <c r="L117" s="5"/>
      <c r="M117" s="4"/>
    </row>
    <row r="118" spans="1:13" x14ac:dyDescent="0.25">
      <c r="A118" t="s">
        <v>2518</v>
      </c>
      <c r="B118" t="s">
        <v>2533</v>
      </c>
      <c r="C118" s="25">
        <v>2022</v>
      </c>
      <c r="D118" s="28">
        <v>2022</v>
      </c>
      <c r="E118" s="2" t="str">
        <f t="shared" si="4"/>
        <v>Same</v>
      </c>
      <c r="F118" s="6" t="s">
        <v>1877</v>
      </c>
      <c r="G118" s="3">
        <v>27.25</v>
      </c>
      <c r="H118" s="2" t="s">
        <v>120</v>
      </c>
      <c r="I118" s="4">
        <f>[1]Sheet1!I118</f>
        <v>1013</v>
      </c>
      <c r="J118" s="3" t="str">
        <f t="shared" si="3"/>
        <v>2022_A1C1.webp</v>
      </c>
      <c r="K118" s="5">
        <f>Sheet4!E118</f>
        <v>12</v>
      </c>
      <c r="L118" s="5"/>
      <c r="M118" s="4"/>
    </row>
    <row r="119" spans="1:13" x14ac:dyDescent="0.25">
      <c r="A119" t="s">
        <v>2518</v>
      </c>
      <c r="B119" t="s">
        <v>2526</v>
      </c>
      <c r="C119" s="25">
        <v>2023</v>
      </c>
      <c r="D119" s="28">
        <v>2023</v>
      </c>
      <c r="E119" s="2" t="str">
        <f t="shared" si="4"/>
        <v>Same</v>
      </c>
      <c r="F119" s="6" t="s">
        <v>1876</v>
      </c>
      <c r="G119" s="3">
        <v>39.5</v>
      </c>
      <c r="H119" s="2" t="s">
        <v>121</v>
      </c>
      <c r="I119" s="4">
        <f>[1]Sheet1!I119</f>
        <v>124</v>
      </c>
      <c r="J119" s="3" t="str">
        <f t="shared" si="3"/>
        <v>2023_A1C1.webp</v>
      </c>
      <c r="K119" s="5">
        <f>Sheet4!E119</f>
        <v>24</v>
      </c>
      <c r="L119" s="5"/>
      <c r="M119" s="4"/>
    </row>
    <row r="120" spans="1:13" x14ac:dyDescent="0.25">
      <c r="A120" t="s">
        <v>2518</v>
      </c>
      <c r="B120" t="s">
        <v>2526</v>
      </c>
      <c r="C120" s="25">
        <v>2025</v>
      </c>
      <c r="D120" s="28">
        <v>2025</v>
      </c>
      <c r="E120" s="2" t="str">
        <f t="shared" si="4"/>
        <v>Same</v>
      </c>
      <c r="F120" s="6" t="s">
        <v>1880</v>
      </c>
      <c r="G120" s="3">
        <v>28.95</v>
      </c>
      <c r="H120" s="2" t="s">
        <v>122</v>
      </c>
      <c r="I120" s="4">
        <f>[1]Sheet1!I120</f>
        <v>1545</v>
      </c>
      <c r="J120" s="3" t="str">
        <f t="shared" si="3"/>
        <v>2025_A1C1.webp</v>
      </c>
      <c r="K120" s="5">
        <f>Sheet4!E120</f>
        <v>24</v>
      </c>
      <c r="L120" s="5"/>
      <c r="M120" s="4"/>
    </row>
    <row r="121" spans="1:13" x14ac:dyDescent="0.25">
      <c r="A121" t="s">
        <v>2518</v>
      </c>
      <c r="B121" t="s">
        <v>2533</v>
      </c>
      <c r="C121" s="25">
        <v>2026</v>
      </c>
      <c r="D121" s="28">
        <v>2026</v>
      </c>
      <c r="E121" s="2" t="str">
        <f t="shared" si="4"/>
        <v>Same</v>
      </c>
      <c r="F121" s="6" t="s">
        <v>1877</v>
      </c>
      <c r="G121" s="3">
        <v>27.25</v>
      </c>
      <c r="H121" s="2" t="s">
        <v>123</v>
      </c>
      <c r="I121" s="4">
        <f>[1]Sheet1!I121</f>
        <v>119</v>
      </c>
      <c r="J121" s="3" t="str">
        <f t="shared" si="3"/>
        <v>2026_A1C1.webp</v>
      </c>
      <c r="K121" s="5">
        <f>Sheet4!E121</f>
        <v>12</v>
      </c>
      <c r="L121" s="5"/>
      <c r="M121" s="4"/>
    </row>
    <row r="122" spans="1:13" x14ac:dyDescent="0.25">
      <c r="A122" t="s">
        <v>2518</v>
      </c>
      <c r="B122" t="s">
        <v>2566</v>
      </c>
      <c r="C122" s="25">
        <v>2043</v>
      </c>
      <c r="D122" s="28">
        <v>2043</v>
      </c>
      <c r="E122" s="2" t="str">
        <f t="shared" si="4"/>
        <v>Same</v>
      </c>
      <c r="F122" s="6" t="s">
        <v>1876</v>
      </c>
      <c r="G122" s="3">
        <v>33.15</v>
      </c>
      <c r="H122" s="2" t="s">
        <v>124</v>
      </c>
      <c r="I122" s="4">
        <f>[1]Sheet1!I122</f>
        <v>1155</v>
      </c>
      <c r="J122" s="3" t="str">
        <f t="shared" si="3"/>
        <v>2043_A1C1.webp</v>
      </c>
      <c r="K122" s="5">
        <f>Sheet4!E122</f>
        <v>24</v>
      </c>
      <c r="L122" s="5"/>
      <c r="M122" s="4"/>
    </row>
    <row r="123" spans="1:13" x14ac:dyDescent="0.25">
      <c r="A123" t="s">
        <v>2518</v>
      </c>
      <c r="B123" t="s">
        <v>2566</v>
      </c>
      <c r="C123" s="25">
        <v>2051</v>
      </c>
      <c r="D123" s="28">
        <v>2051</v>
      </c>
      <c r="E123" s="2" t="str">
        <f t="shared" si="4"/>
        <v>Same</v>
      </c>
      <c r="F123" s="6" t="s">
        <v>1876</v>
      </c>
      <c r="G123" s="3">
        <v>33.15</v>
      </c>
      <c r="H123" s="2" t="s">
        <v>125</v>
      </c>
      <c r="I123" s="4">
        <f>[1]Sheet1!I123</f>
        <v>1729</v>
      </c>
      <c r="J123" s="3" t="str">
        <f t="shared" si="3"/>
        <v>2051_A1C1.webp</v>
      </c>
      <c r="K123" s="5">
        <f>Sheet4!E123</f>
        <v>24</v>
      </c>
      <c r="L123" s="5"/>
      <c r="M123" s="4"/>
    </row>
    <row r="124" spans="1:13" x14ac:dyDescent="0.25">
      <c r="A124" t="s">
        <v>2518</v>
      </c>
      <c r="B124" t="s">
        <v>2566</v>
      </c>
      <c r="C124" s="25">
        <v>2052</v>
      </c>
      <c r="D124" s="28">
        <v>2052</v>
      </c>
      <c r="E124" s="2" t="str">
        <f t="shared" si="4"/>
        <v>Same</v>
      </c>
      <c r="F124" s="6" t="s">
        <v>1876</v>
      </c>
      <c r="G124" s="3">
        <v>33.15</v>
      </c>
      <c r="H124" s="2" t="s">
        <v>126</v>
      </c>
      <c r="I124" s="4">
        <f>[1]Sheet1!I124</f>
        <v>2529</v>
      </c>
      <c r="J124" s="3" t="str">
        <f t="shared" si="3"/>
        <v>2052_A1C1.webp</v>
      </c>
      <c r="K124" s="5">
        <f>Sheet4!E124</f>
        <v>24</v>
      </c>
      <c r="L124" s="5"/>
      <c r="M124" s="4"/>
    </row>
    <row r="125" spans="1:13" x14ac:dyDescent="0.25">
      <c r="A125" t="s">
        <v>2518</v>
      </c>
      <c r="B125" t="s">
        <v>2566</v>
      </c>
      <c r="C125" s="25">
        <v>2054</v>
      </c>
      <c r="D125" s="28">
        <v>2054</v>
      </c>
      <c r="E125" s="2" t="str">
        <f t="shared" si="4"/>
        <v>Same</v>
      </c>
      <c r="F125" s="6" t="s">
        <v>1876</v>
      </c>
      <c r="G125" s="3">
        <v>44.95</v>
      </c>
      <c r="H125" s="2" t="s">
        <v>127</v>
      </c>
      <c r="I125" s="4">
        <f>[1]Sheet1!I125</f>
        <v>1690</v>
      </c>
      <c r="J125" s="3" t="str">
        <f t="shared" si="3"/>
        <v>2054_A1C1.webp</v>
      </c>
      <c r="K125" s="5">
        <f>Sheet4!E125</f>
        <v>24</v>
      </c>
      <c r="L125" s="5"/>
      <c r="M125" s="4"/>
    </row>
    <row r="126" spans="1:13" x14ac:dyDescent="0.25">
      <c r="A126" t="s">
        <v>2518</v>
      </c>
      <c r="B126" t="s">
        <v>2566</v>
      </c>
      <c r="C126" s="25">
        <v>2055</v>
      </c>
      <c r="D126" s="28">
        <v>2055</v>
      </c>
      <c r="E126" s="2" t="str">
        <f t="shared" si="4"/>
        <v>Same</v>
      </c>
      <c r="F126" s="6" t="s">
        <v>1876</v>
      </c>
      <c r="G126" s="3">
        <v>33.15</v>
      </c>
      <c r="H126" s="2" t="s">
        <v>128</v>
      </c>
      <c r="I126" s="4">
        <f>[1]Sheet1!I126</f>
        <v>2366</v>
      </c>
      <c r="J126" s="3" t="str">
        <f t="shared" si="3"/>
        <v>2055_A1C1.webp</v>
      </c>
      <c r="K126" s="5">
        <f>Sheet4!E126</f>
        <v>24</v>
      </c>
      <c r="L126" s="5"/>
      <c r="M126" s="4"/>
    </row>
    <row r="127" spans="1:13" x14ac:dyDescent="0.25">
      <c r="A127" t="s">
        <v>2518</v>
      </c>
      <c r="B127" t="s">
        <v>2566</v>
      </c>
      <c r="C127" s="25">
        <v>2059</v>
      </c>
      <c r="D127" s="28">
        <v>2059</v>
      </c>
      <c r="E127" s="2" t="str">
        <f t="shared" si="4"/>
        <v>Same</v>
      </c>
      <c r="F127" s="6" t="s">
        <v>1876</v>
      </c>
      <c r="G127" s="3">
        <v>33.15</v>
      </c>
      <c r="H127" s="2" t="s">
        <v>129</v>
      </c>
      <c r="I127" s="4">
        <f>[1]Sheet1!I127</f>
        <v>447</v>
      </c>
      <c r="J127" s="3" t="str">
        <f t="shared" si="3"/>
        <v>2059_A1C1.webp</v>
      </c>
      <c r="K127" s="5">
        <f>Sheet4!E127</f>
        <v>24</v>
      </c>
      <c r="L127" s="5"/>
      <c r="M127" s="4"/>
    </row>
    <row r="128" spans="1:13" x14ac:dyDescent="0.25">
      <c r="A128" t="s">
        <v>2518</v>
      </c>
      <c r="B128" t="s">
        <v>2566</v>
      </c>
      <c r="C128" s="25">
        <v>2062</v>
      </c>
      <c r="D128" s="28">
        <v>2062</v>
      </c>
      <c r="E128" s="2" t="str">
        <f t="shared" si="4"/>
        <v>Same</v>
      </c>
      <c r="F128" s="6" t="s">
        <v>1876</v>
      </c>
      <c r="G128" s="3">
        <v>33.15</v>
      </c>
      <c r="H128" s="2" t="s">
        <v>130</v>
      </c>
      <c r="I128" s="4">
        <f>[1]Sheet1!I128</f>
        <v>888</v>
      </c>
      <c r="J128" s="3" t="str">
        <f t="shared" si="3"/>
        <v>2062_A1C1.webp</v>
      </c>
      <c r="K128" s="5">
        <f>Sheet4!E128</f>
        <v>24</v>
      </c>
      <c r="L128" s="5"/>
      <c r="M128" s="4"/>
    </row>
    <row r="129" spans="1:13" x14ac:dyDescent="0.25">
      <c r="A129" t="s">
        <v>2518</v>
      </c>
      <c r="B129" t="s">
        <v>2566</v>
      </c>
      <c r="C129" s="25">
        <v>2063</v>
      </c>
      <c r="D129" s="28">
        <v>2063</v>
      </c>
      <c r="E129" s="2" t="str">
        <f t="shared" si="4"/>
        <v>Same</v>
      </c>
      <c r="F129" s="6" t="s">
        <v>1876</v>
      </c>
      <c r="G129" s="3">
        <v>33.15</v>
      </c>
      <c r="H129" s="2" t="s">
        <v>131</v>
      </c>
      <c r="I129" s="4">
        <f>[1]Sheet1!I129</f>
        <v>78</v>
      </c>
      <c r="J129" s="3" t="str">
        <f t="shared" si="3"/>
        <v>2063_A1C1.webp</v>
      </c>
      <c r="K129" s="5">
        <f>Sheet4!E129</f>
        <v>24</v>
      </c>
      <c r="L129" s="5"/>
      <c r="M129" s="4"/>
    </row>
    <row r="130" spans="1:13" x14ac:dyDescent="0.25">
      <c r="A130" t="s">
        <v>2518</v>
      </c>
      <c r="B130" t="s">
        <v>2566</v>
      </c>
      <c r="C130" s="25">
        <v>2067</v>
      </c>
      <c r="D130" s="28">
        <v>2067</v>
      </c>
      <c r="E130" s="2" t="str">
        <f t="shared" si="4"/>
        <v>Same</v>
      </c>
      <c r="F130" s="6" t="s">
        <v>1876</v>
      </c>
      <c r="G130" s="3">
        <v>33.15</v>
      </c>
      <c r="H130" s="2" t="s">
        <v>132</v>
      </c>
      <c r="I130" s="4">
        <f>[1]Sheet1!I130</f>
        <v>5324</v>
      </c>
      <c r="J130" s="3" t="str">
        <f t="shared" ref="J130:J193" si="5">C130 &amp; "_A1C1.webp"</f>
        <v>2067_A1C1.webp</v>
      </c>
      <c r="K130" s="5">
        <f>Sheet4!E130</f>
        <v>24</v>
      </c>
      <c r="L130" s="5"/>
      <c r="M130" s="4"/>
    </row>
    <row r="131" spans="1:13" x14ac:dyDescent="0.25">
      <c r="A131" t="s">
        <v>2518</v>
      </c>
      <c r="B131" t="s">
        <v>2566</v>
      </c>
      <c r="C131" s="25">
        <v>2071</v>
      </c>
      <c r="D131" s="28">
        <v>2071</v>
      </c>
      <c r="E131" s="2" t="str">
        <f t="shared" ref="E131:E197" si="6">IF(C131=D131, "Same","New")</f>
        <v>Same</v>
      </c>
      <c r="F131" s="6" t="s">
        <v>1876</v>
      </c>
      <c r="G131" s="3">
        <v>33.950000000000003</v>
      </c>
      <c r="H131" s="2" t="s">
        <v>133</v>
      </c>
      <c r="I131" s="4">
        <f>[1]Sheet1!I131</f>
        <v>855</v>
      </c>
      <c r="J131" s="3" t="str">
        <f t="shared" si="5"/>
        <v>2071_A1C1.webp</v>
      </c>
      <c r="K131" s="5">
        <f>Sheet4!E131</f>
        <v>24</v>
      </c>
      <c r="L131" s="5"/>
      <c r="M131" s="4"/>
    </row>
    <row r="132" spans="1:13" x14ac:dyDescent="0.25">
      <c r="A132" t="s">
        <v>2518</v>
      </c>
      <c r="B132" t="s">
        <v>2566</v>
      </c>
      <c r="C132" s="25">
        <v>2072</v>
      </c>
      <c r="D132" s="28">
        <v>2072</v>
      </c>
      <c r="E132" s="2" t="str">
        <f t="shared" si="6"/>
        <v>Same</v>
      </c>
      <c r="F132" s="6" t="s">
        <v>1876</v>
      </c>
      <c r="G132" s="3">
        <v>30.95</v>
      </c>
      <c r="H132" s="2" t="s">
        <v>134</v>
      </c>
      <c r="I132" s="4">
        <f>[1]Sheet1!I132</f>
        <v>144</v>
      </c>
      <c r="J132" s="3" t="str">
        <f t="shared" si="5"/>
        <v>2072_A1C1.webp</v>
      </c>
      <c r="K132" s="5">
        <f>Sheet4!E132</f>
        <v>24</v>
      </c>
      <c r="L132" s="5"/>
      <c r="M132" s="4"/>
    </row>
    <row r="133" spans="1:13" x14ac:dyDescent="0.25">
      <c r="A133" t="s">
        <v>2518</v>
      </c>
      <c r="B133" t="s">
        <v>2566</v>
      </c>
      <c r="C133" s="25">
        <v>2073</v>
      </c>
      <c r="D133" s="28">
        <v>2073</v>
      </c>
      <c r="E133" s="2" t="str">
        <f t="shared" si="6"/>
        <v>Same</v>
      </c>
      <c r="F133" s="6" t="s">
        <v>1876</v>
      </c>
      <c r="G133" s="3">
        <v>30.95</v>
      </c>
      <c r="H133" s="2" t="s">
        <v>135</v>
      </c>
      <c r="I133" s="4">
        <f>[1]Sheet1!I133</f>
        <v>172</v>
      </c>
      <c r="J133" s="3" t="str">
        <f t="shared" si="5"/>
        <v>2073_A1C1.webp</v>
      </c>
      <c r="K133" s="5">
        <f>Sheet4!E133</f>
        <v>24</v>
      </c>
      <c r="L133" s="5"/>
      <c r="M133" s="4"/>
    </row>
    <row r="134" spans="1:13" x14ac:dyDescent="0.25">
      <c r="A134" t="s">
        <v>2518</v>
      </c>
      <c r="B134" t="s">
        <v>2585</v>
      </c>
      <c r="C134" s="25">
        <v>2076</v>
      </c>
      <c r="D134" s="28">
        <v>2076</v>
      </c>
      <c r="E134" s="2" t="str">
        <f t="shared" si="6"/>
        <v>Same</v>
      </c>
      <c r="F134" s="6" t="s">
        <v>1877</v>
      </c>
      <c r="G134" s="3">
        <v>31.5</v>
      </c>
      <c r="H134" s="2" t="s">
        <v>136</v>
      </c>
      <c r="I134" s="4">
        <f>[1]Sheet1!I134</f>
        <v>1017</v>
      </c>
      <c r="J134" s="3" t="str">
        <f t="shared" si="5"/>
        <v>2076_A1C1.webp</v>
      </c>
      <c r="K134" s="5">
        <f>Sheet4!E134</f>
        <v>12</v>
      </c>
      <c r="L134" s="5"/>
      <c r="M134" s="4"/>
    </row>
    <row r="135" spans="1:13" x14ac:dyDescent="0.25">
      <c r="A135" t="s">
        <v>2518</v>
      </c>
      <c r="B135" t="s">
        <v>2585</v>
      </c>
      <c r="C135" s="25">
        <v>2077</v>
      </c>
      <c r="D135" s="28">
        <v>2077</v>
      </c>
      <c r="E135" s="2" t="str">
        <f t="shared" si="6"/>
        <v>Same</v>
      </c>
      <c r="F135" s="6" t="s">
        <v>1877</v>
      </c>
      <c r="G135" s="3">
        <v>31.5</v>
      </c>
      <c r="H135" s="2" t="s">
        <v>137</v>
      </c>
      <c r="I135" s="4">
        <f>[1]Sheet1!I135</f>
        <v>971</v>
      </c>
      <c r="J135" s="3" t="str">
        <f t="shared" si="5"/>
        <v>2077_A1C1.webp</v>
      </c>
      <c r="K135" s="5">
        <f>Sheet4!E135</f>
        <v>12</v>
      </c>
      <c r="L135" s="5"/>
      <c r="M135" s="4"/>
    </row>
    <row r="136" spans="1:13" x14ac:dyDescent="0.25">
      <c r="A136" t="s">
        <v>2518</v>
      </c>
      <c r="B136" t="s">
        <v>2585</v>
      </c>
      <c r="C136" s="25">
        <v>2078</v>
      </c>
      <c r="D136" s="28">
        <v>2078</v>
      </c>
      <c r="E136" s="2" t="str">
        <f t="shared" si="6"/>
        <v>Same</v>
      </c>
      <c r="F136" s="6" t="s">
        <v>1877</v>
      </c>
      <c r="G136" s="3">
        <v>31.5</v>
      </c>
      <c r="H136" s="2" t="s">
        <v>138</v>
      </c>
      <c r="I136" s="4">
        <f>[1]Sheet1!I136</f>
        <v>73</v>
      </c>
      <c r="J136" s="3" t="str">
        <f t="shared" si="5"/>
        <v>2078_A1C1.webp</v>
      </c>
      <c r="K136" s="5">
        <f>Sheet4!E136</f>
        <v>12</v>
      </c>
      <c r="L136" s="5"/>
      <c r="M136" s="4"/>
    </row>
    <row r="137" spans="1:13" x14ac:dyDescent="0.25">
      <c r="A137" t="s">
        <v>2518</v>
      </c>
      <c r="B137" t="s">
        <v>2585</v>
      </c>
      <c r="C137" s="25">
        <v>2079</v>
      </c>
      <c r="D137" s="28">
        <v>2079</v>
      </c>
      <c r="E137" s="2" t="str">
        <f t="shared" si="6"/>
        <v>Same</v>
      </c>
      <c r="F137" s="6" t="s">
        <v>1877</v>
      </c>
      <c r="G137" s="3">
        <v>31.5</v>
      </c>
      <c r="H137" s="2" t="s">
        <v>139</v>
      </c>
      <c r="I137" s="4">
        <f>[1]Sheet1!I137</f>
        <v>381</v>
      </c>
      <c r="J137" s="3" t="str">
        <f t="shared" si="5"/>
        <v>2079_A1C1.webp</v>
      </c>
      <c r="K137" s="5">
        <f>Sheet4!E137</f>
        <v>12</v>
      </c>
      <c r="L137" s="5"/>
      <c r="M137" s="4"/>
    </row>
    <row r="138" spans="1:13" x14ac:dyDescent="0.25">
      <c r="A138" t="s">
        <v>2518</v>
      </c>
      <c r="B138" t="s">
        <v>2585</v>
      </c>
      <c r="C138" s="25">
        <v>2080</v>
      </c>
      <c r="D138" s="28">
        <v>2080</v>
      </c>
      <c r="E138" s="2" t="str">
        <f t="shared" si="6"/>
        <v>Same</v>
      </c>
      <c r="F138" s="6" t="s">
        <v>1877</v>
      </c>
      <c r="G138" s="3">
        <v>31.5</v>
      </c>
      <c r="H138" s="2" t="s">
        <v>140</v>
      </c>
      <c r="I138" s="4">
        <f>[1]Sheet1!I138</f>
        <v>132</v>
      </c>
      <c r="J138" s="3" t="str">
        <f t="shared" si="5"/>
        <v>2080_A1C1.webp</v>
      </c>
      <c r="K138" s="5">
        <f>Sheet4!E138</f>
        <v>12</v>
      </c>
      <c r="L138" s="5"/>
      <c r="M138" s="4"/>
    </row>
    <row r="139" spans="1:13" x14ac:dyDescent="0.25">
      <c r="A139" t="s">
        <v>2518</v>
      </c>
      <c r="B139" t="s">
        <v>2585</v>
      </c>
      <c r="C139" s="25">
        <v>2081</v>
      </c>
      <c r="D139" s="28">
        <v>2081</v>
      </c>
      <c r="E139" s="2" t="str">
        <f t="shared" si="6"/>
        <v>Same</v>
      </c>
      <c r="F139" s="6" t="s">
        <v>1877</v>
      </c>
      <c r="G139" s="3">
        <v>31.5</v>
      </c>
      <c r="H139" s="2" t="s">
        <v>141</v>
      </c>
      <c r="I139" s="4">
        <f>[1]Sheet1!I139</f>
        <v>1523</v>
      </c>
      <c r="J139" s="3" t="str">
        <f t="shared" si="5"/>
        <v>2081_A1C1.webp</v>
      </c>
      <c r="K139" s="5">
        <f>Sheet4!E139</f>
        <v>12</v>
      </c>
      <c r="L139" s="5"/>
      <c r="M139" s="4"/>
    </row>
    <row r="140" spans="1:13" x14ac:dyDescent="0.25">
      <c r="A140" t="s">
        <v>2593</v>
      </c>
      <c r="B140" t="s">
        <v>2594</v>
      </c>
      <c r="C140" s="25">
        <v>2089</v>
      </c>
      <c r="D140" s="28">
        <v>2089</v>
      </c>
      <c r="E140" s="2" t="str">
        <f t="shared" si="6"/>
        <v>Same</v>
      </c>
      <c r="F140" s="6" t="s">
        <v>1881</v>
      </c>
      <c r="G140" s="3">
        <v>34.5</v>
      </c>
      <c r="H140" s="2" t="s">
        <v>142</v>
      </c>
      <c r="I140" s="4">
        <f>[1]Sheet1!I140</f>
        <v>0</v>
      </c>
      <c r="J140" s="3" t="str">
        <f t="shared" si="5"/>
        <v>2089_A1C1.webp</v>
      </c>
      <c r="K140" s="5">
        <f>Sheet4!E140</f>
        <v>12</v>
      </c>
      <c r="L140" s="5"/>
      <c r="M140" s="4"/>
    </row>
    <row r="141" spans="1:13" x14ac:dyDescent="0.25">
      <c r="A141" t="s">
        <v>2593</v>
      </c>
      <c r="B141" t="s">
        <v>2594</v>
      </c>
      <c r="C141" s="25">
        <v>2090</v>
      </c>
      <c r="D141" s="28">
        <v>2090</v>
      </c>
      <c r="E141" s="2" t="str">
        <f t="shared" si="6"/>
        <v>Same</v>
      </c>
      <c r="F141" s="6" t="s">
        <v>1869</v>
      </c>
      <c r="G141" s="3">
        <v>33.5</v>
      </c>
      <c r="H141" s="2" t="s">
        <v>143</v>
      </c>
      <c r="I141" s="4">
        <f>[1]Sheet1!I141</f>
        <v>535</v>
      </c>
      <c r="J141" s="3" t="str">
        <f t="shared" si="5"/>
        <v>2090_A1C1.webp</v>
      </c>
      <c r="K141" s="5">
        <f>Sheet4!E141</f>
        <v>24</v>
      </c>
      <c r="L141" s="5"/>
      <c r="M141" s="4"/>
    </row>
    <row r="142" spans="1:13" x14ac:dyDescent="0.25">
      <c r="A142" t="s">
        <v>2593</v>
      </c>
      <c r="B142" t="s">
        <v>2594</v>
      </c>
      <c r="C142" s="25">
        <v>2091</v>
      </c>
      <c r="D142" s="28">
        <v>2091</v>
      </c>
      <c r="E142" s="2" t="str">
        <f t="shared" si="6"/>
        <v>Same</v>
      </c>
      <c r="F142" s="6" t="s">
        <v>1882</v>
      </c>
      <c r="G142" s="3">
        <v>19.5</v>
      </c>
      <c r="H142" s="2" t="s">
        <v>144</v>
      </c>
      <c r="I142" s="4">
        <f>[1]Sheet1!I142</f>
        <v>247</v>
      </c>
      <c r="J142" s="3" t="str">
        <f t="shared" si="5"/>
        <v>2091_A1C1.webp</v>
      </c>
      <c r="K142" s="5">
        <f>Sheet4!E142</f>
        <v>12</v>
      </c>
      <c r="L142" s="5"/>
      <c r="M142" s="4"/>
    </row>
    <row r="143" spans="1:13" x14ac:dyDescent="0.25">
      <c r="A143" t="s">
        <v>2604</v>
      </c>
      <c r="B143" t="s">
        <v>2605</v>
      </c>
      <c r="C143" s="25">
        <v>2101</v>
      </c>
      <c r="D143" s="28">
        <v>2101</v>
      </c>
      <c r="E143" s="2" t="str">
        <f t="shared" si="6"/>
        <v>Same</v>
      </c>
      <c r="F143" s="6" t="s">
        <v>1841</v>
      </c>
      <c r="G143" s="3">
        <v>37.950000000000003</v>
      </c>
      <c r="H143" s="2" t="s">
        <v>145</v>
      </c>
      <c r="I143" s="4">
        <f>[1]Sheet1!I143</f>
        <v>1121</v>
      </c>
      <c r="J143" s="3" t="str">
        <f t="shared" si="5"/>
        <v>2101_A1C1.webp</v>
      </c>
      <c r="K143" s="5">
        <f>Sheet4!E143</f>
        <v>12</v>
      </c>
      <c r="L143" s="5"/>
      <c r="M143" s="4"/>
    </row>
    <row r="144" spans="1:13" x14ac:dyDescent="0.25">
      <c r="A144" t="s">
        <v>2604</v>
      </c>
      <c r="B144" t="s">
        <v>2605</v>
      </c>
      <c r="C144" s="25">
        <v>2105</v>
      </c>
      <c r="D144" s="28">
        <v>2105</v>
      </c>
      <c r="E144" s="2" t="str">
        <f t="shared" si="6"/>
        <v>Same</v>
      </c>
      <c r="F144" s="6" t="s">
        <v>1841</v>
      </c>
      <c r="G144" s="3">
        <v>37.950000000000003</v>
      </c>
      <c r="H144" s="2" t="s">
        <v>146</v>
      </c>
      <c r="I144" s="4">
        <f>[1]Sheet1!I144</f>
        <v>802</v>
      </c>
      <c r="J144" s="3" t="str">
        <f t="shared" si="5"/>
        <v>2105_A1C1.webp</v>
      </c>
      <c r="K144" s="5">
        <f>Sheet4!E144</f>
        <v>12</v>
      </c>
      <c r="L144" s="5"/>
      <c r="M144" s="4"/>
    </row>
    <row r="145" spans="1:13" x14ac:dyDescent="0.25">
      <c r="A145" t="s">
        <v>2604</v>
      </c>
      <c r="B145" t="s">
        <v>2605</v>
      </c>
      <c r="C145" s="25">
        <v>2106</v>
      </c>
      <c r="D145" s="28">
        <v>2106</v>
      </c>
      <c r="E145" s="2" t="str">
        <f t="shared" si="6"/>
        <v>Same</v>
      </c>
      <c r="F145" s="6" t="s">
        <v>1841</v>
      </c>
      <c r="G145" s="3">
        <v>37.950000000000003</v>
      </c>
      <c r="H145" s="2" t="s">
        <v>147</v>
      </c>
      <c r="I145" s="4">
        <f>[1]Sheet1!I145</f>
        <v>698</v>
      </c>
      <c r="J145" s="3" t="str">
        <f t="shared" si="5"/>
        <v>2106_A1C1.webp</v>
      </c>
      <c r="K145" s="5">
        <f>Sheet4!E145</f>
        <v>12</v>
      </c>
      <c r="L145" s="5"/>
      <c r="M145" s="4"/>
    </row>
    <row r="146" spans="1:13" x14ac:dyDescent="0.25">
      <c r="A146" t="s">
        <v>2618</v>
      </c>
      <c r="B146" t="s">
        <v>2619</v>
      </c>
      <c r="C146" s="25">
        <v>2131</v>
      </c>
      <c r="D146" s="28">
        <v>2131</v>
      </c>
      <c r="E146" s="2" t="str">
        <f t="shared" si="6"/>
        <v>Same</v>
      </c>
      <c r="F146" s="6" t="s">
        <v>1876</v>
      </c>
      <c r="G146" s="3">
        <v>41.5</v>
      </c>
      <c r="H146" s="2" t="s">
        <v>148</v>
      </c>
      <c r="I146" s="4">
        <f>[1]Sheet1!I146</f>
        <v>0</v>
      </c>
      <c r="J146" s="3" t="str">
        <f t="shared" si="5"/>
        <v>2131_A1C1.webp</v>
      </c>
      <c r="K146" s="5">
        <f>Sheet4!E146</f>
        <v>24</v>
      </c>
      <c r="L146" s="5"/>
      <c r="M146" s="4"/>
    </row>
    <row r="147" spans="1:13" x14ac:dyDescent="0.25">
      <c r="A147" t="s">
        <v>2622</v>
      </c>
      <c r="B147" t="s">
        <v>2623</v>
      </c>
      <c r="C147" s="25">
        <v>2132</v>
      </c>
      <c r="D147" s="28">
        <v>2132</v>
      </c>
      <c r="E147" s="2" t="str">
        <f t="shared" si="6"/>
        <v>Same</v>
      </c>
      <c r="F147" s="6" t="s">
        <v>1883</v>
      </c>
      <c r="G147" s="3">
        <v>49.95</v>
      </c>
      <c r="H147" s="2" t="s">
        <v>149</v>
      </c>
      <c r="I147" s="4">
        <f>[1]Sheet1!I147</f>
        <v>0</v>
      </c>
      <c r="J147" s="3" t="str">
        <f t="shared" si="5"/>
        <v>2132_A1C1.webp</v>
      </c>
      <c r="K147" s="5">
        <f>Sheet4!E147</f>
        <v>24</v>
      </c>
      <c r="L147" s="5" t="s">
        <v>5278</v>
      </c>
      <c r="M147" s="4"/>
    </row>
    <row r="148" spans="1:13" x14ac:dyDescent="0.25">
      <c r="A148" t="s">
        <v>2618</v>
      </c>
      <c r="B148" t="s">
        <v>2619</v>
      </c>
      <c r="C148" s="25">
        <v>2133</v>
      </c>
      <c r="D148" s="28">
        <v>2133</v>
      </c>
      <c r="E148" s="2" t="str">
        <f t="shared" si="6"/>
        <v>Same</v>
      </c>
      <c r="F148" s="6" t="s">
        <v>1876</v>
      </c>
      <c r="G148" s="3">
        <v>77.95</v>
      </c>
      <c r="H148" s="2" t="s">
        <v>150</v>
      </c>
      <c r="I148" s="4">
        <f>[1]Sheet1!I148</f>
        <v>41</v>
      </c>
      <c r="J148" s="3" t="str">
        <f t="shared" si="5"/>
        <v>2133_A1C1.webp</v>
      </c>
      <c r="K148" s="5">
        <f>Sheet4!E148</f>
        <v>24</v>
      </c>
      <c r="L148" s="5"/>
      <c r="M148" s="4"/>
    </row>
    <row r="149" spans="1:13" x14ac:dyDescent="0.25">
      <c r="A149" t="s">
        <v>2618</v>
      </c>
      <c r="B149" t="s">
        <v>2619</v>
      </c>
      <c r="C149" s="25">
        <v>2138</v>
      </c>
      <c r="D149" s="28">
        <v>2138</v>
      </c>
      <c r="E149" s="2" t="str">
        <f t="shared" si="6"/>
        <v>Same</v>
      </c>
      <c r="F149" s="6" t="s">
        <v>1876</v>
      </c>
      <c r="G149" s="3">
        <v>77.95</v>
      </c>
      <c r="H149" s="2" t="s">
        <v>151</v>
      </c>
      <c r="I149" s="4">
        <f>[1]Sheet1!I149</f>
        <v>8</v>
      </c>
      <c r="J149" s="3" t="str">
        <f t="shared" si="5"/>
        <v>2138_A1C1.webp</v>
      </c>
      <c r="K149" s="5">
        <f>Sheet4!E149</f>
        <v>24</v>
      </c>
      <c r="L149" s="5"/>
      <c r="M149" s="4"/>
    </row>
    <row r="150" spans="1:13" x14ac:dyDescent="0.25">
      <c r="A150" t="s">
        <v>2633</v>
      </c>
      <c r="B150" t="s">
        <v>2634</v>
      </c>
      <c r="C150" s="25">
        <v>2145</v>
      </c>
      <c r="D150" s="28">
        <v>2145</v>
      </c>
      <c r="E150" s="2" t="str">
        <f t="shared" si="6"/>
        <v>Same</v>
      </c>
      <c r="F150" s="6" t="s">
        <v>1884</v>
      </c>
      <c r="G150" s="3">
        <v>42.95</v>
      </c>
      <c r="H150" s="2" t="s">
        <v>152</v>
      </c>
      <c r="I150" s="4">
        <f>[1]Sheet1!I150</f>
        <v>6</v>
      </c>
      <c r="J150" s="3" t="str">
        <f t="shared" si="5"/>
        <v>2145_A1C1.webp</v>
      </c>
      <c r="K150" s="5">
        <f>Sheet4!E150</f>
        <v>12</v>
      </c>
      <c r="L150" s="5"/>
      <c r="M150" s="4"/>
    </row>
    <row r="151" spans="1:13" x14ac:dyDescent="0.25">
      <c r="A151" t="s">
        <v>2633</v>
      </c>
      <c r="B151" t="s">
        <v>2638</v>
      </c>
      <c r="C151" s="25">
        <v>2146</v>
      </c>
      <c r="D151" s="28">
        <v>2146</v>
      </c>
      <c r="E151" s="2" t="str">
        <f t="shared" si="6"/>
        <v>Same</v>
      </c>
      <c r="F151" s="6" t="s">
        <v>1874</v>
      </c>
      <c r="G151" s="3">
        <v>47.95</v>
      </c>
      <c r="H151" s="2" t="s">
        <v>153</v>
      </c>
      <c r="I151" s="4">
        <f>[1]Sheet1!I151</f>
        <v>8127</v>
      </c>
      <c r="J151" s="3" t="str">
        <f t="shared" si="5"/>
        <v>2146_A1C1.webp</v>
      </c>
      <c r="K151" s="5">
        <f>Sheet4!E151</f>
        <v>24</v>
      </c>
      <c r="L151" s="5"/>
      <c r="M151" s="4"/>
    </row>
    <row r="152" spans="1:13" x14ac:dyDescent="0.25">
      <c r="A152" t="s">
        <v>2633</v>
      </c>
      <c r="B152" t="s">
        <v>2638</v>
      </c>
      <c r="C152" s="25">
        <v>2148</v>
      </c>
      <c r="D152" s="28">
        <v>2148</v>
      </c>
      <c r="E152" s="2" t="str">
        <f t="shared" si="6"/>
        <v>Same</v>
      </c>
      <c r="F152" s="6" t="s">
        <v>1873</v>
      </c>
      <c r="G152" s="3">
        <v>32.950000000000003</v>
      </c>
      <c r="H152" s="2" t="s">
        <v>154</v>
      </c>
      <c r="I152" s="4">
        <f>[1]Sheet1!I152</f>
        <v>2206</v>
      </c>
      <c r="J152" s="3" t="str">
        <f t="shared" si="5"/>
        <v>2148_A1C1.webp</v>
      </c>
      <c r="K152" s="5">
        <f>Sheet4!E152</f>
        <v>24</v>
      </c>
      <c r="L152" s="5"/>
      <c r="M152" s="4"/>
    </row>
    <row r="153" spans="1:13" x14ac:dyDescent="0.25">
      <c r="A153" t="s">
        <v>2633</v>
      </c>
      <c r="B153" t="s">
        <v>2638</v>
      </c>
      <c r="C153" s="25">
        <v>2149</v>
      </c>
      <c r="D153" s="28">
        <v>2149</v>
      </c>
      <c r="E153" s="2" t="str">
        <f t="shared" si="6"/>
        <v>Same</v>
      </c>
      <c r="F153" s="6" t="s">
        <v>1845</v>
      </c>
      <c r="G153" s="3">
        <v>46.95</v>
      </c>
      <c r="H153" s="2" t="s">
        <v>155</v>
      </c>
      <c r="I153" s="4">
        <f>[1]Sheet1!I153</f>
        <v>1989</v>
      </c>
      <c r="J153" s="3" t="str">
        <f t="shared" si="5"/>
        <v>2149_A1C1.webp</v>
      </c>
      <c r="K153" s="5">
        <f>Sheet4!E153</f>
        <v>12</v>
      </c>
      <c r="L153" s="5"/>
      <c r="M153" s="4"/>
    </row>
    <row r="154" spans="1:13" x14ac:dyDescent="0.25">
      <c r="A154" t="s">
        <v>2633</v>
      </c>
      <c r="B154" t="s">
        <v>2648</v>
      </c>
      <c r="C154" s="25">
        <v>2150</v>
      </c>
      <c r="D154" s="28">
        <v>2150</v>
      </c>
      <c r="E154" s="2" t="str">
        <f t="shared" si="6"/>
        <v>Same</v>
      </c>
      <c r="F154" s="6" t="s">
        <v>1845</v>
      </c>
      <c r="G154" s="3">
        <v>46.95</v>
      </c>
      <c r="H154" s="2" t="s">
        <v>156</v>
      </c>
      <c r="I154" s="4">
        <f>[1]Sheet1!I154</f>
        <v>967</v>
      </c>
      <c r="J154" s="3" t="str">
        <f t="shared" si="5"/>
        <v>2150_A1C1.webp</v>
      </c>
      <c r="K154" s="5">
        <f>Sheet4!E154</f>
        <v>12</v>
      </c>
      <c r="L154" s="5"/>
      <c r="M154" s="4"/>
    </row>
    <row r="155" spans="1:13" x14ac:dyDescent="0.25">
      <c r="A155" t="s">
        <v>2633</v>
      </c>
      <c r="B155" t="s">
        <v>2648</v>
      </c>
      <c r="C155" s="25">
        <v>2151</v>
      </c>
      <c r="D155" s="28">
        <v>2151</v>
      </c>
      <c r="E155" s="2" t="str">
        <f t="shared" si="6"/>
        <v>Same</v>
      </c>
      <c r="F155" s="6" t="s">
        <v>1873</v>
      </c>
      <c r="G155" s="3">
        <v>32.950000000000003</v>
      </c>
      <c r="H155" s="2" t="s">
        <v>157</v>
      </c>
      <c r="I155" s="4">
        <f>[1]Sheet1!I155</f>
        <v>1101</v>
      </c>
      <c r="J155" s="3" t="str">
        <f t="shared" si="5"/>
        <v>2151_A1C1.webp</v>
      </c>
      <c r="K155" s="5">
        <f>Sheet4!E155</f>
        <v>24</v>
      </c>
      <c r="L155" s="5"/>
      <c r="M155" s="4"/>
    </row>
    <row r="156" spans="1:13" x14ac:dyDescent="0.25">
      <c r="A156" t="s">
        <v>2633</v>
      </c>
      <c r="B156" t="s">
        <v>2648</v>
      </c>
      <c r="C156" s="25">
        <v>2152</v>
      </c>
      <c r="D156" s="28">
        <v>2152</v>
      </c>
      <c r="E156" s="2" t="str">
        <f t="shared" si="6"/>
        <v>Same</v>
      </c>
      <c r="F156" s="6" t="s">
        <v>1874</v>
      </c>
      <c r="G156" s="3">
        <v>47.95</v>
      </c>
      <c r="H156" s="2" t="s">
        <v>158</v>
      </c>
      <c r="I156" s="4">
        <f>[1]Sheet1!I156</f>
        <v>1475</v>
      </c>
      <c r="J156" s="3" t="str">
        <f t="shared" si="5"/>
        <v>2152_A1C1.webp</v>
      </c>
      <c r="K156" s="5">
        <f>Sheet4!E156</f>
        <v>24</v>
      </c>
      <c r="L156" s="5"/>
      <c r="M156" s="4"/>
    </row>
    <row r="157" spans="1:13" x14ac:dyDescent="0.25">
      <c r="A157" t="s">
        <v>2633</v>
      </c>
      <c r="B157" t="s">
        <v>2652</v>
      </c>
      <c r="C157" s="25">
        <v>2153</v>
      </c>
      <c r="D157" s="28">
        <v>2153</v>
      </c>
      <c r="E157" s="2" t="str">
        <f t="shared" si="6"/>
        <v>Same</v>
      </c>
      <c r="F157" s="6" t="s">
        <v>1876</v>
      </c>
      <c r="G157" s="3">
        <v>34.5</v>
      </c>
      <c r="H157" s="2" t="s">
        <v>159</v>
      </c>
      <c r="I157" s="4">
        <f>[1]Sheet1!I157</f>
        <v>89</v>
      </c>
      <c r="J157" s="3" t="str">
        <f t="shared" si="5"/>
        <v>2153_A1C1.webp</v>
      </c>
      <c r="K157" s="5">
        <f>Sheet4!E157</f>
        <v>24</v>
      </c>
      <c r="L157" s="5"/>
      <c r="M157" s="4"/>
    </row>
    <row r="158" spans="1:13" x14ac:dyDescent="0.25">
      <c r="A158" t="s">
        <v>2633</v>
      </c>
      <c r="B158" t="s">
        <v>2652</v>
      </c>
      <c r="C158" s="25">
        <v>2154</v>
      </c>
      <c r="D158" s="28">
        <v>2154</v>
      </c>
      <c r="E158" s="2" t="str">
        <f t="shared" si="6"/>
        <v>Same</v>
      </c>
      <c r="F158" s="6" t="s">
        <v>1879</v>
      </c>
      <c r="G158" s="3">
        <v>31.95</v>
      </c>
      <c r="H158" s="2" t="s">
        <v>160</v>
      </c>
      <c r="I158" s="4">
        <f>[1]Sheet1!I158</f>
        <v>477</v>
      </c>
      <c r="J158" s="3" t="str">
        <f t="shared" si="5"/>
        <v>2154_A1C1.webp</v>
      </c>
      <c r="K158" s="5">
        <f>Sheet4!E158</f>
        <v>12</v>
      </c>
      <c r="L158" s="5"/>
      <c r="M158" s="4"/>
    </row>
    <row r="159" spans="1:13" x14ac:dyDescent="0.25">
      <c r="A159" t="s">
        <v>2622</v>
      </c>
      <c r="B159" t="s">
        <v>2657</v>
      </c>
      <c r="C159" s="25">
        <v>2159</v>
      </c>
      <c r="D159" s="28">
        <v>2159</v>
      </c>
      <c r="E159" s="2" t="str">
        <f t="shared" si="6"/>
        <v>Same</v>
      </c>
      <c r="F159" s="6" t="s">
        <v>1874</v>
      </c>
      <c r="G159" s="3">
        <v>36.950000000000003</v>
      </c>
      <c r="H159" s="2" t="s">
        <v>161</v>
      </c>
      <c r="I159" s="4">
        <f>[1]Sheet1!I159</f>
        <v>285</v>
      </c>
      <c r="J159" s="3" t="str">
        <f t="shared" si="5"/>
        <v>2159_A1C1.webp</v>
      </c>
      <c r="K159" s="5">
        <f>Sheet4!E159</f>
        <v>24</v>
      </c>
      <c r="L159" s="5"/>
      <c r="M159" s="4"/>
    </row>
    <row r="160" spans="1:13" x14ac:dyDescent="0.25">
      <c r="A160" t="s">
        <v>2622</v>
      </c>
      <c r="B160" t="s">
        <v>2661</v>
      </c>
      <c r="C160" s="25">
        <v>2161</v>
      </c>
      <c r="D160" s="28">
        <v>2161</v>
      </c>
      <c r="E160" s="2" t="str">
        <f t="shared" si="6"/>
        <v>Same</v>
      </c>
      <c r="F160" s="6" t="s">
        <v>1885</v>
      </c>
      <c r="G160" s="3">
        <v>36.950000000000003</v>
      </c>
      <c r="H160" s="2" t="s">
        <v>162</v>
      </c>
      <c r="I160" s="4">
        <f>[1]Sheet1!I160</f>
        <v>44</v>
      </c>
      <c r="J160" s="3" t="str">
        <f t="shared" si="5"/>
        <v>2161_A1C1.webp</v>
      </c>
      <c r="K160" s="5">
        <f>Sheet4!E160</f>
        <v>24</v>
      </c>
      <c r="L160" s="5"/>
      <c r="M160" s="4"/>
    </row>
    <row r="161" spans="1:13" x14ac:dyDescent="0.25">
      <c r="A161" t="s">
        <v>2622</v>
      </c>
      <c r="B161" t="s">
        <v>2661</v>
      </c>
      <c r="C161" s="25">
        <v>2162</v>
      </c>
      <c r="D161" s="28">
        <v>2162</v>
      </c>
      <c r="E161" s="2" t="str">
        <f t="shared" si="6"/>
        <v>Same</v>
      </c>
      <c r="F161" s="2" t="s">
        <v>5372</v>
      </c>
      <c r="G161" s="3"/>
      <c r="H161" s="2" t="s">
        <v>5371</v>
      </c>
      <c r="I161" s="4">
        <f>[1]Sheet1!I161</f>
        <v>0</v>
      </c>
      <c r="J161" s="3" t="str">
        <f t="shared" si="5"/>
        <v>2162_A1C1.webp</v>
      </c>
      <c r="K161" s="5">
        <f>Sheet4!E161</f>
        <v>12</v>
      </c>
      <c r="L161" s="5" t="s">
        <v>5278</v>
      </c>
      <c r="M161" s="4"/>
    </row>
    <row r="162" spans="1:13" x14ac:dyDescent="0.25">
      <c r="A162" t="s">
        <v>2622</v>
      </c>
      <c r="B162" t="s">
        <v>2661</v>
      </c>
      <c r="C162" s="26">
        <v>2163</v>
      </c>
      <c r="D162" s="28">
        <v>2163</v>
      </c>
      <c r="E162" s="2" t="str">
        <f t="shared" si="6"/>
        <v>Same</v>
      </c>
      <c r="F162" s="6" t="s">
        <v>1876</v>
      </c>
      <c r="G162" s="3">
        <v>47.95</v>
      </c>
      <c r="H162" s="2" t="s">
        <v>163</v>
      </c>
      <c r="I162" s="4">
        <f>[1]Sheet1!I162</f>
        <v>3315</v>
      </c>
      <c r="J162" s="3" t="str">
        <f t="shared" si="5"/>
        <v>2163_A1C1.webp</v>
      </c>
      <c r="K162" s="5">
        <f>Sheet4!E162</f>
        <v>24</v>
      </c>
      <c r="L162" s="5"/>
      <c r="M162" s="4"/>
    </row>
    <row r="163" spans="1:13" x14ac:dyDescent="0.25">
      <c r="A163" t="s">
        <v>2622</v>
      </c>
      <c r="B163" t="s">
        <v>2623</v>
      </c>
      <c r="C163" s="25">
        <v>2164</v>
      </c>
      <c r="D163" s="28">
        <v>2164</v>
      </c>
      <c r="E163" s="2" t="str">
        <f t="shared" si="6"/>
        <v>Same</v>
      </c>
      <c r="F163" s="6" t="s">
        <v>1883</v>
      </c>
      <c r="G163" s="3">
        <v>42.95</v>
      </c>
      <c r="H163" s="2" t="s">
        <v>164</v>
      </c>
      <c r="I163" s="4">
        <f>[1]Sheet1!I163</f>
        <v>28545</v>
      </c>
      <c r="J163" s="3" t="str">
        <f t="shared" si="5"/>
        <v>2164_A1C1.webp</v>
      </c>
      <c r="K163" s="5">
        <f>Sheet4!E163</f>
        <v>24</v>
      </c>
      <c r="L163" s="5"/>
      <c r="M163" s="4"/>
    </row>
    <row r="164" spans="1:13" x14ac:dyDescent="0.25">
      <c r="A164" t="s">
        <v>2622</v>
      </c>
      <c r="B164" t="s">
        <v>2623</v>
      </c>
      <c r="C164" s="25">
        <v>2165</v>
      </c>
      <c r="D164" s="28">
        <v>2165</v>
      </c>
      <c r="E164" s="2" t="str">
        <f t="shared" si="6"/>
        <v>Same</v>
      </c>
      <c r="F164" s="6" t="s">
        <v>1883</v>
      </c>
      <c r="G164" s="3">
        <v>42.95</v>
      </c>
      <c r="H164" s="2" t="s">
        <v>165</v>
      </c>
      <c r="I164" s="4">
        <f>[1]Sheet1!I164</f>
        <v>1661</v>
      </c>
      <c r="J164" s="3" t="str">
        <f t="shared" si="5"/>
        <v>2165_A1C1.webp</v>
      </c>
      <c r="K164" s="5">
        <f>Sheet4!E164</f>
        <v>24</v>
      </c>
      <c r="L164" s="5"/>
      <c r="M164" s="4"/>
    </row>
    <row r="165" spans="1:13" x14ac:dyDescent="0.25">
      <c r="A165" t="s">
        <v>2671</v>
      </c>
      <c r="B165" t="s">
        <v>2622</v>
      </c>
      <c r="C165" s="25">
        <v>2166</v>
      </c>
      <c r="D165" s="28">
        <v>2166</v>
      </c>
      <c r="E165" s="2" t="str">
        <f t="shared" si="6"/>
        <v>Same</v>
      </c>
      <c r="F165" s="6" t="s">
        <v>1876</v>
      </c>
      <c r="G165" s="3">
        <v>95.5</v>
      </c>
      <c r="H165" s="2" t="s">
        <v>166</v>
      </c>
      <c r="I165" s="4">
        <f>[1]Sheet1!I165</f>
        <v>1177</v>
      </c>
      <c r="J165" s="3" t="str">
        <f t="shared" si="5"/>
        <v>2166_A1C1.webp</v>
      </c>
      <c r="K165" s="5">
        <f>Sheet4!E165</f>
        <v>48</v>
      </c>
      <c r="L165" s="5"/>
      <c r="M165" s="4"/>
    </row>
    <row r="166" spans="1:13" x14ac:dyDescent="0.25">
      <c r="A166" t="s">
        <v>2622</v>
      </c>
      <c r="B166" t="s">
        <v>2623</v>
      </c>
      <c r="C166" s="25">
        <v>2168</v>
      </c>
      <c r="D166" s="28">
        <v>2168</v>
      </c>
      <c r="E166" s="2" t="str">
        <f t="shared" si="6"/>
        <v>Same</v>
      </c>
      <c r="F166" s="6" t="s">
        <v>1886</v>
      </c>
      <c r="G166" s="3">
        <v>42.5</v>
      </c>
      <c r="H166" s="2" t="s">
        <v>167</v>
      </c>
      <c r="I166" s="4">
        <f>[1]Sheet1!I166</f>
        <v>4136</v>
      </c>
      <c r="J166" s="3" t="str">
        <f t="shared" si="5"/>
        <v>2168_A1C1.webp</v>
      </c>
      <c r="K166" s="5">
        <f>Sheet4!E166</f>
        <v>12</v>
      </c>
      <c r="L166" s="5"/>
      <c r="M166" s="4"/>
    </row>
    <row r="167" spans="1:13" x14ac:dyDescent="0.25">
      <c r="A167" t="s">
        <v>2677</v>
      </c>
      <c r="B167" t="s">
        <v>2678</v>
      </c>
      <c r="C167" s="25">
        <v>2169</v>
      </c>
      <c r="D167" s="28">
        <v>2169</v>
      </c>
      <c r="E167" s="2" t="str">
        <f t="shared" si="6"/>
        <v>Same</v>
      </c>
      <c r="F167" s="6" t="s">
        <v>1880</v>
      </c>
      <c r="G167" s="3">
        <v>36.950000000000003</v>
      </c>
      <c r="H167" s="2" t="s">
        <v>168</v>
      </c>
      <c r="I167" s="4">
        <f>[1]Sheet1!I167</f>
        <v>368</v>
      </c>
      <c r="J167" s="3" t="str">
        <f t="shared" si="5"/>
        <v>2169_A1C1.webp</v>
      </c>
      <c r="K167" s="5">
        <f>Sheet4!E167</f>
        <v>24</v>
      </c>
      <c r="L167" s="5"/>
      <c r="M167" s="4"/>
    </row>
    <row r="168" spans="1:13" x14ac:dyDescent="0.25">
      <c r="A168" t="s">
        <v>2622</v>
      </c>
      <c r="B168" t="s">
        <v>2623</v>
      </c>
      <c r="C168" s="25">
        <v>2171</v>
      </c>
      <c r="D168" s="28">
        <v>2171</v>
      </c>
      <c r="E168" s="2" t="str">
        <f t="shared" si="6"/>
        <v>Same</v>
      </c>
      <c r="F168" s="6" t="s">
        <v>1883</v>
      </c>
      <c r="G168" s="3">
        <v>944.5</v>
      </c>
      <c r="H168" s="2" t="s">
        <v>169</v>
      </c>
      <c r="I168" s="4">
        <f>[1]Sheet1!I168</f>
        <v>49</v>
      </c>
      <c r="J168" s="3" t="str">
        <f t="shared" si="5"/>
        <v>2171_A1C1.webp</v>
      </c>
      <c r="K168" s="5">
        <f>Sheet4!E168</f>
        <v>528</v>
      </c>
      <c r="L168" s="5"/>
      <c r="M168" s="4"/>
    </row>
    <row r="169" spans="1:13" x14ac:dyDescent="0.25">
      <c r="A169" t="s">
        <v>2622</v>
      </c>
      <c r="B169" t="s">
        <v>2623</v>
      </c>
      <c r="C169" s="25">
        <v>2182</v>
      </c>
      <c r="D169" s="28">
        <v>2182</v>
      </c>
      <c r="E169" s="2" t="str">
        <f t="shared" si="6"/>
        <v>Same</v>
      </c>
      <c r="F169" s="6" t="s">
        <v>1869</v>
      </c>
      <c r="G169" s="3">
        <v>30.5</v>
      </c>
      <c r="H169" s="2" t="s">
        <v>170</v>
      </c>
      <c r="I169" s="4">
        <f>[1]Sheet1!I169</f>
        <v>90</v>
      </c>
      <c r="J169" s="3" t="str">
        <f t="shared" si="5"/>
        <v>2182_A1C1.webp</v>
      </c>
      <c r="K169" s="5">
        <f>Sheet4!E169</f>
        <v>24</v>
      </c>
      <c r="L169" s="5"/>
      <c r="M169" s="4"/>
    </row>
    <row r="170" spans="1:13" x14ac:dyDescent="0.25">
      <c r="A170" t="s">
        <v>2685</v>
      </c>
      <c r="B170" t="s">
        <v>505</v>
      </c>
      <c r="C170" s="25">
        <v>2195</v>
      </c>
      <c r="D170" s="28">
        <v>2195</v>
      </c>
      <c r="E170" s="2" t="str">
        <f t="shared" si="6"/>
        <v>Same</v>
      </c>
      <c r="F170" s="6" t="s">
        <v>1883</v>
      </c>
      <c r="G170" s="3">
        <v>18.95</v>
      </c>
      <c r="H170" s="2" t="s">
        <v>171</v>
      </c>
      <c r="I170" s="4">
        <f>[1]Sheet1!I170</f>
        <v>2509</v>
      </c>
      <c r="J170" s="3" t="str">
        <f t="shared" si="5"/>
        <v>2195_A1C1.webp</v>
      </c>
      <c r="K170" s="5">
        <f>Sheet4!E170</f>
        <v>12</v>
      </c>
      <c r="L170" s="5"/>
      <c r="M170" s="4"/>
    </row>
    <row r="171" spans="1:13" x14ac:dyDescent="0.25">
      <c r="A171" t="s">
        <v>2633</v>
      </c>
      <c r="B171" t="s">
        <v>2634</v>
      </c>
      <c r="C171" s="28">
        <v>2197</v>
      </c>
      <c r="D171" s="28">
        <v>2197</v>
      </c>
      <c r="E171" s="2" t="str">
        <f t="shared" si="6"/>
        <v>Same</v>
      </c>
      <c r="F171" s="2" t="str">
        <f>Sheet4!F171</f>
        <v>7 OZ</v>
      </c>
      <c r="G171" s="2"/>
      <c r="H171" s="2" t="str">
        <f>Sheet4!H171</f>
        <v>SALSITA TOMATO SAUCE W CHEESE</v>
      </c>
      <c r="I171" s="4">
        <f>[1]Sheet1!I171</f>
        <v>0</v>
      </c>
      <c r="J171" s="3" t="str">
        <f t="shared" si="5"/>
        <v>2197_A1C1.webp</v>
      </c>
      <c r="K171" s="5">
        <f>Sheet4!E171</f>
        <v>24</v>
      </c>
      <c r="L171" s="5" t="s">
        <v>5278</v>
      </c>
      <c r="M171" s="4"/>
    </row>
    <row r="172" spans="1:13" x14ac:dyDescent="0.25">
      <c r="A172" t="s">
        <v>2633</v>
      </c>
      <c r="B172" t="s">
        <v>2634</v>
      </c>
      <c r="C172" s="28">
        <v>2198</v>
      </c>
      <c r="D172" s="28">
        <v>2198</v>
      </c>
      <c r="E172" s="2" t="str">
        <f t="shared" si="6"/>
        <v>Same</v>
      </c>
      <c r="F172" s="2" t="str">
        <f>Sheet4!F172</f>
        <v>7 OZ</v>
      </c>
      <c r="G172" s="2"/>
      <c r="H172" s="2" t="str">
        <f>Sheet4!H172</f>
        <v>SALSITA CENTROAMERICA RANCHERA</v>
      </c>
      <c r="I172" s="4">
        <f>[1]Sheet1!I172</f>
        <v>0</v>
      </c>
      <c r="J172" s="3" t="str">
        <f t="shared" si="5"/>
        <v>2198_A1C1.webp</v>
      </c>
      <c r="K172" s="5">
        <f>Sheet4!E172</f>
        <v>24</v>
      </c>
      <c r="L172" s="5" t="s">
        <v>5278</v>
      </c>
      <c r="M172" s="4"/>
    </row>
    <row r="173" spans="1:13" x14ac:dyDescent="0.25">
      <c r="A173" t="s">
        <v>2633</v>
      </c>
      <c r="B173" t="s">
        <v>2634</v>
      </c>
      <c r="C173" s="28">
        <v>2199</v>
      </c>
      <c r="D173" s="28">
        <v>2199</v>
      </c>
      <c r="E173" s="2" t="str">
        <f t="shared" si="6"/>
        <v>Same</v>
      </c>
      <c r="F173" s="2" t="str">
        <f>Sheet4!F173</f>
        <v>7 OZ</v>
      </c>
      <c r="G173" s="2"/>
      <c r="H173" s="2" t="str">
        <f>Sheet4!H173</f>
        <v>SALSITA SOFRITO CRIOLLO 7 OZ</v>
      </c>
      <c r="I173" s="4">
        <f>[1]Sheet1!I173</f>
        <v>79</v>
      </c>
      <c r="J173" s="3" t="str">
        <f t="shared" si="5"/>
        <v>2199_A1C1.webp</v>
      </c>
      <c r="K173" s="5">
        <f>Sheet4!E173</f>
        <v>24</v>
      </c>
      <c r="L173" s="5" t="s">
        <v>5278</v>
      </c>
      <c r="M173" s="4"/>
    </row>
    <row r="174" spans="1:13" x14ac:dyDescent="0.25">
      <c r="A174" t="s">
        <v>2593</v>
      </c>
      <c r="B174" t="s">
        <v>2688</v>
      </c>
      <c r="C174" s="25">
        <v>2200</v>
      </c>
      <c r="D174" s="28">
        <v>2200</v>
      </c>
      <c r="E174" s="2" t="str">
        <f t="shared" si="6"/>
        <v>Same</v>
      </c>
      <c r="F174" s="6" t="s">
        <v>1876</v>
      </c>
      <c r="G174" s="3">
        <v>26.95</v>
      </c>
      <c r="H174" s="2" t="s">
        <v>172</v>
      </c>
      <c r="I174" s="4">
        <f>[1]Sheet1!I174</f>
        <v>1516</v>
      </c>
      <c r="J174" s="3" t="str">
        <f t="shared" si="5"/>
        <v>2200_A1C1.webp</v>
      </c>
      <c r="K174" s="5">
        <f>Sheet4!E174</f>
        <v>12</v>
      </c>
      <c r="L174" s="5"/>
      <c r="M174" s="4"/>
    </row>
    <row r="175" spans="1:13" x14ac:dyDescent="0.25">
      <c r="A175" t="s">
        <v>2593</v>
      </c>
      <c r="B175" t="s">
        <v>2688</v>
      </c>
      <c r="C175" s="25">
        <v>2201</v>
      </c>
      <c r="D175" s="28">
        <v>2201</v>
      </c>
      <c r="E175" s="2" t="str">
        <f t="shared" si="6"/>
        <v>Same</v>
      </c>
      <c r="F175" s="6" t="s">
        <v>1876</v>
      </c>
      <c r="G175" s="3">
        <v>26.95</v>
      </c>
      <c r="H175" s="2" t="s">
        <v>173</v>
      </c>
      <c r="I175" s="4">
        <f>[1]Sheet1!I175</f>
        <v>229</v>
      </c>
      <c r="J175" s="3" t="str">
        <f t="shared" si="5"/>
        <v>2201_A1C1.webp</v>
      </c>
      <c r="K175" s="5">
        <f>Sheet4!E175</f>
        <v>12</v>
      </c>
      <c r="L175" s="5"/>
      <c r="M175" s="4"/>
    </row>
    <row r="176" spans="1:13" x14ac:dyDescent="0.25">
      <c r="A176" t="s">
        <v>2593</v>
      </c>
      <c r="B176" t="s">
        <v>2688</v>
      </c>
      <c r="C176" s="25">
        <v>2203</v>
      </c>
      <c r="D176" s="28">
        <v>2203</v>
      </c>
      <c r="E176" s="2" t="str">
        <f t="shared" si="6"/>
        <v>Same</v>
      </c>
      <c r="F176" s="6" t="s">
        <v>1887</v>
      </c>
      <c r="G176" s="3">
        <v>26.95</v>
      </c>
      <c r="H176" s="2" t="s">
        <v>174</v>
      </c>
      <c r="I176" s="4">
        <f>[1]Sheet1!I176</f>
        <v>549</v>
      </c>
      <c r="J176" s="3" t="str">
        <f t="shared" si="5"/>
        <v>2203_A1C1.webp</v>
      </c>
      <c r="K176" s="5">
        <f>Sheet4!E176</f>
        <v>12</v>
      </c>
      <c r="L176" s="5"/>
      <c r="M176" s="4"/>
    </row>
    <row r="177" spans="1:13" x14ac:dyDescent="0.25">
      <c r="A177" t="s">
        <v>2593</v>
      </c>
      <c r="B177" t="s">
        <v>2688</v>
      </c>
      <c r="C177" s="25">
        <v>2204</v>
      </c>
      <c r="D177" s="28">
        <v>2204</v>
      </c>
      <c r="E177" s="2" t="str">
        <f t="shared" si="6"/>
        <v>Same</v>
      </c>
      <c r="F177" s="6" t="s">
        <v>1876</v>
      </c>
      <c r="G177" s="3">
        <v>32.950000000000003</v>
      </c>
      <c r="H177" s="2" t="s">
        <v>175</v>
      </c>
      <c r="I177" s="4">
        <f>[1]Sheet1!I177</f>
        <v>349</v>
      </c>
      <c r="J177" s="3" t="str">
        <f t="shared" si="5"/>
        <v>2204_A1C1.webp</v>
      </c>
      <c r="K177" s="5">
        <f>Sheet4!E177</f>
        <v>12</v>
      </c>
      <c r="L177" s="5"/>
      <c r="M177" s="4"/>
    </row>
    <row r="178" spans="1:13" x14ac:dyDescent="0.25">
      <c r="A178" t="s">
        <v>2593</v>
      </c>
      <c r="B178" t="s">
        <v>2696</v>
      </c>
      <c r="C178" s="25">
        <v>2272</v>
      </c>
      <c r="D178" s="28">
        <v>2272</v>
      </c>
      <c r="E178" s="2" t="str">
        <f t="shared" si="6"/>
        <v>Same</v>
      </c>
      <c r="F178" s="6" t="s">
        <v>1888</v>
      </c>
      <c r="G178" s="3">
        <v>41.95</v>
      </c>
      <c r="H178" s="2" t="s">
        <v>176</v>
      </c>
      <c r="I178" s="4">
        <f>[1]Sheet1!I178</f>
        <v>570</v>
      </c>
      <c r="J178" s="3" t="str">
        <f t="shared" si="5"/>
        <v>2272_A1C1.webp</v>
      </c>
      <c r="K178" s="5">
        <f>Sheet4!E178</f>
        <v>6</v>
      </c>
      <c r="L178" s="5"/>
      <c r="M178" s="4"/>
    </row>
    <row r="179" spans="1:13" x14ac:dyDescent="0.25">
      <c r="A179" t="s">
        <v>2593</v>
      </c>
      <c r="B179" t="s">
        <v>2696</v>
      </c>
      <c r="C179" s="25">
        <v>2273</v>
      </c>
      <c r="D179" s="28">
        <v>2273</v>
      </c>
      <c r="E179" s="2" t="str">
        <f t="shared" si="6"/>
        <v>Same</v>
      </c>
      <c r="F179" s="6" t="s">
        <v>1877</v>
      </c>
      <c r="G179" s="3">
        <v>26.95</v>
      </c>
      <c r="H179" s="2" t="s">
        <v>176</v>
      </c>
      <c r="I179" s="4">
        <f>[1]Sheet1!I179</f>
        <v>371</v>
      </c>
      <c r="J179" s="3" t="str">
        <f t="shared" si="5"/>
        <v>2273_A1C1.webp</v>
      </c>
      <c r="K179" s="5">
        <f>Sheet4!E179</f>
        <v>12</v>
      </c>
      <c r="L179" s="5"/>
      <c r="M179" s="4"/>
    </row>
    <row r="180" spans="1:13" x14ac:dyDescent="0.25">
      <c r="A180" t="s">
        <v>2518</v>
      </c>
      <c r="B180" t="s">
        <v>2700</v>
      </c>
      <c r="C180" s="25">
        <v>2284</v>
      </c>
      <c r="D180" s="28">
        <v>2284</v>
      </c>
      <c r="E180" s="2" t="str">
        <f t="shared" si="6"/>
        <v>Same</v>
      </c>
      <c r="F180" s="6" t="s">
        <v>1889</v>
      </c>
      <c r="G180" s="3">
        <v>60.95</v>
      </c>
      <c r="H180" s="2" t="s">
        <v>177</v>
      </c>
      <c r="I180" s="4">
        <f>[1]Sheet1!I180</f>
        <v>0</v>
      </c>
      <c r="J180" s="3" t="str">
        <f t="shared" si="5"/>
        <v>2284_A1C1.webp</v>
      </c>
      <c r="K180" s="5">
        <f>Sheet4!E180</f>
        <v>1</v>
      </c>
      <c r="L180" s="5"/>
      <c r="M180" s="4"/>
    </row>
    <row r="181" spans="1:13" x14ac:dyDescent="0.25">
      <c r="A181" t="s">
        <v>2518</v>
      </c>
      <c r="B181" t="s">
        <v>2531</v>
      </c>
      <c r="C181" s="25">
        <v>2286</v>
      </c>
      <c r="D181" s="28">
        <v>2286</v>
      </c>
      <c r="E181" s="2" t="str">
        <f t="shared" si="6"/>
        <v>Same</v>
      </c>
      <c r="F181" s="6" t="s">
        <v>1880</v>
      </c>
      <c r="G181" s="3">
        <v>26.4</v>
      </c>
      <c r="H181" s="2" t="s">
        <v>178</v>
      </c>
      <c r="I181" s="4">
        <f>[1]Sheet1!I181</f>
        <v>368</v>
      </c>
      <c r="J181" s="3" t="str">
        <f t="shared" si="5"/>
        <v>2286_A1C1.webp</v>
      </c>
      <c r="K181" s="5">
        <f>Sheet4!E181</f>
        <v>24</v>
      </c>
      <c r="L181" s="5"/>
      <c r="M181" s="4"/>
    </row>
    <row r="182" spans="1:13" x14ac:dyDescent="0.25">
      <c r="A182" t="s">
        <v>2518</v>
      </c>
      <c r="B182" t="s">
        <v>2531</v>
      </c>
      <c r="C182" s="25">
        <v>2287</v>
      </c>
      <c r="D182" s="28">
        <v>2287</v>
      </c>
      <c r="E182" s="2" t="str">
        <f t="shared" si="6"/>
        <v>Same</v>
      </c>
      <c r="F182" s="6" t="s">
        <v>1880</v>
      </c>
      <c r="G182" s="3">
        <v>26.4</v>
      </c>
      <c r="H182" s="2" t="s">
        <v>179</v>
      </c>
      <c r="I182" s="4">
        <f>[1]Sheet1!I182</f>
        <v>2236</v>
      </c>
      <c r="J182" s="3" t="str">
        <f t="shared" si="5"/>
        <v>2287_A1C1.webp</v>
      </c>
      <c r="K182" s="5">
        <f>Sheet4!E182</f>
        <v>24</v>
      </c>
      <c r="L182" s="5"/>
      <c r="M182" s="4"/>
    </row>
    <row r="183" spans="1:13" x14ac:dyDescent="0.25">
      <c r="A183" t="s">
        <v>2518</v>
      </c>
      <c r="B183" t="s">
        <v>2709</v>
      </c>
      <c r="C183" s="25">
        <v>2288</v>
      </c>
      <c r="D183" s="28">
        <v>2288</v>
      </c>
      <c r="E183" s="2" t="str">
        <f t="shared" si="6"/>
        <v>Same</v>
      </c>
      <c r="F183" s="6" t="s">
        <v>1849</v>
      </c>
      <c r="G183" s="3">
        <v>55.95</v>
      </c>
      <c r="H183" s="2" t="s">
        <v>180</v>
      </c>
      <c r="I183" s="4">
        <f>[1]Sheet1!I183</f>
        <v>131</v>
      </c>
      <c r="J183" s="3" t="str">
        <f t="shared" si="5"/>
        <v>2288_A1C1.webp</v>
      </c>
      <c r="K183" s="5">
        <f>Sheet4!E183</f>
        <v>24</v>
      </c>
      <c r="L183" s="5"/>
      <c r="M183" s="4"/>
    </row>
    <row r="184" spans="1:13" x14ac:dyDescent="0.25">
      <c r="A184" t="s">
        <v>2518</v>
      </c>
      <c r="B184" t="s">
        <v>2548</v>
      </c>
      <c r="C184" s="25">
        <v>2289</v>
      </c>
      <c r="D184" s="28">
        <v>2289</v>
      </c>
      <c r="E184" s="2" t="str">
        <f t="shared" si="6"/>
        <v>Same</v>
      </c>
      <c r="F184" s="6" t="s">
        <v>1880</v>
      </c>
      <c r="G184" s="3">
        <v>580.79999999999995</v>
      </c>
      <c r="H184" s="2" t="s">
        <v>181</v>
      </c>
      <c r="I184" s="4">
        <f>[1]Sheet1!I184</f>
        <v>64</v>
      </c>
      <c r="J184" s="3" t="str">
        <f t="shared" si="5"/>
        <v>2289_A1C1.webp</v>
      </c>
      <c r="K184" s="5">
        <f>Sheet4!E184</f>
        <v>528</v>
      </c>
      <c r="L184" s="5"/>
      <c r="M184" s="4"/>
    </row>
    <row r="185" spans="1:13" x14ac:dyDescent="0.25">
      <c r="A185" t="s">
        <v>2518</v>
      </c>
      <c r="B185" t="s">
        <v>2531</v>
      </c>
      <c r="C185" s="25">
        <v>2330</v>
      </c>
      <c r="D185" s="28">
        <v>2330</v>
      </c>
      <c r="E185" s="2" t="str">
        <f t="shared" si="6"/>
        <v>Same</v>
      </c>
      <c r="F185" s="6" t="s">
        <v>1880</v>
      </c>
      <c r="G185" s="3">
        <v>26.4</v>
      </c>
      <c r="H185" s="2" t="s">
        <v>182</v>
      </c>
      <c r="I185" s="4">
        <f>[1]Sheet1!I185</f>
        <v>3947</v>
      </c>
      <c r="J185" s="3" t="str">
        <f t="shared" si="5"/>
        <v>2330_A1C1.webp</v>
      </c>
      <c r="K185" s="5">
        <f>Sheet4!E185</f>
        <v>24</v>
      </c>
      <c r="L185" s="5"/>
      <c r="M185" s="4"/>
    </row>
    <row r="186" spans="1:13" x14ac:dyDescent="0.25">
      <c r="A186" t="s">
        <v>2518</v>
      </c>
      <c r="B186" t="s">
        <v>2531</v>
      </c>
      <c r="C186" s="25">
        <v>2331</v>
      </c>
      <c r="D186" s="28">
        <v>2331</v>
      </c>
      <c r="E186" s="2" t="str">
        <f t="shared" si="6"/>
        <v>Same</v>
      </c>
      <c r="F186" s="6" t="s">
        <v>1880</v>
      </c>
      <c r="G186" s="3">
        <v>26.4</v>
      </c>
      <c r="H186" s="2" t="s">
        <v>183</v>
      </c>
      <c r="I186" s="4">
        <f>[1]Sheet1!I186</f>
        <v>4588</v>
      </c>
      <c r="J186" s="3" t="str">
        <f t="shared" si="5"/>
        <v>2331_A1C1.webp</v>
      </c>
      <c r="K186" s="5">
        <f>Sheet4!E186</f>
        <v>24</v>
      </c>
      <c r="L186" s="5"/>
      <c r="M186" s="4"/>
    </row>
    <row r="187" spans="1:13" x14ac:dyDescent="0.25">
      <c r="A187" t="s">
        <v>2518</v>
      </c>
      <c r="B187" t="s">
        <v>2531</v>
      </c>
      <c r="C187" s="25">
        <v>2332</v>
      </c>
      <c r="D187" s="28">
        <v>2332</v>
      </c>
      <c r="E187" s="2" t="str">
        <f t="shared" si="6"/>
        <v>Same</v>
      </c>
      <c r="F187" s="6" t="s">
        <v>1880</v>
      </c>
      <c r="G187" s="3">
        <v>26.4</v>
      </c>
      <c r="H187" s="2" t="s">
        <v>184</v>
      </c>
      <c r="I187" s="4">
        <f>[1]Sheet1!I187</f>
        <v>8268</v>
      </c>
      <c r="J187" s="3" t="str">
        <f t="shared" si="5"/>
        <v>2332_A1C1.webp</v>
      </c>
      <c r="K187" s="5">
        <f>Sheet4!E187</f>
        <v>24</v>
      </c>
      <c r="L187" s="5"/>
      <c r="M187" s="4"/>
    </row>
    <row r="188" spans="1:13" x14ac:dyDescent="0.25">
      <c r="A188" t="s">
        <v>2518</v>
      </c>
      <c r="B188" t="s">
        <v>2531</v>
      </c>
      <c r="C188" s="25">
        <v>2333</v>
      </c>
      <c r="D188" s="28">
        <v>2333</v>
      </c>
      <c r="E188" s="2" t="str">
        <f t="shared" si="6"/>
        <v>Same</v>
      </c>
      <c r="F188" s="6" t="s">
        <v>1880</v>
      </c>
      <c r="G188" s="3">
        <v>26.4</v>
      </c>
      <c r="H188" s="2" t="s">
        <v>185</v>
      </c>
      <c r="I188" s="4">
        <f>[1]Sheet1!I188</f>
        <v>3167</v>
      </c>
      <c r="J188" s="3" t="str">
        <f t="shared" si="5"/>
        <v>2333_A1C1.webp</v>
      </c>
      <c r="K188" s="5">
        <f>Sheet4!E188</f>
        <v>24</v>
      </c>
      <c r="L188" s="5"/>
      <c r="M188" s="4"/>
    </row>
    <row r="189" spans="1:13" x14ac:dyDescent="0.25">
      <c r="A189" t="s">
        <v>2518</v>
      </c>
      <c r="B189" t="s">
        <v>2531</v>
      </c>
      <c r="C189" s="25">
        <v>2334</v>
      </c>
      <c r="D189" s="28">
        <v>2334</v>
      </c>
      <c r="E189" s="2" t="str">
        <f t="shared" si="6"/>
        <v>Same</v>
      </c>
      <c r="F189" s="6" t="s">
        <v>1880</v>
      </c>
      <c r="G189" s="3">
        <v>26.4</v>
      </c>
      <c r="H189" s="2" t="s">
        <v>186</v>
      </c>
      <c r="I189" s="4">
        <f>[1]Sheet1!I189</f>
        <v>1978</v>
      </c>
      <c r="J189" s="3" t="str">
        <f t="shared" si="5"/>
        <v>2334_A1C1.webp</v>
      </c>
      <c r="K189" s="5">
        <f>Sheet4!E189</f>
        <v>24</v>
      </c>
      <c r="L189" s="5"/>
      <c r="M189" s="4"/>
    </row>
    <row r="190" spans="1:13" x14ac:dyDescent="0.25">
      <c r="A190" t="s">
        <v>2518</v>
      </c>
      <c r="B190" t="s">
        <v>2531</v>
      </c>
      <c r="C190" s="25">
        <v>2335</v>
      </c>
      <c r="D190" s="28">
        <v>2335</v>
      </c>
      <c r="E190" s="2" t="str">
        <f t="shared" si="6"/>
        <v>Same</v>
      </c>
      <c r="F190" s="6" t="s">
        <v>1880</v>
      </c>
      <c r="G190" s="3">
        <v>26.4</v>
      </c>
      <c r="H190" s="2" t="s">
        <v>187</v>
      </c>
      <c r="I190" s="4">
        <f>[1]Sheet1!I190</f>
        <v>1637</v>
      </c>
      <c r="J190" s="3" t="str">
        <f t="shared" si="5"/>
        <v>2335_A1C1.webp</v>
      </c>
      <c r="K190" s="5">
        <f>Sheet4!E190</f>
        <v>24</v>
      </c>
      <c r="L190" s="5"/>
      <c r="M190" s="4"/>
    </row>
    <row r="191" spans="1:13" x14ac:dyDescent="0.25">
      <c r="A191" t="s">
        <v>2518</v>
      </c>
      <c r="B191" t="s">
        <v>2551</v>
      </c>
      <c r="C191" s="25">
        <v>2340</v>
      </c>
      <c r="D191" s="28">
        <v>2340</v>
      </c>
      <c r="E191" s="2" t="str">
        <f t="shared" si="6"/>
        <v>Same</v>
      </c>
      <c r="F191" s="6" t="s">
        <v>1880</v>
      </c>
      <c r="G191" s="3">
        <v>31.75</v>
      </c>
      <c r="H191" s="2" t="s">
        <v>188</v>
      </c>
      <c r="I191" s="4">
        <f>[1]Sheet1!I191</f>
        <v>3513</v>
      </c>
      <c r="J191" s="3" t="str">
        <f t="shared" si="5"/>
        <v>2340_A1C1.webp</v>
      </c>
      <c r="K191" s="5">
        <f>Sheet4!E191</f>
        <v>24</v>
      </c>
      <c r="L191" s="5"/>
      <c r="M191" s="4"/>
    </row>
    <row r="192" spans="1:13" x14ac:dyDescent="0.25">
      <c r="A192" t="s">
        <v>2518</v>
      </c>
      <c r="B192" t="s">
        <v>2551</v>
      </c>
      <c r="C192" s="25">
        <v>2341</v>
      </c>
      <c r="D192" s="28">
        <v>2341</v>
      </c>
      <c r="E192" s="2" t="str">
        <f t="shared" si="6"/>
        <v>Same</v>
      </c>
      <c r="F192" s="6" t="s">
        <v>1880</v>
      </c>
      <c r="G192" s="3">
        <v>31.75</v>
      </c>
      <c r="H192" s="2" t="s">
        <v>189</v>
      </c>
      <c r="I192" s="4">
        <f>[1]Sheet1!I192</f>
        <v>1122</v>
      </c>
      <c r="J192" s="3" t="str">
        <f t="shared" si="5"/>
        <v>2341_A1C1.webp</v>
      </c>
      <c r="K192" s="5">
        <f>Sheet4!E192</f>
        <v>24</v>
      </c>
      <c r="L192" s="5"/>
      <c r="M192" s="4"/>
    </row>
    <row r="193" spans="1:13" x14ac:dyDescent="0.25">
      <c r="A193" t="s">
        <v>2518</v>
      </c>
      <c r="B193" t="s">
        <v>2551</v>
      </c>
      <c r="C193" s="25">
        <v>2342</v>
      </c>
      <c r="D193" s="28">
        <v>2342</v>
      </c>
      <c r="E193" s="2" t="str">
        <f t="shared" si="6"/>
        <v>Same</v>
      </c>
      <c r="F193" s="6" t="s">
        <v>1880</v>
      </c>
      <c r="G193" s="3">
        <v>31.75</v>
      </c>
      <c r="H193" s="2" t="s">
        <v>190</v>
      </c>
      <c r="I193" s="4">
        <f>[1]Sheet1!I193</f>
        <v>5061</v>
      </c>
      <c r="J193" s="3" t="str">
        <f t="shared" si="5"/>
        <v>2342_A1C1.webp</v>
      </c>
      <c r="K193" s="5">
        <f>Sheet4!E193</f>
        <v>24</v>
      </c>
      <c r="L193" s="5"/>
      <c r="M193" s="4"/>
    </row>
    <row r="194" spans="1:13" x14ac:dyDescent="0.25">
      <c r="A194" t="s">
        <v>2518</v>
      </c>
      <c r="B194" t="s">
        <v>2551</v>
      </c>
      <c r="C194" s="25">
        <v>2343</v>
      </c>
      <c r="D194" s="28">
        <v>2343</v>
      </c>
      <c r="E194" s="2" t="str">
        <f t="shared" si="6"/>
        <v>Same</v>
      </c>
      <c r="F194" s="6" t="s">
        <v>1880</v>
      </c>
      <c r="G194" s="3">
        <v>37.5</v>
      </c>
      <c r="H194" s="2" t="s">
        <v>191</v>
      </c>
      <c r="I194" s="4">
        <f>[1]Sheet1!I194</f>
        <v>1173</v>
      </c>
      <c r="J194" s="3" t="str">
        <f t="shared" ref="J194:J257" si="7">C194 &amp; "_A1C1.webp"</f>
        <v>2343_A1C1.webp</v>
      </c>
      <c r="K194" s="5">
        <f>Sheet4!E194</f>
        <v>24</v>
      </c>
      <c r="L194" s="5"/>
      <c r="M194" s="4"/>
    </row>
    <row r="195" spans="1:13" x14ac:dyDescent="0.25">
      <c r="A195" t="s">
        <v>2518</v>
      </c>
      <c r="B195" t="s">
        <v>2551</v>
      </c>
      <c r="C195" s="25">
        <v>2344</v>
      </c>
      <c r="D195" s="28">
        <v>2344</v>
      </c>
      <c r="E195" s="2" t="str">
        <f t="shared" si="6"/>
        <v>Same</v>
      </c>
      <c r="F195" s="6" t="s">
        <v>1880</v>
      </c>
      <c r="G195" s="3">
        <v>31.75</v>
      </c>
      <c r="H195" s="2" t="s">
        <v>192</v>
      </c>
      <c r="I195" s="4">
        <f>[1]Sheet1!I195</f>
        <v>6179</v>
      </c>
      <c r="J195" s="3" t="str">
        <f t="shared" si="7"/>
        <v>2344_A1C1.webp</v>
      </c>
      <c r="K195" s="5">
        <f>Sheet4!E195</f>
        <v>24</v>
      </c>
      <c r="L195" s="5"/>
      <c r="M195" s="4"/>
    </row>
    <row r="196" spans="1:13" x14ac:dyDescent="0.25">
      <c r="A196" t="s">
        <v>2518</v>
      </c>
      <c r="B196" t="s">
        <v>2531</v>
      </c>
      <c r="C196" s="25">
        <v>2345</v>
      </c>
      <c r="D196" s="28">
        <v>2345</v>
      </c>
      <c r="E196" s="2" t="str">
        <f t="shared" si="6"/>
        <v>Same</v>
      </c>
      <c r="F196" s="6" t="s">
        <v>1880</v>
      </c>
      <c r="G196" s="3">
        <v>26.4</v>
      </c>
      <c r="H196" s="2" t="s">
        <v>193</v>
      </c>
      <c r="I196" s="4">
        <f>[1]Sheet1!I196</f>
        <v>2849</v>
      </c>
      <c r="J196" s="3" t="str">
        <f t="shared" si="7"/>
        <v>2345_A1C1.webp</v>
      </c>
      <c r="K196" s="5">
        <f>Sheet4!E196</f>
        <v>24</v>
      </c>
      <c r="L196" s="5"/>
      <c r="M196" s="4"/>
    </row>
    <row r="197" spans="1:13" x14ac:dyDescent="0.25">
      <c r="A197" t="s">
        <v>2518</v>
      </c>
      <c r="B197" t="s">
        <v>2728</v>
      </c>
      <c r="C197" s="25">
        <v>2347</v>
      </c>
      <c r="D197" s="28">
        <v>2347</v>
      </c>
      <c r="E197" s="2" t="str">
        <f t="shared" si="6"/>
        <v>Same</v>
      </c>
      <c r="F197" s="6" t="s">
        <v>1890</v>
      </c>
      <c r="G197" s="3">
        <v>32.35</v>
      </c>
      <c r="H197" s="2" t="s">
        <v>194</v>
      </c>
      <c r="I197" s="4">
        <f>[1]Sheet1!I197</f>
        <v>176</v>
      </c>
      <c r="J197" s="3" t="str">
        <f t="shared" si="7"/>
        <v>2347_A1C1.webp</v>
      </c>
      <c r="K197" s="5">
        <f>Sheet4!E197</f>
        <v>12</v>
      </c>
      <c r="L197" s="5"/>
      <c r="M197" s="4"/>
    </row>
    <row r="198" spans="1:13" x14ac:dyDescent="0.25">
      <c r="A198" t="s">
        <v>2518</v>
      </c>
      <c r="B198" t="s">
        <v>2728</v>
      </c>
      <c r="C198" s="25">
        <v>2348</v>
      </c>
      <c r="D198" s="28">
        <v>2348</v>
      </c>
      <c r="E198" s="2" t="str">
        <f t="shared" ref="E198:E261" si="8">IF(C198=D198, "Same","New")</f>
        <v>Same</v>
      </c>
      <c r="F198" s="6" t="s">
        <v>1890</v>
      </c>
      <c r="G198" s="3">
        <v>32.35</v>
      </c>
      <c r="H198" s="2" t="s">
        <v>195</v>
      </c>
      <c r="I198" s="4">
        <f>[1]Sheet1!I198</f>
        <v>491</v>
      </c>
      <c r="J198" s="3" t="str">
        <f t="shared" si="7"/>
        <v>2348_A1C1.webp</v>
      </c>
      <c r="K198" s="5">
        <f>Sheet4!E198</f>
        <v>12</v>
      </c>
      <c r="L198" s="5"/>
      <c r="M198" s="4"/>
    </row>
    <row r="199" spans="1:13" x14ac:dyDescent="0.25">
      <c r="A199" t="s">
        <v>2518</v>
      </c>
      <c r="B199" t="s">
        <v>2728</v>
      </c>
      <c r="C199" s="25">
        <v>2349</v>
      </c>
      <c r="D199" s="28">
        <v>2349</v>
      </c>
      <c r="E199" s="2" t="str">
        <f t="shared" si="8"/>
        <v>Same</v>
      </c>
      <c r="F199" s="6" t="s">
        <v>1890</v>
      </c>
      <c r="G199" s="3">
        <v>32.35</v>
      </c>
      <c r="H199" s="2" t="s">
        <v>196</v>
      </c>
      <c r="I199" s="4">
        <f>[1]Sheet1!I199</f>
        <v>896</v>
      </c>
      <c r="J199" s="3" t="str">
        <f t="shared" si="7"/>
        <v>2349_A1C1.webp</v>
      </c>
      <c r="K199" s="5">
        <f>Sheet4!E199</f>
        <v>12</v>
      </c>
      <c r="L199" s="5"/>
      <c r="M199" s="4"/>
    </row>
    <row r="200" spans="1:13" x14ac:dyDescent="0.25">
      <c r="A200" t="s">
        <v>2518</v>
      </c>
      <c r="B200" t="s">
        <v>2728</v>
      </c>
      <c r="C200" s="25">
        <v>2350</v>
      </c>
      <c r="D200" s="28">
        <v>2350</v>
      </c>
      <c r="E200" s="2" t="str">
        <f t="shared" si="8"/>
        <v>Same</v>
      </c>
      <c r="F200" s="6" t="s">
        <v>1890</v>
      </c>
      <c r="G200" s="3">
        <v>32.35</v>
      </c>
      <c r="H200" s="2" t="s">
        <v>197</v>
      </c>
      <c r="I200" s="4">
        <f>[1]Sheet1!I200</f>
        <v>549</v>
      </c>
      <c r="J200" s="3" t="str">
        <f t="shared" si="7"/>
        <v>2350_A1C1.webp</v>
      </c>
      <c r="K200" s="5">
        <f>Sheet4!E200</f>
        <v>12</v>
      </c>
      <c r="L200" s="5"/>
      <c r="M200" s="4"/>
    </row>
    <row r="201" spans="1:13" x14ac:dyDescent="0.25">
      <c r="A201" t="s">
        <v>2518</v>
      </c>
      <c r="B201" t="s">
        <v>2728</v>
      </c>
      <c r="C201" s="25">
        <v>2351</v>
      </c>
      <c r="D201" s="28">
        <v>2351</v>
      </c>
      <c r="E201" s="2" t="str">
        <f t="shared" si="8"/>
        <v>Same</v>
      </c>
      <c r="F201" s="6" t="s">
        <v>1890</v>
      </c>
      <c r="G201" s="3">
        <v>32.35</v>
      </c>
      <c r="H201" s="2" t="s">
        <v>198</v>
      </c>
      <c r="I201" s="4">
        <f>[1]Sheet1!I201</f>
        <v>57</v>
      </c>
      <c r="J201" s="3" t="str">
        <f t="shared" si="7"/>
        <v>2351_A1C1.webp</v>
      </c>
      <c r="K201" s="5">
        <f>Sheet4!E201</f>
        <v>12</v>
      </c>
      <c r="L201" s="5"/>
      <c r="M201" s="4"/>
    </row>
    <row r="202" spans="1:13" x14ac:dyDescent="0.25">
      <c r="A202" t="s">
        <v>2518</v>
      </c>
      <c r="B202" t="s">
        <v>2728</v>
      </c>
      <c r="C202" s="25">
        <v>2352</v>
      </c>
      <c r="D202" s="28">
        <v>2352</v>
      </c>
      <c r="E202" s="2" t="str">
        <f t="shared" si="8"/>
        <v>Same</v>
      </c>
      <c r="F202" s="6" t="s">
        <v>1890</v>
      </c>
      <c r="G202" s="3">
        <v>32.35</v>
      </c>
      <c r="H202" s="2" t="s">
        <v>199</v>
      </c>
      <c r="I202" s="4">
        <f>[1]Sheet1!I202</f>
        <v>195</v>
      </c>
      <c r="J202" s="3" t="str">
        <f t="shared" si="7"/>
        <v>2352_A1C1.webp</v>
      </c>
      <c r="K202" s="5">
        <f>Sheet4!E202</f>
        <v>12</v>
      </c>
      <c r="L202" s="5"/>
      <c r="M202" s="4"/>
    </row>
    <row r="203" spans="1:13" x14ac:dyDescent="0.25">
      <c r="A203" t="s">
        <v>2518</v>
      </c>
      <c r="B203" t="s">
        <v>2728</v>
      </c>
      <c r="C203" s="25">
        <v>2353</v>
      </c>
      <c r="D203" s="28">
        <v>2353</v>
      </c>
      <c r="E203" s="2" t="str">
        <f t="shared" si="8"/>
        <v>Same</v>
      </c>
      <c r="F203" s="6" t="s">
        <v>1890</v>
      </c>
      <c r="G203" s="3">
        <v>32.35</v>
      </c>
      <c r="H203" s="2" t="s">
        <v>200</v>
      </c>
      <c r="I203" s="4">
        <f>[1]Sheet1!I203</f>
        <v>2062</v>
      </c>
      <c r="J203" s="3" t="str">
        <f t="shared" si="7"/>
        <v>2353_A1C1.webp</v>
      </c>
      <c r="K203" s="5">
        <f>Sheet4!E203</f>
        <v>12</v>
      </c>
      <c r="L203" s="5"/>
      <c r="M203" s="4"/>
    </row>
    <row r="204" spans="1:13" x14ac:dyDescent="0.25">
      <c r="A204" t="s">
        <v>2518</v>
      </c>
      <c r="B204" t="s">
        <v>2551</v>
      </c>
      <c r="C204" s="25">
        <v>2354</v>
      </c>
      <c r="D204" s="28">
        <v>2354</v>
      </c>
      <c r="E204" s="2" t="str">
        <f t="shared" si="8"/>
        <v>Same</v>
      </c>
      <c r="F204" s="6" t="s">
        <v>1880</v>
      </c>
      <c r="G204" s="3">
        <v>37.5</v>
      </c>
      <c r="H204" s="2" t="s">
        <v>201</v>
      </c>
      <c r="I204" s="4">
        <f>[1]Sheet1!I204</f>
        <v>2510</v>
      </c>
      <c r="J204" s="3" t="str">
        <f t="shared" si="7"/>
        <v>2354_A1C1.webp</v>
      </c>
      <c r="K204" s="5">
        <f>Sheet4!E204</f>
        <v>24</v>
      </c>
      <c r="L204" s="5"/>
      <c r="M204" s="4"/>
    </row>
    <row r="205" spans="1:13" x14ac:dyDescent="0.25">
      <c r="A205" t="s">
        <v>2518</v>
      </c>
      <c r="B205" t="s">
        <v>2700</v>
      </c>
      <c r="C205" s="25">
        <v>2355</v>
      </c>
      <c r="D205" s="28">
        <v>2355</v>
      </c>
      <c r="E205" s="2" t="str">
        <f t="shared" si="8"/>
        <v>Same</v>
      </c>
      <c r="F205" s="6" t="s">
        <v>1891</v>
      </c>
      <c r="G205" s="3">
        <v>65.95</v>
      </c>
      <c r="H205" s="2" t="s">
        <v>202</v>
      </c>
      <c r="I205" s="4">
        <f>[1]Sheet1!I205</f>
        <v>263</v>
      </c>
      <c r="J205" s="3" t="str">
        <f t="shared" si="7"/>
        <v>2355_A1C1.webp</v>
      </c>
      <c r="K205" s="5">
        <f>Sheet4!E205</f>
        <v>1</v>
      </c>
      <c r="L205" s="5"/>
      <c r="M205" s="4"/>
    </row>
    <row r="206" spans="1:13" x14ac:dyDescent="0.25">
      <c r="A206" t="s">
        <v>2518</v>
      </c>
      <c r="B206" t="s">
        <v>2700</v>
      </c>
      <c r="C206" s="25">
        <v>2356</v>
      </c>
      <c r="D206" s="28">
        <v>2356</v>
      </c>
      <c r="E206" s="2" t="str">
        <f t="shared" si="8"/>
        <v>Same</v>
      </c>
      <c r="F206" s="6" t="s">
        <v>1891</v>
      </c>
      <c r="G206" s="3">
        <v>61.95</v>
      </c>
      <c r="H206" s="2" t="s">
        <v>203</v>
      </c>
      <c r="I206" s="4">
        <f>[1]Sheet1!I206</f>
        <v>154</v>
      </c>
      <c r="J206" s="3" t="str">
        <f t="shared" si="7"/>
        <v>2356_A1C1.webp</v>
      </c>
      <c r="K206" s="5">
        <f>Sheet4!E206</f>
        <v>1</v>
      </c>
      <c r="L206" s="5"/>
      <c r="M206" s="4"/>
    </row>
    <row r="207" spans="1:13" x14ac:dyDescent="0.25">
      <c r="A207" t="s">
        <v>2518</v>
      </c>
      <c r="B207" t="s">
        <v>2700</v>
      </c>
      <c r="C207" s="25">
        <v>2357</v>
      </c>
      <c r="D207" s="28">
        <v>2357</v>
      </c>
      <c r="E207" s="2" t="str">
        <f t="shared" si="8"/>
        <v>Same</v>
      </c>
      <c r="F207" s="6" t="s">
        <v>1892</v>
      </c>
      <c r="G207" s="3">
        <v>57.95</v>
      </c>
      <c r="H207" s="2" t="s">
        <v>204</v>
      </c>
      <c r="I207" s="4">
        <f>[1]Sheet1!I207</f>
        <v>516</v>
      </c>
      <c r="J207" s="3" t="str">
        <f t="shared" si="7"/>
        <v>2357_A1C1.webp</v>
      </c>
      <c r="K207" s="5">
        <f>Sheet4!E207</f>
        <v>1</v>
      </c>
      <c r="L207" s="5"/>
      <c r="M207" s="4"/>
    </row>
    <row r="208" spans="1:13" x14ac:dyDescent="0.25">
      <c r="A208" t="s">
        <v>2518</v>
      </c>
      <c r="B208" t="s">
        <v>2700</v>
      </c>
      <c r="C208" s="25">
        <v>2358</v>
      </c>
      <c r="D208" s="28">
        <v>2358</v>
      </c>
      <c r="E208" s="2" t="str">
        <f t="shared" si="8"/>
        <v>Same</v>
      </c>
      <c r="F208" s="6" t="s">
        <v>1891</v>
      </c>
      <c r="G208" s="3">
        <v>60.95</v>
      </c>
      <c r="H208" s="2" t="s">
        <v>205</v>
      </c>
      <c r="I208" s="4">
        <f>[1]Sheet1!I208</f>
        <v>346</v>
      </c>
      <c r="J208" s="3" t="str">
        <f t="shared" si="7"/>
        <v>2358_A1C1.webp</v>
      </c>
      <c r="K208" s="5">
        <f>Sheet4!E208</f>
        <v>1</v>
      </c>
      <c r="L208" s="5"/>
      <c r="M208" s="4"/>
    </row>
    <row r="209" spans="1:13" x14ac:dyDescent="0.25">
      <c r="A209" t="s">
        <v>2518</v>
      </c>
      <c r="B209" t="s">
        <v>2751</v>
      </c>
      <c r="C209" s="25">
        <v>2361</v>
      </c>
      <c r="D209" s="28">
        <v>2361</v>
      </c>
      <c r="E209" s="2" t="str">
        <f t="shared" si="8"/>
        <v>Same</v>
      </c>
      <c r="F209" s="6" t="s">
        <v>1877</v>
      </c>
      <c r="G209" s="3">
        <v>25.95</v>
      </c>
      <c r="H209" s="2" t="s">
        <v>206</v>
      </c>
      <c r="I209" s="4">
        <f>[1]Sheet1!I209</f>
        <v>707</v>
      </c>
      <c r="J209" s="3" t="str">
        <f t="shared" si="7"/>
        <v>2361_A1C1.webp</v>
      </c>
      <c r="K209" s="5">
        <f>Sheet4!E209</f>
        <v>12</v>
      </c>
      <c r="L209" s="5"/>
      <c r="M209" s="4"/>
    </row>
    <row r="210" spans="1:13" x14ac:dyDescent="0.25">
      <c r="A210" t="s">
        <v>2518</v>
      </c>
      <c r="B210" t="s">
        <v>2751</v>
      </c>
      <c r="C210" s="25">
        <v>2362</v>
      </c>
      <c r="D210" s="28">
        <v>2362</v>
      </c>
      <c r="E210" s="2" t="str">
        <f t="shared" si="8"/>
        <v>Same</v>
      </c>
      <c r="F210" s="6" t="s">
        <v>1877</v>
      </c>
      <c r="G210" s="3">
        <v>25.95</v>
      </c>
      <c r="H210" s="2" t="s">
        <v>207</v>
      </c>
      <c r="I210" s="4">
        <f>[1]Sheet1!I210</f>
        <v>310</v>
      </c>
      <c r="J210" s="3" t="str">
        <f t="shared" si="7"/>
        <v>2362_A1C1.webp</v>
      </c>
      <c r="K210" s="5">
        <f>Sheet4!E210</f>
        <v>12</v>
      </c>
      <c r="L210" s="5"/>
      <c r="M210" s="4"/>
    </row>
    <row r="211" spans="1:13" x14ac:dyDescent="0.25">
      <c r="A211" t="s">
        <v>2518</v>
      </c>
      <c r="B211" t="s">
        <v>2751</v>
      </c>
      <c r="C211" s="25">
        <v>2363</v>
      </c>
      <c r="D211" s="28">
        <v>2363</v>
      </c>
      <c r="E211" s="2" t="str">
        <f t="shared" si="8"/>
        <v>Same</v>
      </c>
      <c r="F211" s="6" t="s">
        <v>1877</v>
      </c>
      <c r="G211" s="3">
        <v>25.95</v>
      </c>
      <c r="H211" s="2" t="s">
        <v>208</v>
      </c>
      <c r="I211" s="4">
        <f>[1]Sheet1!I211</f>
        <v>1225</v>
      </c>
      <c r="J211" s="3" t="str">
        <f t="shared" si="7"/>
        <v>2363_A1C1.webp</v>
      </c>
      <c r="K211" s="5">
        <f>Sheet4!E211</f>
        <v>12</v>
      </c>
      <c r="L211" s="5"/>
      <c r="M211" s="4"/>
    </row>
    <row r="212" spans="1:13" x14ac:dyDescent="0.25">
      <c r="A212" t="s">
        <v>2518</v>
      </c>
      <c r="B212" t="s">
        <v>2751</v>
      </c>
      <c r="C212" s="25">
        <v>2364</v>
      </c>
      <c r="D212" s="28">
        <v>2364</v>
      </c>
      <c r="E212" s="2" t="str">
        <f t="shared" si="8"/>
        <v>Same</v>
      </c>
      <c r="F212" s="6" t="s">
        <v>1877</v>
      </c>
      <c r="G212" s="3">
        <v>25.95</v>
      </c>
      <c r="H212" s="2" t="s">
        <v>209</v>
      </c>
      <c r="I212" s="4">
        <f>[1]Sheet1!I212</f>
        <v>180</v>
      </c>
      <c r="J212" s="3" t="str">
        <f t="shared" si="7"/>
        <v>2364_A1C1.webp</v>
      </c>
      <c r="K212" s="5">
        <f>Sheet4!E212</f>
        <v>12</v>
      </c>
      <c r="L212" s="5"/>
      <c r="M212" s="4"/>
    </row>
    <row r="213" spans="1:13" x14ac:dyDescent="0.25">
      <c r="A213" t="s">
        <v>2518</v>
      </c>
      <c r="B213" t="s">
        <v>2751</v>
      </c>
      <c r="C213" s="25">
        <v>2365</v>
      </c>
      <c r="D213" s="28">
        <v>2365</v>
      </c>
      <c r="E213" s="2" t="str">
        <f t="shared" si="8"/>
        <v>Same</v>
      </c>
      <c r="F213" s="6" t="s">
        <v>1877</v>
      </c>
      <c r="G213" s="3">
        <v>25.95</v>
      </c>
      <c r="H213" s="2" t="s">
        <v>210</v>
      </c>
      <c r="I213" s="4">
        <f>[1]Sheet1!I213</f>
        <v>2582</v>
      </c>
      <c r="J213" s="3" t="str">
        <f t="shared" si="7"/>
        <v>2365_A1C1.webp</v>
      </c>
      <c r="K213" s="5">
        <f>Sheet4!E213</f>
        <v>12</v>
      </c>
      <c r="L213" s="5"/>
      <c r="M213" s="4"/>
    </row>
    <row r="214" spans="1:13" x14ac:dyDescent="0.25">
      <c r="A214" t="s">
        <v>2518</v>
      </c>
      <c r="B214" t="s">
        <v>2751</v>
      </c>
      <c r="C214" s="25">
        <v>2366</v>
      </c>
      <c r="D214" s="28">
        <v>2366</v>
      </c>
      <c r="E214" s="2" t="str">
        <f t="shared" si="8"/>
        <v>Same</v>
      </c>
      <c r="F214" s="6" t="s">
        <v>1877</v>
      </c>
      <c r="G214" s="3">
        <v>25.95</v>
      </c>
      <c r="H214" s="2" t="s">
        <v>211</v>
      </c>
      <c r="I214" s="4">
        <f>[1]Sheet1!I214</f>
        <v>0</v>
      </c>
      <c r="J214" s="3" t="str">
        <f t="shared" si="7"/>
        <v>2366_A1C1.webp</v>
      </c>
      <c r="K214" s="5">
        <f>Sheet4!E214</f>
        <v>12</v>
      </c>
      <c r="L214" s="5"/>
      <c r="M214" s="4"/>
    </row>
    <row r="215" spans="1:13" x14ac:dyDescent="0.25">
      <c r="A215" t="s">
        <v>2518</v>
      </c>
      <c r="B215" t="s">
        <v>2551</v>
      </c>
      <c r="C215" s="25">
        <v>2372</v>
      </c>
      <c r="D215" s="28">
        <v>2372</v>
      </c>
      <c r="E215" s="2" t="str">
        <f t="shared" si="8"/>
        <v>Same</v>
      </c>
      <c r="F215" s="6" t="s">
        <v>1880</v>
      </c>
      <c r="G215" s="3">
        <v>37.5</v>
      </c>
      <c r="H215" s="2" t="s">
        <v>212</v>
      </c>
      <c r="I215" s="4">
        <f>[1]Sheet1!I215</f>
        <v>1333</v>
      </c>
      <c r="J215" s="3" t="str">
        <f t="shared" si="7"/>
        <v>2372_A1C1.webp</v>
      </c>
      <c r="K215" s="5">
        <f>Sheet4!E215</f>
        <v>24</v>
      </c>
      <c r="L215" s="5"/>
      <c r="M215" s="4"/>
    </row>
    <row r="216" spans="1:13" x14ac:dyDescent="0.25">
      <c r="A216" t="s">
        <v>2518</v>
      </c>
      <c r="B216" t="s">
        <v>2531</v>
      </c>
      <c r="C216" s="25">
        <v>2385</v>
      </c>
      <c r="D216" s="28">
        <v>2385</v>
      </c>
      <c r="E216" s="2" t="str">
        <f t="shared" si="8"/>
        <v>Same</v>
      </c>
      <c r="F216" s="6" t="s">
        <v>1880</v>
      </c>
      <c r="G216" s="3">
        <v>26.4</v>
      </c>
      <c r="H216" s="2" t="s">
        <v>213</v>
      </c>
      <c r="I216" s="4">
        <f>[1]Sheet1!I216</f>
        <v>471</v>
      </c>
      <c r="J216" s="3" t="str">
        <f t="shared" si="7"/>
        <v>2385_A1C1.webp</v>
      </c>
      <c r="K216" s="5">
        <f>Sheet4!E216</f>
        <v>24</v>
      </c>
      <c r="L216" s="5"/>
      <c r="M216" s="4"/>
    </row>
    <row r="217" spans="1:13" x14ac:dyDescent="0.25">
      <c r="A217" t="s">
        <v>2518</v>
      </c>
      <c r="B217" t="s">
        <v>5264</v>
      </c>
      <c r="C217" s="25">
        <v>2389</v>
      </c>
      <c r="D217" s="28">
        <v>2389</v>
      </c>
      <c r="E217" s="2" t="str">
        <f t="shared" si="8"/>
        <v>Same</v>
      </c>
      <c r="F217" s="6" t="s">
        <v>1880</v>
      </c>
      <c r="H217" s="2" t="s">
        <v>214</v>
      </c>
      <c r="I217" s="4">
        <f>[1]Sheet1!I217</f>
        <v>58</v>
      </c>
      <c r="J217" s="3" t="str">
        <f t="shared" si="7"/>
        <v>2389_A1C1.webp</v>
      </c>
      <c r="K217" s="5">
        <f>Sheet4!E217</f>
        <v>528</v>
      </c>
      <c r="L217" s="5"/>
      <c r="M217" s="4"/>
    </row>
    <row r="218" spans="1:13" x14ac:dyDescent="0.25">
      <c r="A218" t="s">
        <v>2518</v>
      </c>
      <c r="B218" t="s">
        <v>2728</v>
      </c>
      <c r="C218" s="25">
        <v>2390</v>
      </c>
      <c r="D218" s="28">
        <v>2390</v>
      </c>
      <c r="E218" s="2" t="str">
        <f t="shared" si="8"/>
        <v>Same</v>
      </c>
      <c r="F218" s="6" t="s">
        <v>1890</v>
      </c>
      <c r="G218" s="3">
        <v>32.35</v>
      </c>
      <c r="H218" s="2" t="s">
        <v>215</v>
      </c>
      <c r="I218" s="4">
        <f>[1]Sheet1!I218</f>
        <v>283</v>
      </c>
      <c r="J218" s="3" t="str">
        <f t="shared" si="7"/>
        <v>2390_A1C1.webp</v>
      </c>
      <c r="K218" s="5">
        <f>Sheet4!E218</f>
        <v>12</v>
      </c>
      <c r="L218" s="5"/>
      <c r="M218" s="4"/>
    </row>
    <row r="219" spans="1:13" x14ac:dyDescent="0.25">
      <c r="A219" t="s">
        <v>2518</v>
      </c>
      <c r="B219" t="s">
        <v>2709</v>
      </c>
      <c r="C219" s="25">
        <v>2391</v>
      </c>
      <c r="D219" s="28">
        <v>2391</v>
      </c>
      <c r="E219" s="2" t="str">
        <f t="shared" si="8"/>
        <v>Same</v>
      </c>
      <c r="F219" s="6" t="s">
        <v>1849</v>
      </c>
      <c r="G219" s="3">
        <v>36.5</v>
      </c>
      <c r="H219" s="2" t="s">
        <v>216</v>
      </c>
      <c r="I219" s="4">
        <f>[1]Sheet1!I219</f>
        <v>680</v>
      </c>
      <c r="J219" s="3" t="str">
        <f t="shared" si="7"/>
        <v>2391_A1C1.webp</v>
      </c>
      <c r="K219" s="5">
        <f>Sheet4!E219</f>
        <v>24</v>
      </c>
      <c r="L219" s="5"/>
      <c r="M219" s="4"/>
    </row>
    <row r="220" spans="1:13" x14ac:dyDescent="0.25">
      <c r="A220" t="s">
        <v>2518</v>
      </c>
      <c r="B220" t="s">
        <v>2533</v>
      </c>
      <c r="C220" s="25">
        <v>2400</v>
      </c>
      <c r="D220" s="28">
        <v>2400</v>
      </c>
      <c r="E220" s="2" t="str">
        <f t="shared" si="8"/>
        <v>Same</v>
      </c>
      <c r="F220" s="6" t="s">
        <v>1877</v>
      </c>
      <c r="G220" s="3">
        <v>25.95</v>
      </c>
      <c r="H220" s="2" t="s">
        <v>217</v>
      </c>
      <c r="I220" s="4">
        <f>[1]Sheet1!I220</f>
        <v>3908</v>
      </c>
      <c r="J220" s="3" t="str">
        <f t="shared" si="7"/>
        <v>2400_A1C1.webp</v>
      </c>
      <c r="K220" s="5">
        <f>Sheet4!E220</f>
        <v>12</v>
      </c>
      <c r="L220" s="5"/>
      <c r="M220" s="4"/>
    </row>
    <row r="221" spans="1:13" x14ac:dyDescent="0.25">
      <c r="A221" t="s">
        <v>2518</v>
      </c>
      <c r="B221" t="s">
        <v>2526</v>
      </c>
      <c r="C221" s="25">
        <v>2402</v>
      </c>
      <c r="D221" s="28">
        <v>2402</v>
      </c>
      <c r="E221" s="2" t="str">
        <f t="shared" si="8"/>
        <v>Same</v>
      </c>
      <c r="F221" s="6" t="s">
        <v>1880</v>
      </c>
      <c r="G221" s="3">
        <v>26.4</v>
      </c>
      <c r="H221" s="2" t="s">
        <v>218</v>
      </c>
      <c r="I221" s="4">
        <f>[1]Sheet1!I221</f>
        <v>18916</v>
      </c>
      <c r="J221" s="3" t="str">
        <f t="shared" si="7"/>
        <v>2402_A1C1.webp</v>
      </c>
      <c r="K221" s="5">
        <f>Sheet4!E221</f>
        <v>24</v>
      </c>
      <c r="L221" s="5"/>
      <c r="M221" s="4"/>
    </row>
    <row r="222" spans="1:13" x14ac:dyDescent="0.25">
      <c r="A222" t="s">
        <v>2518</v>
      </c>
      <c r="B222" t="s">
        <v>2765</v>
      </c>
      <c r="C222" s="25">
        <v>2403</v>
      </c>
      <c r="D222" s="28">
        <v>2403</v>
      </c>
      <c r="E222" s="2" t="str">
        <f t="shared" si="8"/>
        <v>Same</v>
      </c>
      <c r="F222" s="6" t="s">
        <v>1875</v>
      </c>
      <c r="G222" s="3">
        <v>22.5</v>
      </c>
      <c r="H222" s="2" t="s">
        <v>219</v>
      </c>
      <c r="I222" s="4">
        <f>[1]Sheet1!I222</f>
        <v>1126</v>
      </c>
      <c r="J222" s="3" t="str">
        <f t="shared" si="7"/>
        <v>2403_A1C1.webp</v>
      </c>
      <c r="K222" s="5">
        <f>Sheet4!E222</f>
        <v>24</v>
      </c>
      <c r="L222" s="5"/>
      <c r="M222" s="4"/>
    </row>
    <row r="223" spans="1:13" x14ac:dyDescent="0.25">
      <c r="A223" t="s">
        <v>2518</v>
      </c>
      <c r="B223" t="s">
        <v>2526</v>
      </c>
      <c r="C223" s="25">
        <v>2406</v>
      </c>
      <c r="D223" s="28">
        <v>2406</v>
      </c>
      <c r="E223" s="2" t="str">
        <f t="shared" si="8"/>
        <v>Same</v>
      </c>
      <c r="F223" s="6" t="s">
        <v>1880</v>
      </c>
      <c r="G223" s="3">
        <v>26.4</v>
      </c>
      <c r="H223" s="2" t="s">
        <v>220</v>
      </c>
      <c r="I223" s="4">
        <f>[1]Sheet1!I223</f>
        <v>12633</v>
      </c>
      <c r="J223" s="3" t="str">
        <f t="shared" si="7"/>
        <v>2406_A1C1.webp</v>
      </c>
      <c r="K223" s="5">
        <f>Sheet4!E223</f>
        <v>24</v>
      </c>
      <c r="L223" s="5"/>
      <c r="M223" s="4"/>
    </row>
    <row r="224" spans="1:13" x14ac:dyDescent="0.25">
      <c r="A224" t="s">
        <v>2518</v>
      </c>
      <c r="B224" t="s">
        <v>2765</v>
      </c>
      <c r="C224" s="25">
        <v>2407</v>
      </c>
      <c r="D224" s="28">
        <v>2407</v>
      </c>
      <c r="E224" s="2" t="str">
        <f t="shared" si="8"/>
        <v>Same</v>
      </c>
      <c r="F224" s="6" t="s">
        <v>1875</v>
      </c>
      <c r="G224" s="3">
        <v>22.5</v>
      </c>
      <c r="H224" s="2" t="s">
        <v>221</v>
      </c>
      <c r="I224" s="4">
        <f>[1]Sheet1!I224</f>
        <v>929</v>
      </c>
      <c r="J224" s="3" t="str">
        <f t="shared" si="7"/>
        <v>2407_A1C1.webp</v>
      </c>
      <c r="K224" s="5">
        <f>Sheet4!E224</f>
        <v>24</v>
      </c>
      <c r="L224" s="5"/>
      <c r="M224" s="4"/>
    </row>
    <row r="225" spans="1:13" x14ac:dyDescent="0.25">
      <c r="A225" t="s">
        <v>2518</v>
      </c>
      <c r="B225" t="s">
        <v>2533</v>
      </c>
      <c r="C225" s="25">
        <v>2410</v>
      </c>
      <c r="D225" s="28">
        <v>2410</v>
      </c>
      <c r="E225" s="2" t="str">
        <f t="shared" si="8"/>
        <v>Same</v>
      </c>
      <c r="F225" s="6" t="s">
        <v>1877</v>
      </c>
      <c r="G225" s="3">
        <v>25.95</v>
      </c>
      <c r="H225" s="2" t="s">
        <v>222</v>
      </c>
      <c r="I225" s="4">
        <f>[1]Sheet1!I225</f>
        <v>0</v>
      </c>
      <c r="J225" s="3" t="str">
        <f t="shared" si="7"/>
        <v>2410_A1C1.webp</v>
      </c>
      <c r="K225" s="5">
        <f>Sheet4!E225</f>
        <v>12</v>
      </c>
      <c r="L225" s="5"/>
      <c r="M225" s="4"/>
    </row>
    <row r="226" spans="1:13" x14ac:dyDescent="0.25">
      <c r="A226" t="s">
        <v>2518</v>
      </c>
      <c r="B226" t="s">
        <v>2533</v>
      </c>
      <c r="C226" s="25">
        <v>2411</v>
      </c>
      <c r="D226" s="28">
        <v>2411</v>
      </c>
      <c r="E226" s="2" t="str">
        <f t="shared" si="8"/>
        <v>Same</v>
      </c>
      <c r="F226" s="6" t="s">
        <v>1877</v>
      </c>
      <c r="G226" s="3">
        <v>25.95</v>
      </c>
      <c r="H226" s="2" t="s">
        <v>223</v>
      </c>
      <c r="I226" s="4">
        <f>[1]Sheet1!I226</f>
        <v>4274</v>
      </c>
      <c r="J226" s="3" t="str">
        <f t="shared" si="7"/>
        <v>2411_A1C1.webp</v>
      </c>
      <c r="K226" s="5">
        <f>Sheet4!E226</f>
        <v>12</v>
      </c>
      <c r="L226" s="5"/>
      <c r="M226" s="4"/>
    </row>
    <row r="227" spans="1:13" x14ac:dyDescent="0.25">
      <c r="A227" t="s">
        <v>2518</v>
      </c>
      <c r="B227" t="s">
        <v>2526</v>
      </c>
      <c r="C227" s="25">
        <v>2412</v>
      </c>
      <c r="D227" s="28">
        <v>2412</v>
      </c>
      <c r="E227" s="2" t="str">
        <f t="shared" si="8"/>
        <v>Same</v>
      </c>
      <c r="F227" s="6" t="s">
        <v>1880</v>
      </c>
      <c r="G227" s="3">
        <v>26.4</v>
      </c>
      <c r="H227" s="2" t="s">
        <v>224</v>
      </c>
      <c r="I227" s="4">
        <f>[1]Sheet1!I227</f>
        <v>5774</v>
      </c>
      <c r="J227" s="3" t="str">
        <f t="shared" si="7"/>
        <v>2412_A1C1.webp</v>
      </c>
      <c r="K227" s="5">
        <f>Sheet4!E227</f>
        <v>24</v>
      </c>
      <c r="L227" s="5"/>
      <c r="M227" s="4"/>
    </row>
    <row r="228" spans="1:13" x14ac:dyDescent="0.25">
      <c r="A228" t="s">
        <v>2518</v>
      </c>
      <c r="B228" t="s">
        <v>2765</v>
      </c>
      <c r="C228" s="25">
        <v>2413</v>
      </c>
      <c r="D228" s="28">
        <v>2413</v>
      </c>
      <c r="E228" s="2" t="str">
        <f t="shared" si="8"/>
        <v>Same</v>
      </c>
      <c r="F228" s="6" t="s">
        <v>1875</v>
      </c>
      <c r="G228">
        <v>22.5</v>
      </c>
      <c r="H228" s="2" t="s">
        <v>225</v>
      </c>
      <c r="I228" s="4">
        <f>[1]Sheet1!I228</f>
        <v>235</v>
      </c>
      <c r="J228" s="3" t="str">
        <f t="shared" si="7"/>
        <v>2413_A1C1.webp</v>
      </c>
      <c r="K228" s="5">
        <f>Sheet4!E228</f>
        <v>24</v>
      </c>
      <c r="L228" s="5"/>
      <c r="M228" s="4"/>
    </row>
    <row r="229" spans="1:13" x14ac:dyDescent="0.25">
      <c r="A229" t="s">
        <v>2518</v>
      </c>
      <c r="B229" t="s">
        <v>2526</v>
      </c>
      <c r="C229" s="25">
        <v>2414</v>
      </c>
      <c r="D229" s="28">
        <v>2414</v>
      </c>
      <c r="E229" s="2" t="str">
        <f t="shared" si="8"/>
        <v>Same</v>
      </c>
      <c r="F229" s="6" t="s">
        <v>1880</v>
      </c>
      <c r="G229" s="3">
        <v>33.950000000000003</v>
      </c>
      <c r="H229" s="2" t="s">
        <v>226</v>
      </c>
      <c r="I229" s="4">
        <f>[1]Sheet1!I229</f>
        <v>213</v>
      </c>
      <c r="J229" s="3" t="str">
        <f t="shared" si="7"/>
        <v>2414_A1C1.webp</v>
      </c>
      <c r="K229" s="5">
        <f>Sheet4!E229</f>
        <v>24</v>
      </c>
      <c r="L229" s="5"/>
      <c r="M229" s="4"/>
    </row>
    <row r="230" spans="1:13" x14ac:dyDescent="0.25">
      <c r="A230" t="s">
        <v>2518</v>
      </c>
      <c r="B230" t="s">
        <v>2533</v>
      </c>
      <c r="C230" s="25">
        <v>2415</v>
      </c>
      <c r="D230" s="28">
        <v>2415</v>
      </c>
      <c r="E230" s="2" t="str">
        <f t="shared" si="8"/>
        <v>Same</v>
      </c>
      <c r="F230" s="6" t="s">
        <v>1877</v>
      </c>
      <c r="G230" s="3">
        <v>25.95</v>
      </c>
      <c r="H230" s="2" t="s">
        <v>227</v>
      </c>
      <c r="I230" s="4">
        <f>[1]Sheet1!I230</f>
        <v>4075</v>
      </c>
      <c r="J230" s="3" t="str">
        <f t="shared" si="7"/>
        <v>2415_A1C1.webp</v>
      </c>
      <c r="K230" s="5">
        <f>Sheet4!E230</f>
        <v>12</v>
      </c>
      <c r="L230" s="5"/>
      <c r="M230" s="4"/>
    </row>
    <row r="231" spans="1:13" x14ac:dyDescent="0.25">
      <c r="A231" t="s">
        <v>2518</v>
      </c>
      <c r="B231" t="s">
        <v>2526</v>
      </c>
      <c r="C231" s="25">
        <v>2416</v>
      </c>
      <c r="D231" s="28">
        <v>2416</v>
      </c>
      <c r="E231" s="2" t="str">
        <f t="shared" si="8"/>
        <v>Same</v>
      </c>
      <c r="F231" s="6" t="s">
        <v>1880</v>
      </c>
      <c r="G231" s="3">
        <v>26.4</v>
      </c>
      <c r="H231" s="2" t="s">
        <v>228</v>
      </c>
      <c r="I231" s="4">
        <f>[1]Sheet1!I231</f>
        <v>10524</v>
      </c>
      <c r="J231" s="3" t="str">
        <f t="shared" si="7"/>
        <v>2416_A1C1.webp</v>
      </c>
      <c r="K231" s="5">
        <f>Sheet4!E231</f>
        <v>24</v>
      </c>
      <c r="L231" s="5"/>
      <c r="M231" s="4"/>
    </row>
    <row r="232" spans="1:13" x14ac:dyDescent="0.25">
      <c r="A232" t="s">
        <v>2518</v>
      </c>
      <c r="B232" t="s">
        <v>2533</v>
      </c>
      <c r="C232" s="25">
        <v>2417</v>
      </c>
      <c r="D232" s="28">
        <v>2417</v>
      </c>
      <c r="E232" s="2" t="str">
        <f t="shared" si="8"/>
        <v>Same</v>
      </c>
      <c r="F232" s="6" t="s">
        <v>1877</v>
      </c>
      <c r="G232" s="3">
        <v>25.95</v>
      </c>
      <c r="H232" s="2" t="s">
        <v>229</v>
      </c>
      <c r="I232" s="4">
        <f>[1]Sheet1!I232</f>
        <v>4005</v>
      </c>
      <c r="J232" s="3" t="str">
        <f t="shared" si="7"/>
        <v>2417_A1C1.webp</v>
      </c>
      <c r="K232" s="5">
        <f>Sheet4!E232</f>
        <v>12</v>
      </c>
      <c r="L232" s="5"/>
      <c r="M232" s="4"/>
    </row>
    <row r="233" spans="1:13" x14ac:dyDescent="0.25">
      <c r="A233" t="s">
        <v>2518</v>
      </c>
      <c r="B233" t="s">
        <v>2526</v>
      </c>
      <c r="C233" s="25">
        <v>2418</v>
      </c>
      <c r="D233" s="28">
        <v>2418</v>
      </c>
      <c r="E233" s="2" t="str">
        <f t="shared" si="8"/>
        <v>Same</v>
      </c>
      <c r="F233" s="6" t="s">
        <v>1880</v>
      </c>
      <c r="G233" s="3">
        <v>33.950000000000003</v>
      </c>
      <c r="H233" s="2" t="s">
        <v>230</v>
      </c>
      <c r="I233" s="4">
        <f>[1]Sheet1!I233</f>
        <v>117</v>
      </c>
      <c r="J233" s="3" t="str">
        <f t="shared" si="7"/>
        <v>2418_A1C1.webp</v>
      </c>
      <c r="K233" s="5">
        <f>Sheet4!E233</f>
        <v>24</v>
      </c>
      <c r="L233" s="5"/>
      <c r="M233" s="4"/>
    </row>
    <row r="234" spans="1:13" x14ac:dyDescent="0.25">
      <c r="A234" t="s">
        <v>2518</v>
      </c>
      <c r="B234" t="s">
        <v>2533</v>
      </c>
      <c r="C234" s="25">
        <v>2419</v>
      </c>
      <c r="D234" s="28">
        <v>2419</v>
      </c>
      <c r="E234" s="2" t="str">
        <f t="shared" si="8"/>
        <v>Same</v>
      </c>
      <c r="F234" s="6" t="s">
        <v>1877</v>
      </c>
      <c r="G234" s="3">
        <v>25.95</v>
      </c>
      <c r="H234" s="2" t="s">
        <v>231</v>
      </c>
      <c r="I234" s="4">
        <f>[1]Sheet1!I234</f>
        <v>12060</v>
      </c>
      <c r="J234" s="3" t="str">
        <f t="shared" si="7"/>
        <v>2419_A1C1.webp</v>
      </c>
      <c r="K234" s="5">
        <f>Sheet4!E234</f>
        <v>12</v>
      </c>
      <c r="L234" s="5"/>
      <c r="M234" s="4"/>
    </row>
    <row r="235" spans="1:13" x14ac:dyDescent="0.25">
      <c r="A235" t="s">
        <v>2518</v>
      </c>
      <c r="B235" t="s">
        <v>2526</v>
      </c>
      <c r="C235" s="25">
        <v>2420</v>
      </c>
      <c r="D235" s="28">
        <v>2420</v>
      </c>
      <c r="E235" s="2" t="str">
        <f t="shared" si="8"/>
        <v>Same</v>
      </c>
      <c r="F235" s="6" t="s">
        <v>1880</v>
      </c>
      <c r="G235" s="3">
        <v>26.4</v>
      </c>
      <c r="H235" s="2" t="s">
        <v>232</v>
      </c>
      <c r="I235" s="4">
        <f>[1]Sheet1!I235</f>
        <v>18058</v>
      </c>
      <c r="J235" s="3" t="str">
        <f t="shared" si="7"/>
        <v>2420_A1C1.webp</v>
      </c>
      <c r="K235" s="5">
        <f>Sheet4!E235</f>
        <v>24</v>
      </c>
      <c r="L235" s="5"/>
      <c r="M235" s="4"/>
    </row>
    <row r="236" spans="1:13" x14ac:dyDescent="0.25">
      <c r="A236" t="s">
        <v>2518</v>
      </c>
      <c r="B236" t="s">
        <v>2526</v>
      </c>
      <c r="C236" s="25">
        <v>2421</v>
      </c>
      <c r="D236" s="28">
        <v>2421</v>
      </c>
      <c r="E236" s="2" t="str">
        <f t="shared" si="8"/>
        <v>Same</v>
      </c>
      <c r="F236" s="6" t="s">
        <v>1880</v>
      </c>
      <c r="G236" s="3">
        <v>26.4</v>
      </c>
      <c r="H236" s="2" t="s">
        <v>233</v>
      </c>
      <c r="I236" s="4">
        <f>[1]Sheet1!I236</f>
        <v>140</v>
      </c>
      <c r="J236" s="3" t="str">
        <f t="shared" si="7"/>
        <v>2421_A1C1.webp</v>
      </c>
      <c r="K236" s="5">
        <f>Sheet4!E236</f>
        <v>24</v>
      </c>
      <c r="L236" s="5"/>
      <c r="M236" s="4"/>
    </row>
    <row r="237" spans="1:13" x14ac:dyDescent="0.25">
      <c r="A237" t="s">
        <v>2518</v>
      </c>
      <c r="B237" t="s">
        <v>2526</v>
      </c>
      <c r="C237" s="25">
        <v>2422</v>
      </c>
      <c r="D237" s="28">
        <v>2422</v>
      </c>
      <c r="E237" s="2" t="str">
        <f t="shared" si="8"/>
        <v>Same</v>
      </c>
      <c r="F237" s="6" t="s">
        <v>1880</v>
      </c>
      <c r="G237" s="3">
        <v>26.4</v>
      </c>
      <c r="H237" s="2" t="s">
        <v>234</v>
      </c>
      <c r="I237" s="4">
        <f>[1]Sheet1!I237</f>
        <v>17134</v>
      </c>
      <c r="J237" s="3" t="str">
        <f t="shared" si="7"/>
        <v>2422_A1C1.webp</v>
      </c>
      <c r="K237" s="5">
        <f>Sheet4!E237</f>
        <v>24</v>
      </c>
      <c r="L237" s="5"/>
      <c r="M237" s="4"/>
    </row>
    <row r="238" spans="1:13" x14ac:dyDescent="0.25">
      <c r="A238" t="s">
        <v>2518</v>
      </c>
      <c r="B238" t="s">
        <v>2765</v>
      </c>
      <c r="C238" s="25">
        <v>2423</v>
      </c>
      <c r="D238" s="28">
        <v>2423</v>
      </c>
      <c r="E238" s="2" t="str">
        <f t="shared" si="8"/>
        <v>Same</v>
      </c>
      <c r="F238" s="6" t="s">
        <v>1875</v>
      </c>
      <c r="G238" s="3">
        <v>22.5</v>
      </c>
      <c r="H238" s="2" t="s">
        <v>235</v>
      </c>
      <c r="I238" s="4">
        <f>[1]Sheet1!I238</f>
        <v>2008</v>
      </c>
      <c r="J238" s="3" t="str">
        <f t="shared" si="7"/>
        <v>2423_A1C1.webp</v>
      </c>
      <c r="K238" s="5">
        <f>Sheet4!E238</f>
        <v>24</v>
      </c>
      <c r="L238" s="5"/>
      <c r="M238" s="4"/>
    </row>
    <row r="239" spans="1:13" x14ac:dyDescent="0.25">
      <c r="A239" t="s">
        <v>2518</v>
      </c>
      <c r="B239" t="s">
        <v>2526</v>
      </c>
      <c r="C239" s="25">
        <v>2425</v>
      </c>
      <c r="D239" s="28">
        <v>2425</v>
      </c>
      <c r="E239" s="2" t="str">
        <f t="shared" si="8"/>
        <v>Same</v>
      </c>
      <c r="F239" s="6" t="s">
        <v>1876</v>
      </c>
      <c r="G239" s="3">
        <v>33.950000000000003</v>
      </c>
      <c r="H239" s="2" t="s">
        <v>236</v>
      </c>
      <c r="I239" s="4">
        <f>[1]Sheet1!I239</f>
        <v>121</v>
      </c>
      <c r="J239" s="3" t="str">
        <f t="shared" si="7"/>
        <v>2425_A1C1.webp</v>
      </c>
      <c r="K239" s="5">
        <f>Sheet4!E239</f>
        <v>24</v>
      </c>
      <c r="L239" s="5"/>
      <c r="M239" s="4"/>
    </row>
    <row r="240" spans="1:13" x14ac:dyDescent="0.25">
      <c r="A240" t="s">
        <v>2518</v>
      </c>
      <c r="B240" t="s">
        <v>2526</v>
      </c>
      <c r="C240" s="25">
        <v>2426</v>
      </c>
      <c r="D240" s="28">
        <v>2426</v>
      </c>
      <c r="E240" s="2" t="str">
        <f t="shared" si="8"/>
        <v>Same</v>
      </c>
      <c r="F240" s="6" t="s">
        <v>1880</v>
      </c>
      <c r="G240" s="3">
        <v>26.4</v>
      </c>
      <c r="H240" s="2" t="s">
        <v>237</v>
      </c>
      <c r="I240" s="4">
        <f>[1]Sheet1!I240</f>
        <v>8594</v>
      </c>
      <c r="J240" s="3" t="str">
        <f t="shared" si="7"/>
        <v>2426_A1C1.webp</v>
      </c>
      <c r="K240" s="5">
        <f>Sheet4!E240</f>
        <v>24</v>
      </c>
      <c r="L240" s="5"/>
      <c r="M240" s="4"/>
    </row>
    <row r="241" spans="1:13" x14ac:dyDescent="0.25">
      <c r="A241" t="s">
        <v>2518</v>
      </c>
      <c r="B241" t="s">
        <v>2765</v>
      </c>
      <c r="C241" s="25">
        <v>2427</v>
      </c>
      <c r="D241" s="28">
        <v>2427</v>
      </c>
      <c r="E241" s="2" t="str">
        <f t="shared" si="8"/>
        <v>Same</v>
      </c>
      <c r="F241" s="6" t="s">
        <v>1875</v>
      </c>
      <c r="G241" s="3">
        <v>22.5</v>
      </c>
      <c r="H241" s="2" t="s">
        <v>238</v>
      </c>
      <c r="I241" s="4">
        <f>[1]Sheet1!I241</f>
        <v>115</v>
      </c>
      <c r="J241" s="3" t="str">
        <f t="shared" si="7"/>
        <v>2427_A1C1.webp</v>
      </c>
      <c r="K241" s="5">
        <f>Sheet4!E241</f>
        <v>24</v>
      </c>
      <c r="L241" s="5"/>
      <c r="M241" s="4"/>
    </row>
    <row r="242" spans="1:13" x14ac:dyDescent="0.25">
      <c r="A242" t="s">
        <v>2518</v>
      </c>
      <c r="B242" t="s">
        <v>2789</v>
      </c>
      <c r="C242" s="25">
        <v>2428</v>
      </c>
      <c r="D242" s="28">
        <v>2428</v>
      </c>
      <c r="E242" s="2" t="str">
        <f t="shared" si="8"/>
        <v>Same</v>
      </c>
      <c r="F242" s="6" t="s">
        <v>1893</v>
      </c>
      <c r="G242" s="3">
        <v>78.95</v>
      </c>
      <c r="H242" s="2" t="s">
        <v>239</v>
      </c>
      <c r="I242" s="4">
        <f>[1]Sheet1!I242</f>
        <v>305</v>
      </c>
      <c r="J242" s="3" t="str">
        <f t="shared" si="7"/>
        <v>2428_A1C1.webp</v>
      </c>
      <c r="K242" s="5">
        <f>Sheet4!E242</f>
        <v>4</v>
      </c>
      <c r="L242" s="5"/>
      <c r="M242" s="4"/>
    </row>
    <row r="243" spans="1:13" x14ac:dyDescent="0.25">
      <c r="A243" t="s">
        <v>2518</v>
      </c>
      <c r="B243" t="s">
        <v>2533</v>
      </c>
      <c r="C243" s="25">
        <v>2429</v>
      </c>
      <c r="D243" s="28">
        <v>2429</v>
      </c>
      <c r="E243" s="2" t="str">
        <f t="shared" si="8"/>
        <v>Same</v>
      </c>
      <c r="F243" s="6" t="s">
        <v>1877</v>
      </c>
      <c r="G243" s="3">
        <v>25.95</v>
      </c>
      <c r="H243" s="2" t="s">
        <v>240</v>
      </c>
      <c r="I243" s="4">
        <f>[1]Sheet1!I243</f>
        <v>2217</v>
      </c>
      <c r="J243" s="3" t="str">
        <f t="shared" si="7"/>
        <v>2429_A1C1.webp</v>
      </c>
      <c r="K243" s="5">
        <f>Sheet4!E243</f>
        <v>12</v>
      </c>
      <c r="L243" s="5"/>
      <c r="M243" s="4"/>
    </row>
    <row r="244" spans="1:13" x14ac:dyDescent="0.25">
      <c r="A244" t="s">
        <v>2518</v>
      </c>
      <c r="B244" t="s">
        <v>2526</v>
      </c>
      <c r="C244" s="25">
        <v>2430</v>
      </c>
      <c r="D244" s="28">
        <v>2430</v>
      </c>
      <c r="E244" s="2" t="str">
        <f t="shared" si="8"/>
        <v>Same</v>
      </c>
      <c r="F244" s="6" t="s">
        <v>1880</v>
      </c>
      <c r="G244" s="3">
        <v>26.4</v>
      </c>
      <c r="H244" s="2" t="s">
        <v>241</v>
      </c>
      <c r="I244" s="4">
        <f>[1]Sheet1!I244</f>
        <v>2867</v>
      </c>
      <c r="J244" s="3" t="str">
        <f t="shared" si="7"/>
        <v>2430_A1C1.webp</v>
      </c>
      <c r="K244" s="5">
        <f>Sheet4!E244</f>
        <v>24</v>
      </c>
      <c r="L244" s="5"/>
      <c r="M244" s="4"/>
    </row>
    <row r="245" spans="1:13" x14ac:dyDescent="0.25">
      <c r="A245" t="s">
        <v>2518</v>
      </c>
      <c r="B245" t="s">
        <v>2526</v>
      </c>
      <c r="C245" s="25">
        <v>2432</v>
      </c>
      <c r="D245" s="28">
        <v>2432</v>
      </c>
      <c r="E245" s="2" t="str">
        <f t="shared" si="8"/>
        <v>Same</v>
      </c>
      <c r="F245" s="6" t="s">
        <v>1880</v>
      </c>
      <c r="G245" s="3">
        <v>33.950000000000003</v>
      </c>
      <c r="H245" s="2" t="s">
        <v>242</v>
      </c>
      <c r="I245" s="4">
        <f>[1]Sheet1!I245</f>
        <v>1645</v>
      </c>
      <c r="J245" s="3" t="str">
        <f t="shared" si="7"/>
        <v>2432_A1C1.webp</v>
      </c>
      <c r="K245" s="5">
        <f>Sheet4!E245</f>
        <v>24</v>
      </c>
      <c r="L245" s="5"/>
      <c r="M245" s="4"/>
    </row>
    <row r="246" spans="1:13" x14ac:dyDescent="0.25">
      <c r="A246" t="s">
        <v>2518</v>
      </c>
      <c r="B246" t="s">
        <v>2526</v>
      </c>
      <c r="C246" s="25">
        <v>2435</v>
      </c>
      <c r="D246" s="28">
        <v>2435</v>
      </c>
      <c r="E246" s="2" t="str">
        <f t="shared" si="8"/>
        <v>Same</v>
      </c>
      <c r="F246" s="6" t="s">
        <v>1880</v>
      </c>
      <c r="G246" s="3">
        <v>26.4</v>
      </c>
      <c r="H246" s="2" t="s">
        <v>243</v>
      </c>
      <c r="I246" s="4">
        <f>[1]Sheet1!I246</f>
        <v>11102</v>
      </c>
      <c r="J246" s="3" t="str">
        <f t="shared" si="7"/>
        <v>2435_A1C1.webp</v>
      </c>
      <c r="K246" s="5">
        <f>Sheet4!E246</f>
        <v>24</v>
      </c>
      <c r="L246" s="5"/>
      <c r="M246" s="4"/>
    </row>
    <row r="247" spans="1:13" x14ac:dyDescent="0.25">
      <c r="A247" t="s">
        <v>2518</v>
      </c>
      <c r="B247" t="s">
        <v>2526</v>
      </c>
      <c r="C247" s="25">
        <v>2437</v>
      </c>
      <c r="D247" s="28">
        <v>2437</v>
      </c>
      <c r="E247" s="2" t="str">
        <f t="shared" si="8"/>
        <v>Same</v>
      </c>
      <c r="F247" s="6" t="s">
        <v>1880</v>
      </c>
      <c r="G247" s="3">
        <v>26.4</v>
      </c>
      <c r="H247" s="2" t="s">
        <v>244</v>
      </c>
      <c r="I247" s="4">
        <f>[1]Sheet1!I247</f>
        <v>12440</v>
      </c>
      <c r="J247" s="3" t="str">
        <f t="shared" si="7"/>
        <v>2437_A1C1.webp</v>
      </c>
      <c r="K247" s="5">
        <f>Sheet4!E247</f>
        <v>24</v>
      </c>
      <c r="L247" s="5"/>
      <c r="M247" s="4"/>
    </row>
    <row r="248" spans="1:13" x14ac:dyDescent="0.25">
      <c r="A248" t="s">
        <v>2518</v>
      </c>
      <c r="B248" t="s">
        <v>2533</v>
      </c>
      <c r="C248" s="25">
        <v>2438</v>
      </c>
      <c r="D248" s="28">
        <v>2438</v>
      </c>
      <c r="E248" s="2" t="str">
        <f t="shared" si="8"/>
        <v>Same</v>
      </c>
      <c r="F248" s="6" t="s">
        <v>1877</v>
      </c>
      <c r="G248" s="3">
        <v>31.5</v>
      </c>
      <c r="H248" s="2" t="s">
        <v>245</v>
      </c>
      <c r="I248" s="4">
        <f>[1]Sheet1!I248</f>
        <v>21</v>
      </c>
      <c r="J248" s="3" t="str">
        <f t="shared" si="7"/>
        <v>2438_A1C1.webp</v>
      </c>
      <c r="K248" s="5">
        <f>Sheet4!E248</f>
        <v>12</v>
      </c>
      <c r="L248" s="5"/>
      <c r="M248" s="4"/>
    </row>
    <row r="249" spans="1:13" x14ac:dyDescent="0.25">
      <c r="A249" t="s">
        <v>2518</v>
      </c>
      <c r="B249" t="s">
        <v>2765</v>
      </c>
      <c r="C249" s="25">
        <v>2439</v>
      </c>
      <c r="D249" s="28">
        <v>2439</v>
      </c>
      <c r="E249" s="2" t="str">
        <f t="shared" si="8"/>
        <v>Same</v>
      </c>
      <c r="F249" s="6" t="s">
        <v>1875</v>
      </c>
      <c r="G249" s="3">
        <v>22.5</v>
      </c>
      <c r="H249" s="2" t="s">
        <v>246</v>
      </c>
      <c r="I249" s="4">
        <f>[1]Sheet1!I249</f>
        <v>312</v>
      </c>
      <c r="J249" s="3" t="str">
        <f t="shared" si="7"/>
        <v>2439_A1C1.webp</v>
      </c>
      <c r="K249" s="5">
        <f>Sheet4!E249</f>
        <v>24</v>
      </c>
      <c r="L249" s="5"/>
      <c r="M249" s="4"/>
    </row>
    <row r="250" spans="1:13" x14ac:dyDescent="0.25">
      <c r="A250" t="s">
        <v>2518</v>
      </c>
      <c r="B250" t="s">
        <v>2533</v>
      </c>
      <c r="C250" s="25">
        <v>2442</v>
      </c>
      <c r="D250" s="28">
        <v>2442</v>
      </c>
      <c r="E250" s="2" t="str">
        <f t="shared" si="8"/>
        <v>Same</v>
      </c>
      <c r="F250" s="6" t="s">
        <v>1877</v>
      </c>
      <c r="G250" s="3">
        <v>25.95</v>
      </c>
      <c r="H250" s="2" t="s">
        <v>247</v>
      </c>
      <c r="I250" s="4">
        <f>[1]Sheet1!I250</f>
        <v>3449</v>
      </c>
      <c r="J250" s="3" t="str">
        <f t="shared" si="7"/>
        <v>2442_A1C1.webp</v>
      </c>
      <c r="K250" s="5">
        <f>Sheet4!E250</f>
        <v>12</v>
      </c>
      <c r="L250" s="5"/>
      <c r="M250" s="4"/>
    </row>
    <row r="251" spans="1:13" x14ac:dyDescent="0.25">
      <c r="A251" t="s">
        <v>2518</v>
      </c>
      <c r="B251" t="s">
        <v>2526</v>
      </c>
      <c r="C251" s="25">
        <v>2443</v>
      </c>
      <c r="D251" s="28">
        <v>2443</v>
      </c>
      <c r="E251" s="2" t="str">
        <f t="shared" si="8"/>
        <v>Same</v>
      </c>
      <c r="F251" s="6" t="s">
        <v>1880</v>
      </c>
      <c r="G251" s="3">
        <v>38.75</v>
      </c>
      <c r="H251" s="2" t="s">
        <v>248</v>
      </c>
      <c r="I251" s="4">
        <f>[1]Sheet1!I251</f>
        <v>5690</v>
      </c>
      <c r="J251" s="3" t="str">
        <f t="shared" si="7"/>
        <v>2443_A1C1.webp</v>
      </c>
      <c r="K251" s="5">
        <f>Sheet4!E251</f>
        <v>24</v>
      </c>
      <c r="L251" s="5"/>
      <c r="M251" s="4"/>
    </row>
    <row r="252" spans="1:13" x14ac:dyDescent="0.25">
      <c r="A252" t="s">
        <v>2518</v>
      </c>
      <c r="B252" t="s">
        <v>2533</v>
      </c>
      <c r="C252" s="25">
        <v>2444</v>
      </c>
      <c r="D252" s="28">
        <v>2444</v>
      </c>
      <c r="E252" s="2" t="str">
        <f t="shared" si="8"/>
        <v>Same</v>
      </c>
      <c r="F252" s="6" t="s">
        <v>1877</v>
      </c>
      <c r="G252" s="3">
        <v>31.5</v>
      </c>
      <c r="H252" s="2" t="s">
        <v>249</v>
      </c>
      <c r="I252" s="4">
        <f>[1]Sheet1!I252</f>
        <v>3091</v>
      </c>
      <c r="J252" s="3" t="str">
        <f t="shared" si="7"/>
        <v>2444_A1C1.webp</v>
      </c>
      <c r="K252" s="5">
        <f>Sheet4!E252</f>
        <v>12</v>
      </c>
      <c r="L252" s="5"/>
      <c r="M252" s="4"/>
    </row>
    <row r="253" spans="1:13" x14ac:dyDescent="0.25">
      <c r="A253" t="s">
        <v>2518</v>
      </c>
      <c r="B253" t="s">
        <v>2526</v>
      </c>
      <c r="C253" s="25">
        <v>2446</v>
      </c>
      <c r="D253" s="28">
        <v>2446</v>
      </c>
      <c r="E253" s="2" t="str">
        <f t="shared" si="8"/>
        <v>Same</v>
      </c>
      <c r="F253" s="6" t="s">
        <v>1880</v>
      </c>
      <c r="G253" s="3">
        <v>33.950000000000003</v>
      </c>
      <c r="H253" s="2" t="s">
        <v>250</v>
      </c>
      <c r="I253" s="4">
        <f>[1]Sheet1!I253</f>
        <v>4668</v>
      </c>
      <c r="J253" s="3" t="str">
        <f t="shared" si="7"/>
        <v>2446_A1C1.webp</v>
      </c>
      <c r="K253" s="5">
        <f>Sheet4!E253</f>
        <v>24</v>
      </c>
      <c r="L253" s="5"/>
      <c r="M253" s="4"/>
    </row>
    <row r="254" spans="1:13" x14ac:dyDescent="0.25">
      <c r="A254" t="s">
        <v>2518</v>
      </c>
      <c r="B254" t="s">
        <v>2533</v>
      </c>
      <c r="C254" s="25">
        <v>2449</v>
      </c>
      <c r="D254" s="28">
        <v>2449</v>
      </c>
      <c r="E254" s="2" t="str">
        <f t="shared" si="8"/>
        <v>Same</v>
      </c>
      <c r="F254" s="6" t="s">
        <v>1877</v>
      </c>
      <c r="G254" s="3">
        <v>31.5</v>
      </c>
      <c r="H254" s="2" t="s">
        <v>251</v>
      </c>
      <c r="I254" s="4">
        <f>[1]Sheet1!I254</f>
        <v>1316</v>
      </c>
      <c r="J254" s="3" t="str">
        <f t="shared" si="7"/>
        <v>2449_A1C1.webp</v>
      </c>
      <c r="K254" s="5">
        <f>Sheet4!E254</f>
        <v>12</v>
      </c>
      <c r="L254" s="5"/>
      <c r="M254" s="4"/>
    </row>
    <row r="255" spans="1:13" x14ac:dyDescent="0.25">
      <c r="A255" t="s">
        <v>2518</v>
      </c>
      <c r="B255" t="s">
        <v>2526</v>
      </c>
      <c r="C255" s="25">
        <v>2451</v>
      </c>
      <c r="D255" s="28">
        <v>2451</v>
      </c>
      <c r="E255" s="2" t="str">
        <f t="shared" si="8"/>
        <v>Same</v>
      </c>
      <c r="F255" s="6" t="s">
        <v>1880</v>
      </c>
      <c r="G255" s="3">
        <v>33.950000000000003</v>
      </c>
      <c r="H255" s="2" t="s">
        <v>252</v>
      </c>
      <c r="I255" s="4">
        <f>[1]Sheet1!I255</f>
        <v>812</v>
      </c>
      <c r="J255" s="3" t="str">
        <f t="shared" si="7"/>
        <v>2451_A1C1.webp</v>
      </c>
      <c r="K255" s="5">
        <f>Sheet4!E255</f>
        <v>24</v>
      </c>
      <c r="L255" s="5"/>
      <c r="M255" s="4"/>
    </row>
    <row r="256" spans="1:13" x14ac:dyDescent="0.25">
      <c r="A256" t="s">
        <v>2518</v>
      </c>
      <c r="B256" t="s">
        <v>2533</v>
      </c>
      <c r="C256" s="25">
        <v>2452</v>
      </c>
      <c r="D256" s="28">
        <v>2452</v>
      </c>
      <c r="E256" s="2" t="str">
        <f t="shared" si="8"/>
        <v>Same</v>
      </c>
      <c r="F256" s="6" t="s">
        <v>1877</v>
      </c>
      <c r="G256" s="3">
        <v>25.95</v>
      </c>
      <c r="H256" s="2" t="s">
        <v>253</v>
      </c>
      <c r="I256" s="4">
        <f>[1]Sheet1!I256</f>
        <v>1089</v>
      </c>
      <c r="J256" s="3" t="str">
        <f t="shared" si="7"/>
        <v>2452_A1C1.webp</v>
      </c>
      <c r="K256" s="5">
        <f>Sheet4!E256</f>
        <v>12</v>
      </c>
      <c r="L256" s="5"/>
      <c r="M256" s="4"/>
    </row>
    <row r="257" spans="1:13" x14ac:dyDescent="0.25">
      <c r="A257" t="s">
        <v>2518</v>
      </c>
      <c r="B257" t="s">
        <v>2538</v>
      </c>
      <c r="C257" s="25">
        <v>2453</v>
      </c>
      <c r="D257" s="28">
        <v>2453</v>
      </c>
      <c r="E257" s="2" t="str">
        <f t="shared" si="8"/>
        <v>Same</v>
      </c>
      <c r="F257" s="6" t="s">
        <v>1894</v>
      </c>
      <c r="G257" s="3">
        <v>32.35</v>
      </c>
      <c r="H257" s="2" t="s">
        <v>254</v>
      </c>
      <c r="I257" s="4">
        <f>[1]Sheet1!I257</f>
        <v>80</v>
      </c>
      <c r="J257" s="3" t="str">
        <f t="shared" si="7"/>
        <v>2453_A1C1.webp</v>
      </c>
      <c r="K257" s="5">
        <f>Sheet4!E257</f>
        <v>6</v>
      </c>
      <c r="L257" s="5"/>
      <c r="M257" s="4"/>
    </row>
    <row r="258" spans="1:13" x14ac:dyDescent="0.25">
      <c r="A258" t="s">
        <v>2518</v>
      </c>
      <c r="B258" t="s">
        <v>2538</v>
      </c>
      <c r="C258" s="25">
        <v>2454</v>
      </c>
      <c r="D258" s="28">
        <v>2454</v>
      </c>
      <c r="E258" s="2" t="str">
        <f t="shared" si="8"/>
        <v>Same</v>
      </c>
      <c r="F258" s="6" t="s">
        <v>1894</v>
      </c>
      <c r="G258" s="3">
        <v>32.35</v>
      </c>
      <c r="H258" s="2" t="s">
        <v>255</v>
      </c>
      <c r="I258" s="4">
        <f>[1]Sheet1!I258</f>
        <v>379</v>
      </c>
      <c r="J258" s="3" t="str">
        <f t="shared" ref="J258:J321" si="9">C258 &amp; "_A1C1.webp"</f>
        <v>2454_A1C1.webp</v>
      </c>
      <c r="K258" s="5">
        <f>Sheet4!E258</f>
        <v>6</v>
      </c>
      <c r="L258" s="5"/>
      <c r="M258" s="4"/>
    </row>
    <row r="259" spans="1:13" x14ac:dyDescent="0.25">
      <c r="A259" t="s">
        <v>2518</v>
      </c>
      <c r="B259" t="s">
        <v>2538</v>
      </c>
      <c r="C259" s="25">
        <v>2455</v>
      </c>
      <c r="D259" s="28">
        <v>2455</v>
      </c>
      <c r="E259" s="2" t="str">
        <f t="shared" si="8"/>
        <v>Same</v>
      </c>
      <c r="F259" s="6" t="s">
        <v>1894</v>
      </c>
      <c r="G259" s="3">
        <v>32.35</v>
      </c>
      <c r="H259" s="2" t="s">
        <v>256</v>
      </c>
      <c r="I259" s="4">
        <f>[1]Sheet1!I259</f>
        <v>503</v>
      </c>
      <c r="J259" s="3" t="str">
        <f t="shared" si="9"/>
        <v>2455_A1C1.webp</v>
      </c>
      <c r="K259" s="5">
        <f>Sheet4!E259</f>
        <v>6</v>
      </c>
      <c r="L259" s="5"/>
      <c r="M259" s="4"/>
    </row>
    <row r="260" spans="1:13" x14ac:dyDescent="0.25">
      <c r="A260" t="s">
        <v>2518</v>
      </c>
      <c r="B260" t="s">
        <v>2526</v>
      </c>
      <c r="C260" s="25">
        <v>2456</v>
      </c>
      <c r="D260" s="28">
        <v>2456</v>
      </c>
      <c r="E260" s="2" t="str">
        <f t="shared" si="8"/>
        <v>Same</v>
      </c>
      <c r="F260" s="6" t="s">
        <v>1880</v>
      </c>
      <c r="G260" s="3">
        <v>26.4</v>
      </c>
      <c r="H260" s="2" t="s">
        <v>257</v>
      </c>
      <c r="I260" s="4">
        <f>[1]Sheet1!I260</f>
        <v>3578</v>
      </c>
      <c r="J260" s="3" t="str">
        <f t="shared" si="9"/>
        <v>2456_A1C1.webp</v>
      </c>
      <c r="K260" s="5">
        <f>Sheet4!E260</f>
        <v>24</v>
      </c>
      <c r="L260" s="5"/>
      <c r="M260" s="4"/>
    </row>
    <row r="261" spans="1:13" x14ac:dyDescent="0.25">
      <c r="A261" t="s">
        <v>2518</v>
      </c>
      <c r="B261" t="s">
        <v>2538</v>
      </c>
      <c r="C261" s="25">
        <v>2457</v>
      </c>
      <c r="D261" s="28">
        <v>2457</v>
      </c>
      <c r="E261" s="2" t="str">
        <f t="shared" si="8"/>
        <v>Same</v>
      </c>
      <c r="F261" s="6" t="s">
        <v>1894</v>
      </c>
      <c r="G261" s="3">
        <v>32.35</v>
      </c>
      <c r="H261" s="2" t="s">
        <v>258</v>
      </c>
      <c r="I261" s="4">
        <f>[1]Sheet1!I261</f>
        <v>305</v>
      </c>
      <c r="J261" s="3" t="str">
        <f t="shared" si="9"/>
        <v>2457_A1C1.webp</v>
      </c>
      <c r="K261" s="5">
        <f>Sheet4!E261</f>
        <v>6</v>
      </c>
      <c r="L261" s="5"/>
      <c r="M261" s="4"/>
    </row>
    <row r="262" spans="1:13" x14ac:dyDescent="0.25">
      <c r="A262" t="s">
        <v>2518</v>
      </c>
      <c r="B262" t="s">
        <v>2526</v>
      </c>
      <c r="C262" s="25">
        <v>2458</v>
      </c>
      <c r="D262" s="28">
        <v>2458</v>
      </c>
      <c r="E262" s="2" t="str">
        <f t="shared" ref="E262:E325" si="10">IF(C262=D262, "Same","New")</f>
        <v>Same</v>
      </c>
      <c r="F262" s="6" t="s">
        <v>1880</v>
      </c>
      <c r="G262" s="3">
        <v>26.4</v>
      </c>
      <c r="H262" s="2" t="s">
        <v>259</v>
      </c>
      <c r="I262" s="4">
        <f>[1]Sheet1!I262</f>
        <v>2335</v>
      </c>
      <c r="J262" s="3" t="str">
        <f t="shared" si="9"/>
        <v>2458_A1C1.webp</v>
      </c>
      <c r="K262" s="5">
        <f>Sheet4!E262</f>
        <v>24</v>
      </c>
      <c r="L262" s="5"/>
      <c r="M262" s="4"/>
    </row>
    <row r="263" spans="1:13" x14ac:dyDescent="0.25">
      <c r="A263" t="s">
        <v>2518</v>
      </c>
      <c r="B263" t="s">
        <v>2538</v>
      </c>
      <c r="C263" s="25">
        <v>2459</v>
      </c>
      <c r="D263" s="28">
        <v>2459</v>
      </c>
      <c r="E263" s="2" t="str">
        <f t="shared" si="10"/>
        <v>Same</v>
      </c>
      <c r="F263" s="6" t="s">
        <v>1894</v>
      </c>
      <c r="G263" s="3">
        <v>32.35</v>
      </c>
      <c r="H263" s="2" t="s">
        <v>260</v>
      </c>
      <c r="I263" s="4">
        <f>[1]Sheet1!I263</f>
        <v>997</v>
      </c>
      <c r="J263" s="3" t="str">
        <f t="shared" si="9"/>
        <v>2459_A1C1.webp</v>
      </c>
      <c r="K263" s="5">
        <f>Sheet4!E263</f>
        <v>6</v>
      </c>
      <c r="L263" s="5"/>
      <c r="M263" s="4"/>
    </row>
    <row r="264" spans="1:13" x14ac:dyDescent="0.25">
      <c r="A264" t="s">
        <v>2518</v>
      </c>
      <c r="B264" t="s">
        <v>2538</v>
      </c>
      <c r="C264" s="25">
        <v>2460</v>
      </c>
      <c r="D264" s="28">
        <v>2460</v>
      </c>
      <c r="E264" s="2" t="str">
        <f t="shared" si="10"/>
        <v>Same</v>
      </c>
      <c r="F264" s="6" t="s">
        <v>1894</v>
      </c>
      <c r="G264" s="3">
        <v>32.35</v>
      </c>
      <c r="H264" s="2" t="s">
        <v>261</v>
      </c>
      <c r="I264" s="4">
        <f>[1]Sheet1!I264</f>
        <v>1320</v>
      </c>
      <c r="J264" s="3" t="str">
        <f t="shared" si="9"/>
        <v>2460_A1C1.webp</v>
      </c>
      <c r="K264" s="5">
        <f>Sheet4!E264</f>
        <v>6</v>
      </c>
      <c r="L264" s="5"/>
      <c r="M264" s="4"/>
    </row>
    <row r="265" spans="1:13" x14ac:dyDescent="0.25">
      <c r="A265" t="s">
        <v>2518</v>
      </c>
      <c r="B265" t="s">
        <v>2526</v>
      </c>
      <c r="C265" s="25">
        <v>2461</v>
      </c>
      <c r="D265" s="28">
        <v>2461</v>
      </c>
      <c r="E265" s="2" t="str">
        <f t="shared" si="10"/>
        <v>Same</v>
      </c>
      <c r="F265" s="6" t="s">
        <v>1880</v>
      </c>
      <c r="G265" s="3">
        <v>26.4</v>
      </c>
      <c r="H265" s="2" t="s">
        <v>262</v>
      </c>
      <c r="I265" s="4">
        <f>[1]Sheet1!I265</f>
        <v>926</v>
      </c>
      <c r="J265" s="3" t="str">
        <f t="shared" si="9"/>
        <v>2461_A1C1.webp</v>
      </c>
      <c r="K265" s="5">
        <f>Sheet4!E265</f>
        <v>24</v>
      </c>
      <c r="L265" s="5"/>
      <c r="M265" s="4"/>
    </row>
    <row r="266" spans="1:13" x14ac:dyDescent="0.25">
      <c r="A266" t="s">
        <v>2518</v>
      </c>
      <c r="B266" t="s">
        <v>2526</v>
      </c>
      <c r="C266" s="25">
        <v>2463</v>
      </c>
      <c r="D266" s="28">
        <v>2463</v>
      </c>
      <c r="E266" s="2" t="str">
        <f t="shared" si="10"/>
        <v>Same</v>
      </c>
      <c r="F266" s="6" t="s">
        <v>1880</v>
      </c>
      <c r="G266" s="3">
        <v>33.950000000000003</v>
      </c>
      <c r="H266" s="2" t="s">
        <v>263</v>
      </c>
      <c r="I266" s="4">
        <f>[1]Sheet1!I266</f>
        <v>2934</v>
      </c>
      <c r="J266" s="3" t="str">
        <f t="shared" si="9"/>
        <v>2463_A1C1.webp</v>
      </c>
      <c r="K266" s="5">
        <f>Sheet4!E266</f>
        <v>24</v>
      </c>
      <c r="L266" s="5"/>
      <c r="M266" s="4"/>
    </row>
    <row r="267" spans="1:13" x14ac:dyDescent="0.25">
      <c r="A267" t="s">
        <v>2518</v>
      </c>
      <c r="B267" t="s">
        <v>2533</v>
      </c>
      <c r="C267" s="25">
        <v>2465</v>
      </c>
      <c r="D267" s="28">
        <v>2465</v>
      </c>
      <c r="E267" s="2" t="str">
        <f t="shared" si="10"/>
        <v>Same</v>
      </c>
      <c r="F267" s="6" t="s">
        <v>1877</v>
      </c>
      <c r="G267" s="3">
        <v>25.95</v>
      </c>
      <c r="H267" s="2" t="s">
        <v>264</v>
      </c>
      <c r="I267" s="4">
        <f>[1]Sheet1!I267</f>
        <v>10375</v>
      </c>
      <c r="J267" s="3" t="str">
        <f t="shared" si="9"/>
        <v>2465_A1C1.webp</v>
      </c>
      <c r="K267" s="5">
        <f>Sheet4!E267</f>
        <v>12</v>
      </c>
      <c r="L267" s="5"/>
      <c r="M267" s="4"/>
    </row>
    <row r="268" spans="1:13" x14ac:dyDescent="0.25">
      <c r="A268" t="s">
        <v>2518</v>
      </c>
      <c r="B268" t="s">
        <v>2526</v>
      </c>
      <c r="C268" s="26">
        <v>2466</v>
      </c>
      <c r="D268" s="28">
        <v>2466</v>
      </c>
      <c r="E268" s="2" t="str">
        <f t="shared" si="10"/>
        <v>Same</v>
      </c>
      <c r="F268" s="6" t="s">
        <v>1880</v>
      </c>
      <c r="G268" s="3">
        <v>26.4</v>
      </c>
      <c r="H268" s="2" t="s">
        <v>265</v>
      </c>
      <c r="I268" s="4">
        <f>[1]Sheet1!I268</f>
        <v>50199</v>
      </c>
      <c r="J268" s="3" t="str">
        <f t="shared" si="9"/>
        <v>2466_A1C1.webp</v>
      </c>
      <c r="K268" s="5">
        <f>Sheet4!E268</f>
        <v>24</v>
      </c>
      <c r="L268" s="5"/>
      <c r="M268" s="4"/>
    </row>
    <row r="269" spans="1:13" x14ac:dyDescent="0.25">
      <c r="A269" t="s">
        <v>2518</v>
      </c>
      <c r="B269" t="s">
        <v>2765</v>
      </c>
      <c r="C269" s="25">
        <v>2467</v>
      </c>
      <c r="D269" s="28">
        <v>2467</v>
      </c>
      <c r="E269" s="2" t="str">
        <f t="shared" si="10"/>
        <v>Same</v>
      </c>
      <c r="F269" s="6" t="s">
        <v>1875</v>
      </c>
      <c r="G269" s="3">
        <v>22.5</v>
      </c>
      <c r="H269" s="2" t="s">
        <v>266</v>
      </c>
      <c r="I269" s="4">
        <f>[1]Sheet1!I269</f>
        <v>133</v>
      </c>
      <c r="J269" s="3" t="str">
        <f t="shared" si="9"/>
        <v>2467_A1C1.webp</v>
      </c>
      <c r="K269" s="5">
        <f>Sheet4!E269</f>
        <v>24</v>
      </c>
      <c r="L269" s="5"/>
      <c r="M269" s="4"/>
    </row>
    <row r="270" spans="1:13" x14ac:dyDescent="0.25">
      <c r="A270" t="s">
        <v>2518</v>
      </c>
      <c r="B270" t="s">
        <v>2709</v>
      </c>
      <c r="C270" s="25">
        <v>2468</v>
      </c>
      <c r="D270" s="28">
        <v>2468</v>
      </c>
      <c r="E270" s="2" t="str">
        <f t="shared" si="10"/>
        <v>Same</v>
      </c>
      <c r="F270" s="6" t="s">
        <v>1895</v>
      </c>
      <c r="H270" s="2" t="s">
        <v>267</v>
      </c>
      <c r="I270" s="4">
        <f>[1]Sheet1!I270</f>
        <v>0</v>
      </c>
      <c r="J270" s="3" t="str">
        <f t="shared" si="9"/>
        <v>2468_A1C1.webp</v>
      </c>
      <c r="K270" s="5">
        <f>Sheet4!E270</f>
        <v>24</v>
      </c>
      <c r="L270" s="5"/>
      <c r="M270" s="4"/>
    </row>
    <row r="271" spans="1:13" x14ac:dyDescent="0.25">
      <c r="A271" t="s">
        <v>2518</v>
      </c>
      <c r="B271" t="s">
        <v>2765</v>
      </c>
      <c r="C271" s="25">
        <v>2469</v>
      </c>
      <c r="D271" s="28">
        <v>2469</v>
      </c>
      <c r="E271" s="2" t="str">
        <f t="shared" si="10"/>
        <v>Same</v>
      </c>
      <c r="F271" s="6" t="s">
        <v>1875</v>
      </c>
      <c r="G271" s="3">
        <v>22.5</v>
      </c>
      <c r="H271" s="2" t="s">
        <v>268</v>
      </c>
      <c r="I271" s="4">
        <f>[1]Sheet1!I271</f>
        <v>2721</v>
      </c>
      <c r="J271" s="3" t="str">
        <f t="shared" si="9"/>
        <v>2469_A1C1.webp</v>
      </c>
      <c r="K271" s="5">
        <f>Sheet4!E271</f>
        <v>24</v>
      </c>
      <c r="L271" s="5"/>
      <c r="M271" s="4"/>
    </row>
    <row r="272" spans="1:13" x14ac:dyDescent="0.25">
      <c r="A272" t="s">
        <v>2518</v>
      </c>
      <c r="B272" t="s">
        <v>2709</v>
      </c>
      <c r="C272" s="25">
        <v>2470</v>
      </c>
      <c r="D272" s="28">
        <v>2470</v>
      </c>
      <c r="E272" s="2" t="str">
        <f t="shared" si="10"/>
        <v>Same</v>
      </c>
      <c r="F272" s="6" t="s">
        <v>1849</v>
      </c>
      <c r="G272" s="3">
        <v>40.950000000000003</v>
      </c>
      <c r="H272" s="2" t="s">
        <v>269</v>
      </c>
      <c r="I272" s="4">
        <f>[1]Sheet1!I272</f>
        <v>1222</v>
      </c>
      <c r="J272" s="3" t="str">
        <f t="shared" si="9"/>
        <v>2470_A1C1.webp</v>
      </c>
      <c r="K272" s="5">
        <f>Sheet4!E272</f>
        <v>24</v>
      </c>
      <c r="L272" s="5"/>
      <c r="M272" s="4"/>
    </row>
    <row r="273" spans="1:13" x14ac:dyDescent="0.25">
      <c r="A273" t="s">
        <v>2518</v>
      </c>
      <c r="B273" t="s">
        <v>2709</v>
      </c>
      <c r="C273" s="25">
        <v>2471</v>
      </c>
      <c r="D273" s="28">
        <v>2471</v>
      </c>
      <c r="E273" s="2" t="str">
        <f t="shared" si="10"/>
        <v>Same</v>
      </c>
      <c r="F273" s="6" t="s">
        <v>1849</v>
      </c>
      <c r="G273" s="3">
        <v>35.950000000000003</v>
      </c>
      <c r="H273" s="2" t="s">
        <v>270</v>
      </c>
      <c r="I273" s="4">
        <f>[1]Sheet1!I273</f>
        <v>7643</v>
      </c>
      <c r="J273" s="3" t="str">
        <f t="shared" si="9"/>
        <v>2471_A1C1.webp</v>
      </c>
      <c r="K273" s="5">
        <f>Sheet4!E273</f>
        <v>24</v>
      </c>
      <c r="L273" s="5"/>
      <c r="M273" s="4"/>
    </row>
    <row r="274" spans="1:13" x14ac:dyDescent="0.25">
      <c r="A274" t="s">
        <v>2518</v>
      </c>
      <c r="B274" t="s">
        <v>2709</v>
      </c>
      <c r="C274" s="25">
        <v>2472</v>
      </c>
      <c r="D274" s="28">
        <v>2472</v>
      </c>
      <c r="E274" s="2" t="str">
        <f t="shared" si="10"/>
        <v>Same</v>
      </c>
      <c r="F274" s="6" t="s">
        <v>1849</v>
      </c>
      <c r="G274" s="3">
        <v>30.5</v>
      </c>
      <c r="H274" s="2" t="s">
        <v>271</v>
      </c>
      <c r="I274" s="4">
        <f>[1]Sheet1!I274</f>
        <v>6027</v>
      </c>
      <c r="J274" s="3" t="str">
        <f t="shared" si="9"/>
        <v>2472_A1C1.webp</v>
      </c>
      <c r="K274" s="5">
        <f>Sheet4!E274</f>
        <v>24</v>
      </c>
      <c r="L274" s="5"/>
      <c r="M274" s="4"/>
    </row>
    <row r="275" spans="1:13" x14ac:dyDescent="0.25">
      <c r="A275" t="s">
        <v>2518</v>
      </c>
      <c r="B275" t="s">
        <v>2709</v>
      </c>
      <c r="C275" s="25">
        <v>2473</v>
      </c>
      <c r="D275" s="28">
        <v>2473</v>
      </c>
      <c r="E275" s="2" t="str">
        <f t="shared" si="10"/>
        <v>Same</v>
      </c>
      <c r="F275" s="6" t="s">
        <v>1849</v>
      </c>
      <c r="G275" s="3">
        <v>43.5</v>
      </c>
      <c r="H275" s="2" t="s">
        <v>272</v>
      </c>
      <c r="I275" s="4">
        <f>[1]Sheet1!I275</f>
        <v>1155</v>
      </c>
      <c r="J275" s="3" t="str">
        <f t="shared" si="9"/>
        <v>2473_A1C1.webp</v>
      </c>
      <c r="K275" s="5">
        <f>Sheet4!E275</f>
        <v>24</v>
      </c>
      <c r="L275" s="5"/>
      <c r="M275" s="4"/>
    </row>
    <row r="276" spans="1:13" x14ac:dyDescent="0.25">
      <c r="A276" t="s">
        <v>2518</v>
      </c>
      <c r="B276" t="s">
        <v>2709</v>
      </c>
      <c r="C276" s="25">
        <v>2474</v>
      </c>
      <c r="D276" s="28">
        <v>2474</v>
      </c>
      <c r="E276" s="2" t="str">
        <f t="shared" si="10"/>
        <v>Same</v>
      </c>
      <c r="F276" s="6" t="s">
        <v>1849</v>
      </c>
      <c r="G276" s="3">
        <v>47.95</v>
      </c>
      <c r="H276" s="2" t="s">
        <v>273</v>
      </c>
      <c r="I276" s="4">
        <f>[1]Sheet1!I276</f>
        <v>5266</v>
      </c>
      <c r="J276" s="3" t="str">
        <f t="shared" si="9"/>
        <v>2474_A1C1.webp</v>
      </c>
      <c r="K276" s="5">
        <f>Sheet4!E276</f>
        <v>24</v>
      </c>
      <c r="L276" s="5"/>
      <c r="M276" s="4"/>
    </row>
    <row r="277" spans="1:13" x14ac:dyDescent="0.25">
      <c r="A277" t="s">
        <v>2518</v>
      </c>
      <c r="B277" t="s">
        <v>2709</v>
      </c>
      <c r="C277" s="25">
        <v>2475</v>
      </c>
      <c r="D277" s="28">
        <v>2475</v>
      </c>
      <c r="E277" s="2" t="str">
        <f t="shared" si="10"/>
        <v>Same</v>
      </c>
      <c r="F277" s="6" t="s">
        <v>1849</v>
      </c>
      <c r="G277">
        <v>21.95</v>
      </c>
      <c r="H277" s="2" t="s">
        <v>274</v>
      </c>
      <c r="I277" s="4">
        <f>[1]Sheet1!I277</f>
        <v>1476</v>
      </c>
      <c r="J277" s="3" t="str">
        <f t="shared" si="9"/>
        <v>2475_A1C1.webp</v>
      </c>
      <c r="K277" s="5">
        <f>Sheet4!E277</f>
        <v>24</v>
      </c>
      <c r="L277" s="5"/>
      <c r="M277" s="4"/>
    </row>
    <row r="278" spans="1:13" x14ac:dyDescent="0.25">
      <c r="A278" t="s">
        <v>2518</v>
      </c>
      <c r="B278" t="s">
        <v>2709</v>
      </c>
      <c r="C278" s="25">
        <v>2476</v>
      </c>
      <c r="D278" s="28">
        <v>2476</v>
      </c>
      <c r="E278" s="2" t="str">
        <f t="shared" si="10"/>
        <v>Same</v>
      </c>
      <c r="F278" s="6" t="s">
        <v>1849</v>
      </c>
      <c r="G278" s="3">
        <v>33.950000000000003</v>
      </c>
      <c r="H278" s="2" t="s">
        <v>275</v>
      </c>
      <c r="I278" s="4">
        <f>[1]Sheet1!I278</f>
        <v>11310</v>
      </c>
      <c r="J278" s="3" t="str">
        <f t="shared" si="9"/>
        <v>2476_A1C1.webp</v>
      </c>
      <c r="K278" s="5">
        <f>Sheet4!E278</f>
        <v>24</v>
      </c>
      <c r="L278" s="5"/>
      <c r="M278" s="4"/>
    </row>
    <row r="279" spans="1:13" x14ac:dyDescent="0.25">
      <c r="A279" t="s">
        <v>2518</v>
      </c>
      <c r="B279" t="s">
        <v>2709</v>
      </c>
      <c r="C279" s="25">
        <v>2477</v>
      </c>
      <c r="D279" s="28">
        <v>2477</v>
      </c>
      <c r="E279" s="2" t="str">
        <f t="shared" si="10"/>
        <v>Same</v>
      </c>
      <c r="F279" s="6" t="s">
        <v>1849</v>
      </c>
      <c r="G279" s="3">
        <v>37.950000000000003</v>
      </c>
      <c r="H279" s="2" t="s">
        <v>276</v>
      </c>
      <c r="I279" s="4">
        <f>[1]Sheet1!I279</f>
        <v>4404</v>
      </c>
      <c r="J279" s="3" t="str">
        <f t="shared" si="9"/>
        <v>2477_A1C1.webp</v>
      </c>
      <c r="K279" s="5">
        <f>Sheet4!E279</f>
        <v>24</v>
      </c>
      <c r="L279" s="5"/>
      <c r="M279" s="4"/>
    </row>
    <row r="280" spans="1:13" x14ac:dyDescent="0.25">
      <c r="A280" t="s">
        <v>2518</v>
      </c>
      <c r="B280" t="s">
        <v>2709</v>
      </c>
      <c r="C280" s="25">
        <v>2478</v>
      </c>
      <c r="D280" s="28">
        <v>2478</v>
      </c>
      <c r="E280" s="2" t="str">
        <f t="shared" si="10"/>
        <v>Same</v>
      </c>
      <c r="F280" s="6" t="s">
        <v>1849</v>
      </c>
      <c r="G280" s="3">
        <v>43.5</v>
      </c>
      <c r="H280" s="2" t="s">
        <v>277</v>
      </c>
      <c r="I280" s="4">
        <f>[1]Sheet1!I280</f>
        <v>5710</v>
      </c>
      <c r="J280" s="3" t="str">
        <f t="shared" si="9"/>
        <v>2478_A1C1.webp</v>
      </c>
      <c r="K280" s="5">
        <f>Sheet4!E280</f>
        <v>24</v>
      </c>
      <c r="L280" s="5"/>
      <c r="M280" s="4"/>
    </row>
    <row r="281" spans="1:13" x14ac:dyDescent="0.25">
      <c r="A281" t="s">
        <v>2518</v>
      </c>
      <c r="B281" t="s">
        <v>2709</v>
      </c>
      <c r="C281" s="25">
        <v>2479</v>
      </c>
      <c r="D281" s="28">
        <v>2479</v>
      </c>
      <c r="E281" s="2" t="str">
        <f t="shared" si="10"/>
        <v>Same</v>
      </c>
      <c r="F281" s="6" t="s">
        <v>1849</v>
      </c>
      <c r="G281" s="3">
        <v>32.5</v>
      </c>
      <c r="H281" s="2" t="s">
        <v>278</v>
      </c>
      <c r="I281" s="4">
        <f>[1]Sheet1!I281</f>
        <v>13967</v>
      </c>
      <c r="J281" s="3" t="str">
        <f t="shared" si="9"/>
        <v>2479_A1C1.webp</v>
      </c>
      <c r="K281" s="5">
        <f>Sheet4!E281</f>
        <v>24</v>
      </c>
      <c r="L281" s="5"/>
      <c r="M281" s="4"/>
    </row>
    <row r="282" spans="1:13" x14ac:dyDescent="0.25">
      <c r="A282" t="s">
        <v>2518</v>
      </c>
      <c r="B282" t="s">
        <v>2709</v>
      </c>
      <c r="C282" s="25">
        <v>2480</v>
      </c>
      <c r="D282" s="28">
        <v>2480</v>
      </c>
      <c r="E282" s="2" t="str">
        <f t="shared" si="10"/>
        <v>Same</v>
      </c>
      <c r="F282" s="6" t="s">
        <v>1849</v>
      </c>
      <c r="G282" s="3">
        <v>60.95</v>
      </c>
      <c r="H282" s="2" t="s">
        <v>279</v>
      </c>
      <c r="I282" s="4">
        <f>[1]Sheet1!I282</f>
        <v>2225</v>
      </c>
      <c r="J282" s="3" t="str">
        <f t="shared" si="9"/>
        <v>2480_A1C1.webp</v>
      </c>
      <c r="K282" s="5">
        <f>Sheet4!E282</f>
        <v>24</v>
      </c>
      <c r="L282" s="5"/>
      <c r="M282" s="4"/>
    </row>
    <row r="283" spans="1:13" x14ac:dyDescent="0.25">
      <c r="A283" t="s">
        <v>2518</v>
      </c>
      <c r="B283" t="s">
        <v>2709</v>
      </c>
      <c r="C283" s="25">
        <v>2481</v>
      </c>
      <c r="D283" s="28">
        <v>2481</v>
      </c>
      <c r="E283" s="2" t="str">
        <f t="shared" si="10"/>
        <v>Same</v>
      </c>
      <c r="F283" s="6" t="s">
        <v>1849</v>
      </c>
      <c r="G283" s="3">
        <v>59.95</v>
      </c>
      <c r="H283" s="2" t="s">
        <v>280</v>
      </c>
      <c r="I283" s="4">
        <f>[1]Sheet1!I283</f>
        <v>1295</v>
      </c>
      <c r="J283" s="3" t="str">
        <f t="shared" si="9"/>
        <v>2481_A1C1.webp</v>
      </c>
      <c r="K283" s="5">
        <f>Sheet4!E283</f>
        <v>24</v>
      </c>
      <c r="L283" s="5"/>
      <c r="M283" s="4"/>
    </row>
    <row r="284" spans="1:13" x14ac:dyDescent="0.25">
      <c r="A284" t="s">
        <v>2518</v>
      </c>
      <c r="B284" t="s">
        <v>2709</v>
      </c>
      <c r="C284" s="25">
        <v>2482</v>
      </c>
      <c r="D284" s="28">
        <v>2482</v>
      </c>
      <c r="E284" s="2" t="str">
        <f t="shared" si="10"/>
        <v>Same</v>
      </c>
      <c r="F284" s="6" t="s">
        <v>1849</v>
      </c>
      <c r="G284" s="3">
        <v>45.95</v>
      </c>
      <c r="H284" s="2" t="s">
        <v>281</v>
      </c>
      <c r="I284" s="4">
        <f>[1]Sheet1!I284</f>
        <v>1701</v>
      </c>
      <c r="J284" s="3" t="str">
        <f t="shared" si="9"/>
        <v>2482_A1C1.webp</v>
      </c>
      <c r="K284" s="5">
        <f>Sheet4!E284</f>
        <v>24</v>
      </c>
      <c r="L284" s="5"/>
      <c r="M284" s="4"/>
    </row>
    <row r="285" spans="1:13" x14ac:dyDescent="0.25">
      <c r="A285" t="s">
        <v>2518</v>
      </c>
      <c r="B285" t="s">
        <v>2709</v>
      </c>
      <c r="C285" s="25">
        <v>2483</v>
      </c>
      <c r="D285" s="28">
        <v>2483</v>
      </c>
      <c r="E285" s="2" t="str">
        <f t="shared" si="10"/>
        <v>Same</v>
      </c>
      <c r="F285" s="6" t="s">
        <v>1849</v>
      </c>
      <c r="G285" s="3">
        <v>39.5</v>
      </c>
      <c r="H285" s="2" t="s">
        <v>282</v>
      </c>
      <c r="I285" s="4">
        <f>[1]Sheet1!I285</f>
        <v>9102</v>
      </c>
      <c r="J285" s="3" t="str">
        <f t="shared" si="9"/>
        <v>2483_A1C1.webp</v>
      </c>
      <c r="K285" s="5">
        <f>Sheet4!E285</f>
        <v>24</v>
      </c>
      <c r="L285" s="5"/>
      <c r="M285" s="4"/>
    </row>
    <row r="286" spans="1:13" x14ac:dyDescent="0.25">
      <c r="A286" t="s">
        <v>2518</v>
      </c>
      <c r="B286" t="s">
        <v>2709</v>
      </c>
      <c r="C286" s="25">
        <v>2484</v>
      </c>
      <c r="D286" s="28">
        <v>2484</v>
      </c>
      <c r="E286" s="2" t="str">
        <f t="shared" si="10"/>
        <v>Same</v>
      </c>
      <c r="F286" s="6" t="s">
        <v>1849</v>
      </c>
      <c r="G286" s="3">
        <v>41.5</v>
      </c>
      <c r="H286" s="2" t="s">
        <v>283</v>
      </c>
      <c r="I286" s="4">
        <f>[1]Sheet1!I286</f>
        <v>1106</v>
      </c>
      <c r="J286" s="3" t="str">
        <f t="shared" si="9"/>
        <v>2484_A1C1.webp</v>
      </c>
      <c r="K286" s="5">
        <f>Sheet4!E286</f>
        <v>24</v>
      </c>
      <c r="L286" s="5"/>
      <c r="M286" s="4"/>
    </row>
    <row r="287" spans="1:13" x14ac:dyDescent="0.25">
      <c r="A287" t="s">
        <v>2518</v>
      </c>
      <c r="B287" t="s">
        <v>2709</v>
      </c>
      <c r="C287" s="25">
        <v>2485</v>
      </c>
      <c r="D287" s="28">
        <v>2485</v>
      </c>
      <c r="E287" s="2" t="str">
        <f t="shared" si="10"/>
        <v>Same</v>
      </c>
      <c r="F287" s="6" t="s">
        <v>1849</v>
      </c>
      <c r="G287" s="3">
        <v>34.950000000000003</v>
      </c>
      <c r="H287" s="2" t="s">
        <v>284</v>
      </c>
      <c r="I287" s="4">
        <f>[1]Sheet1!I287</f>
        <v>2158</v>
      </c>
      <c r="J287" s="3" t="str">
        <f t="shared" si="9"/>
        <v>2485_A1C1.webp</v>
      </c>
      <c r="K287" s="5">
        <f>Sheet4!E287</f>
        <v>24</v>
      </c>
      <c r="L287" s="5"/>
      <c r="M287" s="4"/>
    </row>
    <row r="288" spans="1:13" x14ac:dyDescent="0.25">
      <c r="A288" t="s">
        <v>2518</v>
      </c>
      <c r="B288" t="s">
        <v>2709</v>
      </c>
      <c r="C288" s="25">
        <v>2486</v>
      </c>
      <c r="D288" s="28">
        <v>2486</v>
      </c>
      <c r="E288" s="2" t="str">
        <f t="shared" si="10"/>
        <v>Same</v>
      </c>
      <c r="F288" s="6" t="s">
        <v>1849</v>
      </c>
      <c r="G288" s="3">
        <v>33.950000000000003</v>
      </c>
      <c r="H288" s="2" t="s">
        <v>285</v>
      </c>
      <c r="I288" s="4">
        <f>[1]Sheet1!I288</f>
        <v>5229</v>
      </c>
      <c r="J288" s="3" t="str">
        <f t="shared" si="9"/>
        <v>2486_A1C1.webp</v>
      </c>
      <c r="K288" s="5">
        <f>Sheet4!E288</f>
        <v>24</v>
      </c>
      <c r="L288" s="5"/>
      <c r="M288" s="4"/>
    </row>
    <row r="289" spans="1:13" x14ac:dyDescent="0.25">
      <c r="A289" t="s">
        <v>2518</v>
      </c>
      <c r="B289" t="s">
        <v>2709</v>
      </c>
      <c r="C289" s="25">
        <v>2487</v>
      </c>
      <c r="D289" s="28">
        <v>2487</v>
      </c>
      <c r="E289" s="2" t="str">
        <f t="shared" si="10"/>
        <v>Same</v>
      </c>
      <c r="F289" s="6" t="s">
        <v>1849</v>
      </c>
      <c r="G289" s="3">
        <v>24.95</v>
      </c>
      <c r="H289" s="2" t="s">
        <v>286</v>
      </c>
      <c r="I289" s="4">
        <f>[1]Sheet1!I289</f>
        <v>698</v>
      </c>
      <c r="J289" s="3" t="str">
        <f t="shared" si="9"/>
        <v>2487_A1C1.webp</v>
      </c>
      <c r="K289" s="5">
        <f>Sheet4!E289</f>
        <v>24</v>
      </c>
      <c r="L289" s="5"/>
      <c r="M289" s="4"/>
    </row>
    <row r="290" spans="1:13" x14ac:dyDescent="0.25">
      <c r="A290" t="s">
        <v>2518</v>
      </c>
      <c r="B290" t="s">
        <v>2709</v>
      </c>
      <c r="C290" s="25">
        <v>2488</v>
      </c>
      <c r="D290" s="28">
        <v>2488</v>
      </c>
      <c r="E290" s="2" t="str">
        <f t="shared" si="10"/>
        <v>Same</v>
      </c>
      <c r="F290" s="6" t="s">
        <v>1849</v>
      </c>
      <c r="G290" s="3">
        <v>39.5</v>
      </c>
      <c r="H290" s="2" t="s">
        <v>287</v>
      </c>
      <c r="I290" s="4">
        <f>[1]Sheet1!I290</f>
        <v>2663</v>
      </c>
      <c r="J290" s="3" t="str">
        <f t="shared" si="9"/>
        <v>2488_A1C1.webp</v>
      </c>
      <c r="K290" s="5">
        <f>Sheet4!E290</f>
        <v>24</v>
      </c>
      <c r="L290" s="5"/>
      <c r="M290" s="4"/>
    </row>
    <row r="291" spans="1:13" x14ac:dyDescent="0.25">
      <c r="A291" t="s">
        <v>2518</v>
      </c>
      <c r="B291" t="s">
        <v>2709</v>
      </c>
      <c r="C291" s="25">
        <v>2489</v>
      </c>
      <c r="D291" s="28">
        <v>2489</v>
      </c>
      <c r="E291" s="2" t="str">
        <f t="shared" si="10"/>
        <v>Same</v>
      </c>
      <c r="F291" s="6" t="s">
        <v>1849</v>
      </c>
      <c r="G291" s="3">
        <v>39.5</v>
      </c>
      <c r="H291" s="2" t="s">
        <v>288</v>
      </c>
      <c r="I291" s="4">
        <f>[1]Sheet1!I291</f>
        <v>313</v>
      </c>
      <c r="J291" s="3" t="str">
        <f t="shared" si="9"/>
        <v>2489_A1C1.webp</v>
      </c>
      <c r="K291" s="5">
        <f>Sheet4!E291</f>
        <v>24</v>
      </c>
      <c r="L291" s="5"/>
      <c r="M291" s="4"/>
    </row>
    <row r="292" spans="1:13" x14ac:dyDescent="0.25">
      <c r="A292" t="s">
        <v>2518</v>
      </c>
      <c r="B292" t="s">
        <v>2709</v>
      </c>
      <c r="C292" s="25">
        <v>2490</v>
      </c>
      <c r="D292" s="28">
        <v>2490</v>
      </c>
      <c r="E292" s="2" t="str">
        <f t="shared" si="10"/>
        <v>Same</v>
      </c>
      <c r="F292" s="6" t="s">
        <v>1849</v>
      </c>
      <c r="G292" s="3">
        <v>32.5</v>
      </c>
      <c r="H292" s="2" t="s">
        <v>289</v>
      </c>
      <c r="I292" s="4">
        <f>[1]Sheet1!I292</f>
        <v>2018</v>
      </c>
      <c r="J292" s="3" t="str">
        <f t="shared" si="9"/>
        <v>2490_A1C1.webp</v>
      </c>
      <c r="K292" s="5">
        <f>Sheet4!E292</f>
        <v>24</v>
      </c>
      <c r="L292" s="5"/>
      <c r="M292" s="4"/>
    </row>
    <row r="293" spans="1:13" x14ac:dyDescent="0.25">
      <c r="A293" t="s">
        <v>2518</v>
      </c>
      <c r="B293" t="s">
        <v>2709</v>
      </c>
      <c r="C293" s="25">
        <v>2491</v>
      </c>
      <c r="D293" s="28">
        <v>2491</v>
      </c>
      <c r="E293" s="2" t="str">
        <f t="shared" si="10"/>
        <v>Same</v>
      </c>
      <c r="F293" s="6" t="s">
        <v>1849</v>
      </c>
      <c r="G293" s="3">
        <v>24.95</v>
      </c>
      <c r="H293" s="2" t="s">
        <v>290</v>
      </c>
      <c r="I293" s="4">
        <f>[1]Sheet1!I293</f>
        <v>4000</v>
      </c>
      <c r="J293" s="3" t="str">
        <f t="shared" si="9"/>
        <v>2491_A1C1.webp</v>
      </c>
      <c r="K293" s="5">
        <f>Sheet4!E293</f>
        <v>24</v>
      </c>
      <c r="L293" s="5"/>
      <c r="M293" s="4"/>
    </row>
    <row r="294" spans="1:13" x14ac:dyDescent="0.25">
      <c r="A294" t="s">
        <v>2518</v>
      </c>
      <c r="B294" t="s">
        <v>2709</v>
      </c>
      <c r="C294" s="25">
        <v>2492</v>
      </c>
      <c r="D294" s="28">
        <v>2492</v>
      </c>
      <c r="E294" s="2" t="str">
        <f t="shared" si="10"/>
        <v>Same</v>
      </c>
      <c r="F294" s="6" t="s">
        <v>1849</v>
      </c>
      <c r="G294" s="3">
        <v>26.95</v>
      </c>
      <c r="H294" s="2" t="s">
        <v>291</v>
      </c>
      <c r="I294" s="4">
        <f>[1]Sheet1!I294</f>
        <v>2516</v>
      </c>
      <c r="J294" s="3" t="str">
        <f t="shared" si="9"/>
        <v>2492_A1C1.webp</v>
      </c>
      <c r="K294" s="5">
        <f>Sheet4!E294</f>
        <v>24</v>
      </c>
      <c r="L294" s="5"/>
      <c r="M294" s="4"/>
    </row>
    <row r="295" spans="1:13" x14ac:dyDescent="0.25">
      <c r="A295" t="s">
        <v>2518</v>
      </c>
      <c r="B295" t="s">
        <v>2709</v>
      </c>
      <c r="C295" s="25">
        <v>2493</v>
      </c>
      <c r="D295" s="28">
        <v>2493</v>
      </c>
      <c r="E295" s="2" t="str">
        <f t="shared" si="10"/>
        <v>Same</v>
      </c>
      <c r="F295" s="6" t="s">
        <v>1849</v>
      </c>
      <c r="G295" s="3">
        <v>24.95</v>
      </c>
      <c r="H295" s="2" t="s">
        <v>292</v>
      </c>
      <c r="I295" s="4">
        <f>[1]Sheet1!I295</f>
        <v>469</v>
      </c>
      <c r="J295" s="3" t="str">
        <f t="shared" si="9"/>
        <v>2493_A1C1.webp</v>
      </c>
      <c r="K295" s="5">
        <f>Sheet4!E295</f>
        <v>24</v>
      </c>
      <c r="L295" s="5"/>
      <c r="M295" s="4"/>
    </row>
    <row r="296" spans="1:13" x14ac:dyDescent="0.25">
      <c r="A296" t="s">
        <v>2518</v>
      </c>
      <c r="B296" t="s">
        <v>2709</v>
      </c>
      <c r="C296" s="25">
        <v>2494</v>
      </c>
      <c r="D296" s="28">
        <v>2494</v>
      </c>
      <c r="E296" s="2" t="str">
        <f t="shared" si="10"/>
        <v>Same</v>
      </c>
      <c r="F296" s="6" t="s">
        <v>1849</v>
      </c>
      <c r="G296" s="3">
        <v>26.95</v>
      </c>
      <c r="H296" s="2" t="s">
        <v>293</v>
      </c>
      <c r="I296" s="4">
        <f>[1]Sheet1!I296</f>
        <v>1719</v>
      </c>
      <c r="J296" s="3" t="str">
        <f t="shared" si="9"/>
        <v>2494_A1C1.webp</v>
      </c>
      <c r="K296" s="5">
        <f>Sheet4!E296</f>
        <v>24</v>
      </c>
      <c r="L296" s="5"/>
      <c r="M296" s="4"/>
    </row>
    <row r="297" spans="1:13" x14ac:dyDescent="0.25">
      <c r="A297" t="s">
        <v>2518</v>
      </c>
      <c r="B297" t="s">
        <v>2709</v>
      </c>
      <c r="C297" s="25">
        <v>2495</v>
      </c>
      <c r="D297" s="28">
        <v>2495</v>
      </c>
      <c r="E297" s="2" t="str">
        <f t="shared" si="10"/>
        <v>Same</v>
      </c>
      <c r="F297" s="6" t="s">
        <v>1849</v>
      </c>
      <c r="G297" s="3">
        <v>58.95</v>
      </c>
      <c r="H297" s="2" t="s">
        <v>294</v>
      </c>
      <c r="I297" s="4">
        <f>[1]Sheet1!I297</f>
        <v>1061</v>
      </c>
      <c r="J297" s="3" t="str">
        <f t="shared" si="9"/>
        <v>2495_A1C1.webp</v>
      </c>
      <c r="K297" s="5">
        <f>Sheet4!E297</f>
        <v>24</v>
      </c>
      <c r="L297" s="5"/>
      <c r="M297" s="4"/>
    </row>
    <row r="298" spans="1:13" x14ac:dyDescent="0.25">
      <c r="A298" t="s">
        <v>2518</v>
      </c>
      <c r="B298" t="s">
        <v>2709</v>
      </c>
      <c r="C298" s="25">
        <v>2496</v>
      </c>
      <c r="D298" s="28">
        <v>2496</v>
      </c>
      <c r="E298" s="2" t="str">
        <f t="shared" si="10"/>
        <v>Same</v>
      </c>
      <c r="F298" s="6" t="s">
        <v>1849</v>
      </c>
      <c r="G298" s="3">
        <v>26.95</v>
      </c>
      <c r="H298" s="2" t="s">
        <v>295</v>
      </c>
      <c r="I298" s="4">
        <f>[1]Sheet1!I298</f>
        <v>3803</v>
      </c>
      <c r="J298" s="3" t="str">
        <f t="shared" si="9"/>
        <v>2496_A1C1.webp</v>
      </c>
      <c r="K298" s="5">
        <f>Sheet4!E298</f>
        <v>24</v>
      </c>
      <c r="L298" s="5"/>
      <c r="M298" s="4"/>
    </row>
    <row r="299" spans="1:13" x14ac:dyDescent="0.25">
      <c r="A299" t="s">
        <v>2518</v>
      </c>
      <c r="B299" t="s">
        <v>2709</v>
      </c>
      <c r="C299" s="25">
        <v>2497</v>
      </c>
      <c r="D299" s="28">
        <v>2497</v>
      </c>
      <c r="E299" s="2" t="str">
        <f t="shared" si="10"/>
        <v>Same</v>
      </c>
      <c r="F299" s="6" t="s">
        <v>1849</v>
      </c>
      <c r="G299" s="3">
        <v>26.5</v>
      </c>
      <c r="H299" s="2" t="s">
        <v>296</v>
      </c>
      <c r="I299" s="4">
        <f>[1]Sheet1!I299</f>
        <v>1429</v>
      </c>
      <c r="J299" s="3" t="str">
        <f t="shared" si="9"/>
        <v>2497_A1C1.webp</v>
      </c>
      <c r="K299" s="5">
        <f>Sheet4!E299</f>
        <v>24</v>
      </c>
      <c r="L299" s="5"/>
      <c r="M299" s="4"/>
    </row>
    <row r="300" spans="1:13" x14ac:dyDescent="0.25">
      <c r="A300" t="s">
        <v>2518</v>
      </c>
      <c r="B300" t="s">
        <v>2709</v>
      </c>
      <c r="C300" s="25">
        <v>2498</v>
      </c>
      <c r="D300" s="28">
        <v>2498</v>
      </c>
      <c r="E300" s="2" t="str">
        <f t="shared" si="10"/>
        <v>Same</v>
      </c>
      <c r="F300" s="6" t="s">
        <v>1849</v>
      </c>
      <c r="G300" s="3">
        <v>26.5</v>
      </c>
      <c r="H300" s="2" t="s">
        <v>297</v>
      </c>
      <c r="I300" s="4">
        <f>[1]Sheet1!I300</f>
        <v>972</v>
      </c>
      <c r="J300" s="3" t="str">
        <f t="shared" si="9"/>
        <v>2498_A1C1.webp</v>
      </c>
      <c r="K300" s="5">
        <f>Sheet4!E300</f>
        <v>24</v>
      </c>
      <c r="L300" s="5"/>
      <c r="M300" s="4"/>
    </row>
    <row r="301" spans="1:13" x14ac:dyDescent="0.25">
      <c r="A301" t="s">
        <v>2518</v>
      </c>
      <c r="B301" t="s">
        <v>2709</v>
      </c>
      <c r="C301" s="25">
        <v>2499</v>
      </c>
      <c r="D301" s="28">
        <v>2499</v>
      </c>
      <c r="E301" s="2" t="str">
        <f t="shared" si="10"/>
        <v>Same</v>
      </c>
      <c r="F301" s="6" t="s">
        <v>1882</v>
      </c>
      <c r="G301" s="3">
        <v>69.95</v>
      </c>
      <c r="H301" s="2" t="s">
        <v>298</v>
      </c>
      <c r="I301" s="4">
        <f>[1]Sheet1!I301</f>
        <v>974</v>
      </c>
      <c r="J301" s="3" t="str">
        <f t="shared" si="9"/>
        <v>2499_A1C1.webp</v>
      </c>
      <c r="K301" s="5">
        <f>Sheet4!E301</f>
        <v>24</v>
      </c>
      <c r="L301" s="5"/>
      <c r="M301" s="4"/>
    </row>
    <row r="302" spans="1:13" x14ac:dyDescent="0.25">
      <c r="A302" t="s">
        <v>2518</v>
      </c>
      <c r="B302" t="s">
        <v>2709</v>
      </c>
      <c r="C302" s="25">
        <v>2500</v>
      </c>
      <c r="D302" s="28">
        <v>2500</v>
      </c>
      <c r="E302" s="2" t="str">
        <f t="shared" si="10"/>
        <v>Same</v>
      </c>
      <c r="F302" s="6" t="s">
        <v>1849</v>
      </c>
      <c r="G302" s="3">
        <v>73.95</v>
      </c>
      <c r="H302" s="2" t="s">
        <v>299</v>
      </c>
      <c r="I302" s="4">
        <f>[1]Sheet1!I302</f>
        <v>70</v>
      </c>
      <c r="J302" s="3" t="str">
        <f t="shared" si="9"/>
        <v>2500_A1C1.webp</v>
      </c>
      <c r="K302" s="5">
        <f>Sheet4!E302</f>
        <v>24</v>
      </c>
      <c r="L302" s="5"/>
      <c r="M302" s="4"/>
    </row>
    <row r="303" spans="1:13" x14ac:dyDescent="0.25">
      <c r="A303" t="s">
        <v>2518</v>
      </c>
      <c r="B303" t="s">
        <v>2709</v>
      </c>
      <c r="C303" s="25">
        <v>2501</v>
      </c>
      <c r="D303" s="28">
        <v>2501</v>
      </c>
      <c r="E303" s="2" t="str">
        <f t="shared" si="10"/>
        <v>Same</v>
      </c>
      <c r="F303" s="6" t="s">
        <v>1849</v>
      </c>
      <c r="G303" s="3">
        <v>33.950000000000003</v>
      </c>
      <c r="H303" s="2" t="s">
        <v>300</v>
      </c>
      <c r="I303" s="4">
        <f>[1]Sheet1!I303</f>
        <v>1933</v>
      </c>
      <c r="J303" s="3" t="str">
        <f t="shared" si="9"/>
        <v>2501_A1C1.webp</v>
      </c>
      <c r="K303" s="5">
        <f>Sheet4!E303</f>
        <v>24</v>
      </c>
      <c r="L303" s="5"/>
      <c r="M303" s="4"/>
    </row>
    <row r="304" spans="1:13" x14ac:dyDescent="0.25">
      <c r="A304" t="s">
        <v>2518</v>
      </c>
      <c r="B304" t="s">
        <v>2709</v>
      </c>
      <c r="C304" s="25">
        <v>2502</v>
      </c>
      <c r="D304" s="28">
        <v>2502</v>
      </c>
      <c r="E304" s="2" t="str">
        <f t="shared" si="10"/>
        <v>Same</v>
      </c>
      <c r="F304" s="6" t="s">
        <v>1849</v>
      </c>
      <c r="G304" s="3">
        <v>51.95</v>
      </c>
      <c r="H304" s="2" t="s">
        <v>301</v>
      </c>
      <c r="I304" s="4">
        <f>[1]Sheet1!I304</f>
        <v>1205</v>
      </c>
      <c r="J304" s="3" t="str">
        <f t="shared" si="9"/>
        <v>2502_A1C1.webp</v>
      </c>
      <c r="K304" s="5">
        <f>Sheet4!E304</f>
        <v>24</v>
      </c>
      <c r="L304" s="5"/>
      <c r="M304" s="4"/>
    </row>
    <row r="305" spans="1:13" x14ac:dyDescent="0.25">
      <c r="A305" t="s">
        <v>2518</v>
      </c>
      <c r="B305" t="s">
        <v>2709</v>
      </c>
      <c r="C305" s="25">
        <v>2503</v>
      </c>
      <c r="D305" s="28">
        <v>2503</v>
      </c>
      <c r="E305" s="2" t="str">
        <f t="shared" si="10"/>
        <v>Same</v>
      </c>
      <c r="F305" s="6" t="s">
        <v>1849</v>
      </c>
      <c r="G305" s="3">
        <v>57.95</v>
      </c>
      <c r="H305" s="2" t="s">
        <v>302</v>
      </c>
      <c r="I305" s="4">
        <f>[1]Sheet1!I305</f>
        <v>4591</v>
      </c>
      <c r="J305" s="3" t="str">
        <f t="shared" si="9"/>
        <v>2503_A1C1.webp</v>
      </c>
      <c r="K305" s="5">
        <f>Sheet4!E305</f>
        <v>24</v>
      </c>
      <c r="L305" s="5"/>
      <c r="M305" s="4"/>
    </row>
    <row r="306" spans="1:13" x14ac:dyDescent="0.25">
      <c r="A306" t="s">
        <v>2518</v>
      </c>
      <c r="B306" t="s">
        <v>2709</v>
      </c>
      <c r="C306" s="25">
        <v>2504</v>
      </c>
      <c r="D306" s="28">
        <v>2504</v>
      </c>
      <c r="E306" s="2" t="str">
        <f t="shared" si="10"/>
        <v>Same</v>
      </c>
      <c r="F306" s="6" t="s">
        <v>1849</v>
      </c>
      <c r="G306" s="3">
        <v>69.95</v>
      </c>
      <c r="H306" s="2" t="s">
        <v>303</v>
      </c>
      <c r="I306" s="4">
        <f>[1]Sheet1!I306</f>
        <v>256</v>
      </c>
      <c r="J306" s="3" t="str">
        <f t="shared" si="9"/>
        <v>2504_A1C1.webp</v>
      </c>
      <c r="K306" s="5">
        <f>Sheet4!E306</f>
        <v>24</v>
      </c>
      <c r="L306" s="5"/>
      <c r="M306" s="4"/>
    </row>
    <row r="307" spans="1:13" x14ac:dyDescent="0.25">
      <c r="A307" t="s">
        <v>2518</v>
      </c>
      <c r="B307" t="s">
        <v>2709</v>
      </c>
      <c r="C307" s="25">
        <v>2506</v>
      </c>
      <c r="D307" s="28">
        <v>2506</v>
      </c>
      <c r="E307" s="2" t="str">
        <f t="shared" si="10"/>
        <v>Same</v>
      </c>
      <c r="F307" s="6" t="s">
        <v>1849</v>
      </c>
      <c r="G307" s="3">
        <v>87.95</v>
      </c>
      <c r="H307" s="2" t="s">
        <v>304</v>
      </c>
      <c r="I307" s="4">
        <f>[1]Sheet1!I307</f>
        <v>454</v>
      </c>
      <c r="J307" s="3" t="str">
        <f t="shared" si="9"/>
        <v>2506_A1C1.webp</v>
      </c>
      <c r="K307" s="5">
        <f>Sheet4!E307</f>
        <v>24</v>
      </c>
      <c r="L307" s="5"/>
      <c r="M307" s="4"/>
    </row>
    <row r="308" spans="1:13" x14ac:dyDescent="0.25">
      <c r="A308" t="s">
        <v>2518</v>
      </c>
      <c r="B308" t="s">
        <v>2709</v>
      </c>
      <c r="C308" s="25">
        <v>2509</v>
      </c>
      <c r="D308" s="28">
        <v>2509</v>
      </c>
      <c r="E308" s="2" t="str">
        <f t="shared" si="10"/>
        <v>Same</v>
      </c>
      <c r="F308" s="6" t="s">
        <v>1849</v>
      </c>
      <c r="G308" s="3">
        <v>87.95</v>
      </c>
      <c r="H308" s="2" t="s">
        <v>305</v>
      </c>
      <c r="I308" s="4">
        <f>[1]Sheet1!I308</f>
        <v>0</v>
      </c>
      <c r="J308" s="3" t="str">
        <f t="shared" si="9"/>
        <v>2509_A1C1.webp</v>
      </c>
      <c r="K308" s="5">
        <f>Sheet4!E308</f>
        <v>24</v>
      </c>
      <c r="L308" s="5"/>
      <c r="M308" s="4"/>
    </row>
    <row r="309" spans="1:13" x14ac:dyDescent="0.25">
      <c r="A309" t="s">
        <v>2518</v>
      </c>
      <c r="B309" t="s">
        <v>2709</v>
      </c>
      <c r="C309" s="25">
        <v>2510</v>
      </c>
      <c r="D309" s="28">
        <v>2510</v>
      </c>
      <c r="E309" s="2" t="str">
        <f t="shared" si="10"/>
        <v>Same</v>
      </c>
      <c r="F309" s="6" t="s">
        <v>1849</v>
      </c>
      <c r="G309" s="3">
        <v>87.95</v>
      </c>
      <c r="H309" s="2" t="s">
        <v>306</v>
      </c>
      <c r="I309" s="4">
        <f>[1]Sheet1!I309</f>
        <v>0</v>
      </c>
      <c r="J309" s="3" t="str">
        <f t="shared" si="9"/>
        <v>2510_A1C1.webp</v>
      </c>
      <c r="K309" s="5">
        <f>Sheet4!E309</f>
        <v>24</v>
      </c>
      <c r="L309" s="5"/>
      <c r="M309" s="4"/>
    </row>
    <row r="310" spans="1:13" x14ac:dyDescent="0.25">
      <c r="A310" t="s">
        <v>2518</v>
      </c>
      <c r="B310" t="s">
        <v>2709</v>
      </c>
      <c r="C310" s="25">
        <v>2513</v>
      </c>
      <c r="D310" s="28">
        <v>2513</v>
      </c>
      <c r="E310" s="2" t="str">
        <f t="shared" si="10"/>
        <v>Same</v>
      </c>
      <c r="F310" s="6" t="s">
        <v>1849</v>
      </c>
      <c r="G310" s="3">
        <v>39.5</v>
      </c>
      <c r="H310" s="2" t="s">
        <v>307</v>
      </c>
      <c r="I310" s="4">
        <f>[1]Sheet1!I310</f>
        <v>0</v>
      </c>
      <c r="J310" s="3" t="str">
        <f t="shared" si="9"/>
        <v>2513_A1C1.webp</v>
      </c>
      <c r="K310" s="5">
        <f>Sheet4!E310</f>
        <v>24</v>
      </c>
      <c r="L310" s="5"/>
      <c r="M310" s="4"/>
    </row>
    <row r="311" spans="1:13" x14ac:dyDescent="0.25">
      <c r="A311" t="s">
        <v>2518</v>
      </c>
      <c r="B311" t="s">
        <v>2789</v>
      </c>
      <c r="C311" s="25">
        <v>2514</v>
      </c>
      <c r="D311" s="28">
        <v>2514</v>
      </c>
      <c r="E311" s="2" t="str">
        <f t="shared" si="10"/>
        <v>Same</v>
      </c>
      <c r="F311" s="6" t="s">
        <v>1896</v>
      </c>
      <c r="G311" s="3">
        <v>47.5</v>
      </c>
      <c r="H311" s="2" t="s">
        <v>308</v>
      </c>
      <c r="I311" s="4">
        <f>[1]Sheet1!I311</f>
        <v>384</v>
      </c>
      <c r="J311" s="3" t="str">
        <f t="shared" si="9"/>
        <v>2514_A1C1.webp</v>
      </c>
      <c r="K311" s="5">
        <f>Sheet4!E311</f>
        <v>6</v>
      </c>
      <c r="L311" s="5"/>
      <c r="M311" s="4"/>
    </row>
    <row r="312" spans="1:13" x14ac:dyDescent="0.25">
      <c r="A312" t="s">
        <v>2518</v>
      </c>
      <c r="B312" t="s">
        <v>2789</v>
      </c>
      <c r="C312" s="25">
        <v>2515</v>
      </c>
      <c r="D312" s="28">
        <v>2515</v>
      </c>
      <c r="E312" s="2" t="str">
        <f t="shared" si="10"/>
        <v>Same</v>
      </c>
      <c r="F312" s="6" t="s">
        <v>1896</v>
      </c>
      <c r="G312" s="3">
        <v>37.5</v>
      </c>
      <c r="H312" s="2" t="s">
        <v>309</v>
      </c>
      <c r="I312" s="4">
        <f>[1]Sheet1!I312</f>
        <v>771</v>
      </c>
      <c r="J312" s="3" t="str">
        <f t="shared" si="9"/>
        <v>2515_A1C1.webp</v>
      </c>
      <c r="K312" s="5">
        <f>Sheet4!E312</f>
        <v>6</v>
      </c>
      <c r="L312" s="5"/>
      <c r="M312" s="4"/>
    </row>
    <row r="313" spans="1:13" x14ac:dyDescent="0.25">
      <c r="A313" t="s">
        <v>2518</v>
      </c>
      <c r="B313" t="s">
        <v>2789</v>
      </c>
      <c r="C313" s="25">
        <v>2516</v>
      </c>
      <c r="D313" s="28">
        <v>2516</v>
      </c>
      <c r="E313" s="2" t="str">
        <f t="shared" si="10"/>
        <v>Same</v>
      </c>
      <c r="F313" s="6" t="s">
        <v>1896</v>
      </c>
      <c r="G313" s="3">
        <v>33.5</v>
      </c>
      <c r="H313" s="2" t="s">
        <v>310</v>
      </c>
      <c r="I313" s="4">
        <f>[1]Sheet1!I313</f>
        <v>2925</v>
      </c>
      <c r="J313" s="3" t="str">
        <f t="shared" si="9"/>
        <v>2516_A1C1.webp</v>
      </c>
      <c r="K313" s="5">
        <f>Sheet4!E313</f>
        <v>6</v>
      </c>
      <c r="L313" s="5"/>
      <c r="M313" s="4"/>
    </row>
    <row r="314" spans="1:13" x14ac:dyDescent="0.25">
      <c r="A314" t="s">
        <v>2518</v>
      </c>
      <c r="B314" t="s">
        <v>2789</v>
      </c>
      <c r="C314" s="25">
        <v>2517</v>
      </c>
      <c r="D314" s="28">
        <v>2517</v>
      </c>
      <c r="E314" s="2" t="str">
        <f t="shared" si="10"/>
        <v>Same</v>
      </c>
      <c r="F314" s="6" t="s">
        <v>1896</v>
      </c>
      <c r="G314" s="3">
        <v>57.5</v>
      </c>
      <c r="H314" s="2" t="s">
        <v>311</v>
      </c>
      <c r="I314" s="4">
        <f>[1]Sheet1!I314</f>
        <v>1152</v>
      </c>
      <c r="J314" s="3" t="str">
        <f t="shared" si="9"/>
        <v>2517_A1C1.webp</v>
      </c>
      <c r="K314" s="5">
        <f>Sheet4!E314</f>
        <v>6</v>
      </c>
      <c r="L314" s="5"/>
      <c r="M314" s="4"/>
    </row>
    <row r="315" spans="1:13" x14ac:dyDescent="0.25">
      <c r="A315" t="s">
        <v>2518</v>
      </c>
      <c r="B315" t="s">
        <v>2789</v>
      </c>
      <c r="C315" s="25">
        <v>2518</v>
      </c>
      <c r="D315" s="28">
        <v>2518</v>
      </c>
      <c r="E315" s="2" t="str">
        <f t="shared" si="10"/>
        <v>Same</v>
      </c>
      <c r="F315" s="6" t="s">
        <v>1896</v>
      </c>
      <c r="G315" s="3">
        <v>58.5</v>
      </c>
      <c r="H315" s="2" t="s">
        <v>312</v>
      </c>
      <c r="I315" s="4">
        <f>[1]Sheet1!I315</f>
        <v>652</v>
      </c>
      <c r="J315" s="3" t="str">
        <f t="shared" si="9"/>
        <v>2518_A1C1.webp</v>
      </c>
      <c r="K315" s="5">
        <f>Sheet4!E315</f>
        <v>6</v>
      </c>
      <c r="L315" s="5"/>
      <c r="M315" s="4"/>
    </row>
    <row r="316" spans="1:13" x14ac:dyDescent="0.25">
      <c r="A316" t="s">
        <v>2518</v>
      </c>
      <c r="B316" t="s">
        <v>2789</v>
      </c>
      <c r="C316" s="25">
        <v>2519</v>
      </c>
      <c r="D316" s="28">
        <v>2519</v>
      </c>
      <c r="E316" s="2" t="str">
        <f t="shared" si="10"/>
        <v>Same</v>
      </c>
      <c r="F316" s="6" t="s">
        <v>1896</v>
      </c>
      <c r="G316" s="3">
        <v>35.5</v>
      </c>
      <c r="H316" s="2" t="s">
        <v>313</v>
      </c>
      <c r="I316" s="4">
        <f>[1]Sheet1!I316</f>
        <v>1214</v>
      </c>
      <c r="J316" s="3" t="str">
        <f t="shared" si="9"/>
        <v>2519_A1C1.webp</v>
      </c>
      <c r="K316" s="5">
        <f>Sheet4!E316</f>
        <v>6</v>
      </c>
      <c r="L316" s="5"/>
      <c r="M316" s="4"/>
    </row>
    <row r="317" spans="1:13" x14ac:dyDescent="0.25">
      <c r="A317" t="s">
        <v>2518</v>
      </c>
      <c r="B317" t="s">
        <v>2789</v>
      </c>
      <c r="C317" s="25">
        <v>2520</v>
      </c>
      <c r="D317" s="28">
        <v>2520</v>
      </c>
      <c r="E317" s="2" t="str">
        <f t="shared" si="10"/>
        <v>Same</v>
      </c>
      <c r="F317" s="6" t="s">
        <v>1896</v>
      </c>
      <c r="G317" s="3">
        <v>42.95</v>
      </c>
      <c r="H317" s="2" t="s">
        <v>314</v>
      </c>
      <c r="I317" s="4">
        <f>[1]Sheet1!I317</f>
        <v>483</v>
      </c>
      <c r="J317" s="3" t="str">
        <f t="shared" si="9"/>
        <v>2520_A1C1.webp</v>
      </c>
      <c r="K317" s="5">
        <f>Sheet4!E317</f>
        <v>6</v>
      </c>
      <c r="L317" s="5"/>
      <c r="M317" s="4"/>
    </row>
    <row r="318" spans="1:13" x14ac:dyDescent="0.25">
      <c r="A318" t="s">
        <v>2518</v>
      </c>
      <c r="B318" t="s">
        <v>2789</v>
      </c>
      <c r="C318" s="25">
        <v>2521</v>
      </c>
      <c r="D318" s="28">
        <v>2521</v>
      </c>
      <c r="E318" s="2" t="str">
        <f t="shared" si="10"/>
        <v>Same</v>
      </c>
      <c r="F318" s="6" t="s">
        <v>1896</v>
      </c>
      <c r="G318" s="3">
        <v>33.5</v>
      </c>
      <c r="H318" s="2" t="s">
        <v>315</v>
      </c>
      <c r="I318" s="4">
        <f>[1]Sheet1!I318</f>
        <v>1386</v>
      </c>
      <c r="J318" s="3" t="str">
        <f t="shared" si="9"/>
        <v>2521_A1C1.webp</v>
      </c>
      <c r="K318" s="5">
        <f>Sheet4!E318</f>
        <v>6</v>
      </c>
      <c r="L318" s="5"/>
      <c r="M318" s="4"/>
    </row>
    <row r="319" spans="1:13" x14ac:dyDescent="0.25">
      <c r="A319" t="s">
        <v>2518</v>
      </c>
      <c r="B319" t="s">
        <v>2789</v>
      </c>
      <c r="C319" s="25">
        <v>2522</v>
      </c>
      <c r="D319" s="28">
        <v>2522</v>
      </c>
      <c r="E319" s="2" t="str">
        <f t="shared" si="10"/>
        <v>Same</v>
      </c>
      <c r="F319" s="6" t="s">
        <v>1850</v>
      </c>
      <c r="G319" s="3">
        <v>61.95</v>
      </c>
      <c r="H319" s="2" t="s">
        <v>316</v>
      </c>
      <c r="I319" s="4">
        <f>[1]Sheet1!I319</f>
        <v>1451</v>
      </c>
      <c r="J319" s="3" t="str">
        <f t="shared" si="9"/>
        <v>2522_A1C1.webp</v>
      </c>
      <c r="K319" s="5">
        <f>Sheet4!E319</f>
        <v>6</v>
      </c>
      <c r="L319" s="5"/>
      <c r="M319" s="4"/>
    </row>
    <row r="320" spans="1:13" x14ac:dyDescent="0.25">
      <c r="A320" t="s">
        <v>2518</v>
      </c>
      <c r="B320" t="s">
        <v>2789</v>
      </c>
      <c r="C320" s="25">
        <v>2523</v>
      </c>
      <c r="D320" s="28">
        <v>2523</v>
      </c>
      <c r="E320" s="2" t="str">
        <f t="shared" si="10"/>
        <v>Same</v>
      </c>
      <c r="F320" s="6" t="s">
        <v>1896</v>
      </c>
      <c r="G320" s="3">
        <v>31.95</v>
      </c>
      <c r="H320" s="2" t="s">
        <v>317</v>
      </c>
      <c r="I320" s="4">
        <f>[1]Sheet1!I320</f>
        <v>3492</v>
      </c>
      <c r="J320" s="3" t="str">
        <f t="shared" si="9"/>
        <v>2523_A1C1.webp</v>
      </c>
      <c r="K320" s="5">
        <f>Sheet4!E320</f>
        <v>6</v>
      </c>
      <c r="L320" s="5"/>
      <c r="M320" s="4"/>
    </row>
    <row r="321" spans="1:13" x14ac:dyDescent="0.25">
      <c r="A321" t="s">
        <v>2518</v>
      </c>
      <c r="B321" t="s">
        <v>2789</v>
      </c>
      <c r="C321" s="25">
        <v>2524</v>
      </c>
      <c r="D321" s="28">
        <v>2524</v>
      </c>
      <c r="E321" s="2" t="str">
        <f t="shared" si="10"/>
        <v>Same</v>
      </c>
      <c r="F321" s="6" t="s">
        <v>1896</v>
      </c>
      <c r="G321" s="3">
        <v>38.950000000000003</v>
      </c>
      <c r="H321" s="2" t="s">
        <v>318</v>
      </c>
      <c r="I321" s="4">
        <f>[1]Sheet1!I321</f>
        <v>1181</v>
      </c>
      <c r="J321" s="3" t="str">
        <f t="shared" si="9"/>
        <v>2524_A1C1.webp</v>
      </c>
      <c r="K321" s="5">
        <f>Sheet4!E321</f>
        <v>6</v>
      </c>
      <c r="L321" s="5"/>
      <c r="M321" s="4"/>
    </row>
    <row r="322" spans="1:13" x14ac:dyDescent="0.25">
      <c r="A322" t="s">
        <v>2518</v>
      </c>
      <c r="B322" t="s">
        <v>2789</v>
      </c>
      <c r="C322" s="25">
        <v>2525</v>
      </c>
      <c r="D322" s="28">
        <v>2525</v>
      </c>
      <c r="E322" s="2" t="str">
        <f t="shared" si="10"/>
        <v>Same</v>
      </c>
      <c r="F322" s="6" t="s">
        <v>1896</v>
      </c>
      <c r="G322" s="3">
        <v>24.5</v>
      </c>
      <c r="H322" s="2" t="s">
        <v>319</v>
      </c>
      <c r="I322" s="4">
        <f>[1]Sheet1!I322</f>
        <v>631</v>
      </c>
      <c r="J322" s="3" t="str">
        <f t="shared" ref="J322:J385" si="11">C322 &amp; "_A1C1.webp"</f>
        <v>2525_A1C1.webp</v>
      </c>
      <c r="K322" s="5">
        <f>Sheet4!E322</f>
        <v>6</v>
      </c>
      <c r="L322" s="5"/>
      <c r="M322" s="4"/>
    </row>
    <row r="323" spans="1:13" x14ac:dyDescent="0.25">
      <c r="A323" t="s">
        <v>2518</v>
      </c>
      <c r="B323" t="s">
        <v>2789</v>
      </c>
      <c r="C323" s="25">
        <v>2526</v>
      </c>
      <c r="D323" s="28">
        <v>2526</v>
      </c>
      <c r="E323" s="2" t="str">
        <f t="shared" si="10"/>
        <v>Same</v>
      </c>
      <c r="F323" s="6" t="s">
        <v>1896</v>
      </c>
      <c r="G323" s="3">
        <v>29.95</v>
      </c>
      <c r="H323" s="2" t="s">
        <v>320</v>
      </c>
      <c r="I323" s="4">
        <f>[1]Sheet1!I323</f>
        <v>1520</v>
      </c>
      <c r="J323" s="3" t="str">
        <f t="shared" si="11"/>
        <v>2526_A1C1.webp</v>
      </c>
      <c r="K323" s="5">
        <f>Sheet4!E323</f>
        <v>6</v>
      </c>
      <c r="L323" s="5"/>
      <c r="M323" s="4"/>
    </row>
    <row r="324" spans="1:13" x14ac:dyDescent="0.25">
      <c r="A324" t="s">
        <v>2518</v>
      </c>
      <c r="B324" t="s">
        <v>2922</v>
      </c>
      <c r="C324" s="25">
        <v>2527</v>
      </c>
      <c r="D324" s="28">
        <v>2527</v>
      </c>
      <c r="E324" s="2" t="str">
        <f t="shared" si="10"/>
        <v>Same</v>
      </c>
      <c r="F324" s="6" t="s">
        <v>1897</v>
      </c>
      <c r="G324" s="3">
        <v>52.95</v>
      </c>
      <c r="H324" s="2" t="s">
        <v>321</v>
      </c>
      <c r="I324" s="4">
        <f>[1]Sheet1!I324</f>
        <v>566</v>
      </c>
      <c r="J324" s="3" t="str">
        <f t="shared" si="11"/>
        <v>2527_A1C1.webp</v>
      </c>
      <c r="K324" s="5">
        <f>Sheet4!E324</f>
        <v>4</v>
      </c>
      <c r="L324" s="5"/>
      <c r="M324" s="4"/>
    </row>
    <row r="325" spans="1:13" x14ac:dyDescent="0.25">
      <c r="A325" t="s">
        <v>2518</v>
      </c>
      <c r="B325" t="s">
        <v>2922</v>
      </c>
      <c r="C325" s="25">
        <v>2528</v>
      </c>
      <c r="D325" s="28">
        <v>2528</v>
      </c>
      <c r="E325" s="2" t="str">
        <f t="shared" si="10"/>
        <v>Same</v>
      </c>
      <c r="F325" s="6" t="s">
        <v>1897</v>
      </c>
      <c r="G325" s="3">
        <v>48.95</v>
      </c>
      <c r="H325" s="2" t="s">
        <v>322</v>
      </c>
      <c r="I325" s="4">
        <f>[1]Sheet1!I325</f>
        <v>178</v>
      </c>
      <c r="J325" s="3" t="str">
        <f t="shared" si="11"/>
        <v>2528_A1C1.webp</v>
      </c>
      <c r="K325" s="5">
        <f>Sheet4!E325</f>
        <v>4</v>
      </c>
      <c r="L325" s="5"/>
      <c r="M325" s="4"/>
    </row>
    <row r="326" spans="1:13" x14ac:dyDescent="0.25">
      <c r="A326" t="s">
        <v>2518</v>
      </c>
      <c r="B326" t="s">
        <v>2922</v>
      </c>
      <c r="C326" s="25">
        <v>2529</v>
      </c>
      <c r="D326" s="28">
        <v>2529</v>
      </c>
      <c r="E326" s="2" t="str">
        <f t="shared" ref="E326:E389" si="12">IF(C326=D326, "Same","New")</f>
        <v>Same</v>
      </c>
      <c r="F326" s="6" t="s">
        <v>1897</v>
      </c>
      <c r="G326" s="3">
        <v>64.95</v>
      </c>
      <c r="H326" s="2" t="s">
        <v>323</v>
      </c>
      <c r="I326" s="4">
        <f>[1]Sheet1!I326</f>
        <v>505</v>
      </c>
      <c r="J326" s="3" t="str">
        <f t="shared" si="11"/>
        <v>2529_A1C1.webp</v>
      </c>
      <c r="K326" s="5">
        <f>Sheet4!E326</f>
        <v>4</v>
      </c>
      <c r="L326" s="5"/>
      <c r="M326" s="4"/>
    </row>
    <row r="327" spans="1:13" x14ac:dyDescent="0.25">
      <c r="A327" t="s">
        <v>2593</v>
      </c>
      <c r="B327" t="s">
        <v>2696</v>
      </c>
      <c r="C327" s="25">
        <v>2531</v>
      </c>
      <c r="D327" s="28">
        <v>2531</v>
      </c>
      <c r="E327" s="2" t="str">
        <f t="shared" si="12"/>
        <v>Same</v>
      </c>
      <c r="F327" s="6" t="s">
        <v>1876</v>
      </c>
      <c r="G327" s="3">
        <v>29.95</v>
      </c>
      <c r="H327" s="2" t="s">
        <v>324</v>
      </c>
      <c r="I327" s="4">
        <f>[1]Sheet1!I327</f>
        <v>2926</v>
      </c>
      <c r="J327" s="3" t="str">
        <f t="shared" si="11"/>
        <v>2531_A1C1.webp</v>
      </c>
      <c r="K327" s="5">
        <f>Sheet4!E327</f>
        <v>24</v>
      </c>
      <c r="L327" s="5"/>
      <c r="M327" s="4"/>
    </row>
    <row r="328" spans="1:13" x14ac:dyDescent="0.25">
      <c r="A328" t="s">
        <v>2593</v>
      </c>
      <c r="B328" t="s">
        <v>2696</v>
      </c>
      <c r="C328" s="25">
        <v>2533</v>
      </c>
      <c r="D328" s="28">
        <v>2533</v>
      </c>
      <c r="E328" s="2" t="str">
        <f t="shared" si="12"/>
        <v>Same</v>
      </c>
      <c r="F328" s="6" t="s">
        <v>1898</v>
      </c>
      <c r="G328">
        <v>21.75</v>
      </c>
      <c r="H328" s="2" t="s">
        <v>325</v>
      </c>
      <c r="I328" s="4">
        <f>[1]Sheet1!I328</f>
        <v>263</v>
      </c>
      <c r="J328" s="3" t="str">
        <f t="shared" si="11"/>
        <v>2533_A1C1.webp</v>
      </c>
      <c r="K328" s="5">
        <f>Sheet4!E328</f>
        <v>24</v>
      </c>
      <c r="L328" s="5"/>
      <c r="M328" s="4"/>
    </row>
    <row r="329" spans="1:13" x14ac:dyDescent="0.25">
      <c r="A329" t="s">
        <v>2518</v>
      </c>
      <c r="B329" t="s">
        <v>2709</v>
      </c>
      <c r="C329" s="25">
        <v>2534</v>
      </c>
      <c r="D329" s="28">
        <v>2534</v>
      </c>
      <c r="E329" s="2" t="str">
        <f t="shared" si="12"/>
        <v>Same</v>
      </c>
      <c r="F329" s="6" t="s">
        <v>1849</v>
      </c>
      <c r="G329" s="3">
        <v>46.65</v>
      </c>
      <c r="H329" s="2" t="s">
        <v>326</v>
      </c>
      <c r="I329" s="4">
        <f>[1]Sheet1!I329</f>
        <v>0</v>
      </c>
      <c r="J329" s="3" t="str">
        <f t="shared" si="11"/>
        <v>2534_A1C1.webp</v>
      </c>
      <c r="K329" s="5">
        <f>Sheet4!E329</f>
        <v>24</v>
      </c>
      <c r="L329" s="5"/>
      <c r="M329" s="4"/>
    </row>
    <row r="330" spans="1:13" x14ac:dyDescent="0.25">
      <c r="A330" t="s">
        <v>2593</v>
      </c>
      <c r="B330" t="s">
        <v>2696</v>
      </c>
      <c r="C330" s="25">
        <v>2535</v>
      </c>
      <c r="D330" s="28">
        <v>2535</v>
      </c>
      <c r="E330" s="2" t="str">
        <f t="shared" si="12"/>
        <v>Same</v>
      </c>
      <c r="F330" s="6" t="s">
        <v>1887</v>
      </c>
      <c r="G330" s="3">
        <v>27.5</v>
      </c>
      <c r="H330" s="2" t="s">
        <v>327</v>
      </c>
      <c r="I330" s="4">
        <f>[1]Sheet1!I330</f>
        <v>479</v>
      </c>
      <c r="J330" s="3" t="str">
        <f t="shared" si="11"/>
        <v>2535_A1C1.webp</v>
      </c>
      <c r="K330" s="5">
        <f>Sheet4!E330</f>
        <v>24</v>
      </c>
      <c r="L330" s="5"/>
      <c r="M330" s="4"/>
    </row>
    <row r="331" spans="1:13" x14ac:dyDescent="0.25">
      <c r="A331" t="s">
        <v>2593</v>
      </c>
      <c r="B331" t="s">
        <v>2696</v>
      </c>
      <c r="C331" s="25">
        <v>2536</v>
      </c>
      <c r="D331" s="28">
        <v>2536</v>
      </c>
      <c r="E331" s="2" t="str">
        <f t="shared" si="12"/>
        <v>Same</v>
      </c>
      <c r="F331" s="6" t="s">
        <v>1869</v>
      </c>
      <c r="G331">
        <v>20.95</v>
      </c>
      <c r="H331" s="2" t="s">
        <v>328</v>
      </c>
      <c r="I331" s="4">
        <f>[1]Sheet1!I331</f>
        <v>31</v>
      </c>
      <c r="J331" s="3" t="str">
        <f t="shared" si="11"/>
        <v>2536_A1C1.webp</v>
      </c>
      <c r="K331" s="5">
        <f>Sheet4!E331</f>
        <v>24</v>
      </c>
      <c r="L331" s="5"/>
      <c r="M331" s="4"/>
    </row>
    <row r="332" spans="1:13" x14ac:dyDescent="0.25">
      <c r="A332" t="s">
        <v>2593</v>
      </c>
      <c r="B332" t="s">
        <v>2696</v>
      </c>
      <c r="C332" s="25">
        <v>2537</v>
      </c>
      <c r="D332" s="28">
        <v>2537</v>
      </c>
      <c r="E332" s="2" t="str">
        <f t="shared" si="12"/>
        <v>Same</v>
      </c>
      <c r="F332" s="6" t="s">
        <v>1869</v>
      </c>
      <c r="G332">
        <v>20.95</v>
      </c>
      <c r="H332" s="2" t="s">
        <v>329</v>
      </c>
      <c r="I332" s="4">
        <f>[1]Sheet1!I332</f>
        <v>42</v>
      </c>
      <c r="J332" s="3" t="str">
        <f t="shared" si="11"/>
        <v>2537_A1C1.webp</v>
      </c>
      <c r="K332" s="5">
        <f>Sheet4!E332</f>
        <v>24</v>
      </c>
      <c r="L332" s="5"/>
      <c r="M332" s="4"/>
    </row>
    <row r="333" spans="1:13" x14ac:dyDescent="0.25">
      <c r="A333" t="s">
        <v>2944</v>
      </c>
      <c r="B333" t="s">
        <v>2945</v>
      </c>
      <c r="C333" s="25">
        <v>2538</v>
      </c>
      <c r="D333" s="28">
        <v>2538</v>
      </c>
      <c r="E333" s="2" t="str">
        <f t="shared" si="12"/>
        <v>Same</v>
      </c>
      <c r="F333" s="6" t="s">
        <v>1866</v>
      </c>
      <c r="G333" s="3">
        <v>20.65</v>
      </c>
      <c r="H333" s="2" t="s">
        <v>330</v>
      </c>
      <c r="I333" s="4">
        <f>[1]Sheet1!I333</f>
        <v>427</v>
      </c>
      <c r="J333" s="3" t="str">
        <f t="shared" si="11"/>
        <v>2538_A1C1.webp</v>
      </c>
      <c r="K333" s="5">
        <f>Sheet4!E333</f>
        <v>12</v>
      </c>
      <c r="L333" s="5"/>
      <c r="M333" s="4"/>
    </row>
    <row r="334" spans="1:13" x14ac:dyDescent="0.25">
      <c r="A334" t="s">
        <v>2593</v>
      </c>
      <c r="B334" t="s">
        <v>2696</v>
      </c>
      <c r="C334" s="25">
        <v>2539</v>
      </c>
      <c r="D334" s="28">
        <v>2539</v>
      </c>
      <c r="E334" s="2" t="str">
        <f t="shared" si="12"/>
        <v>Same</v>
      </c>
      <c r="F334" s="6" t="s">
        <v>1887</v>
      </c>
      <c r="G334" s="3">
        <v>27.5</v>
      </c>
      <c r="H334" s="2" t="s">
        <v>331</v>
      </c>
      <c r="I334" s="4">
        <f>[1]Sheet1!I334</f>
        <v>914</v>
      </c>
      <c r="J334" s="3" t="str">
        <f t="shared" si="11"/>
        <v>2539_A1C1.webp</v>
      </c>
      <c r="K334" s="5">
        <f>Sheet4!E334</f>
        <v>24</v>
      </c>
      <c r="L334" s="5"/>
      <c r="M334" s="4"/>
    </row>
    <row r="335" spans="1:13" x14ac:dyDescent="0.25">
      <c r="A335" t="s">
        <v>2944</v>
      </c>
      <c r="B335" t="s">
        <v>2951</v>
      </c>
      <c r="C335" s="25">
        <v>2541</v>
      </c>
      <c r="D335" s="28">
        <v>2541</v>
      </c>
      <c r="E335" s="2" t="str">
        <f t="shared" si="12"/>
        <v>Same</v>
      </c>
      <c r="F335" s="6" t="s">
        <v>1899</v>
      </c>
      <c r="G335" s="3">
        <v>34.65</v>
      </c>
      <c r="H335" s="2" t="s">
        <v>332</v>
      </c>
      <c r="I335" s="4">
        <f>[1]Sheet1!I335</f>
        <v>1874</v>
      </c>
      <c r="J335" s="3" t="str">
        <f t="shared" si="11"/>
        <v>2541_A1C1.webp</v>
      </c>
      <c r="K335" s="5">
        <f>Sheet4!E335</f>
        <v>6</v>
      </c>
      <c r="L335" s="5"/>
      <c r="M335" s="4"/>
    </row>
    <row r="336" spans="1:13" x14ac:dyDescent="0.25">
      <c r="A336" t="s">
        <v>2518</v>
      </c>
      <c r="B336" t="s">
        <v>2922</v>
      </c>
      <c r="C336" s="25">
        <v>2542</v>
      </c>
      <c r="D336" s="28">
        <v>2542</v>
      </c>
      <c r="E336" s="2" t="str">
        <f t="shared" si="12"/>
        <v>Same</v>
      </c>
      <c r="F336" s="6" t="s">
        <v>1897</v>
      </c>
      <c r="G336" s="3">
        <v>54.95</v>
      </c>
      <c r="H336" s="2" t="s">
        <v>333</v>
      </c>
      <c r="I336" s="4">
        <f>[1]Sheet1!I336</f>
        <v>143</v>
      </c>
      <c r="J336" s="3" t="str">
        <f t="shared" si="11"/>
        <v>2542_A1C1.webp</v>
      </c>
      <c r="K336" s="5">
        <f>Sheet4!E336</f>
        <v>4</v>
      </c>
      <c r="L336" s="5"/>
      <c r="M336" s="4"/>
    </row>
    <row r="337" spans="1:13" x14ac:dyDescent="0.25">
      <c r="A337" t="s">
        <v>2944</v>
      </c>
      <c r="B337" t="s">
        <v>2951</v>
      </c>
      <c r="C337" s="25">
        <v>2543</v>
      </c>
      <c r="D337" s="28">
        <v>2543</v>
      </c>
      <c r="E337" s="2" t="str">
        <f t="shared" si="12"/>
        <v>Same</v>
      </c>
      <c r="F337" s="6" t="s">
        <v>1869</v>
      </c>
      <c r="G337" s="3">
        <v>40.35</v>
      </c>
      <c r="H337" s="2" t="s">
        <v>334</v>
      </c>
      <c r="I337" s="4">
        <f>[1]Sheet1!I337</f>
        <v>4</v>
      </c>
      <c r="J337" s="3" t="str">
        <f t="shared" si="11"/>
        <v>2543_A1C1.webp</v>
      </c>
      <c r="K337" s="5">
        <f>Sheet4!E337</f>
        <v>12</v>
      </c>
      <c r="L337" s="5"/>
      <c r="M337" s="4"/>
    </row>
    <row r="338" spans="1:13" x14ac:dyDescent="0.25">
      <c r="A338" t="s">
        <v>2593</v>
      </c>
      <c r="B338" t="s">
        <v>2696</v>
      </c>
      <c r="C338" s="25">
        <v>2545</v>
      </c>
      <c r="D338" s="28">
        <v>2545</v>
      </c>
      <c r="E338" s="2" t="str">
        <f t="shared" si="12"/>
        <v>Same</v>
      </c>
      <c r="F338" s="6" t="s">
        <v>1876</v>
      </c>
      <c r="G338" s="3">
        <v>29.95</v>
      </c>
      <c r="H338" s="2" t="s">
        <v>335</v>
      </c>
      <c r="I338" s="4">
        <f>[1]Sheet1!I338</f>
        <v>417</v>
      </c>
      <c r="J338" s="3" t="str">
        <f t="shared" si="11"/>
        <v>2545_A1C1.webp</v>
      </c>
      <c r="K338" s="5">
        <f>Sheet4!E338</f>
        <v>24</v>
      </c>
      <c r="L338" s="5"/>
      <c r="M338" s="4"/>
    </row>
    <row r="339" spans="1:13" x14ac:dyDescent="0.25">
      <c r="A339" t="s">
        <v>2518</v>
      </c>
      <c r="B339" t="s">
        <v>2964</v>
      </c>
      <c r="C339" s="25">
        <v>2546</v>
      </c>
      <c r="D339" s="28">
        <v>2546</v>
      </c>
      <c r="E339" s="2" t="str">
        <f t="shared" si="12"/>
        <v>Same</v>
      </c>
      <c r="F339" s="6" t="s">
        <v>1845</v>
      </c>
      <c r="G339" s="3">
        <v>65.5</v>
      </c>
      <c r="H339" s="2" t="s">
        <v>336</v>
      </c>
      <c r="I339" s="4">
        <f>[1]Sheet1!I339</f>
        <v>121</v>
      </c>
      <c r="J339" s="3" t="str">
        <f t="shared" si="11"/>
        <v>2546_A1C1.webp</v>
      </c>
      <c r="K339" s="5">
        <f>Sheet4!E339</f>
        <v>18</v>
      </c>
      <c r="L339" s="5"/>
      <c r="M339" s="4"/>
    </row>
    <row r="340" spans="1:13" x14ac:dyDescent="0.25">
      <c r="A340" t="s">
        <v>2518</v>
      </c>
      <c r="B340" t="s">
        <v>2964</v>
      </c>
      <c r="C340" s="25">
        <v>2547</v>
      </c>
      <c r="D340" s="28">
        <v>2547</v>
      </c>
      <c r="E340" s="2" t="str">
        <f t="shared" si="12"/>
        <v>Same</v>
      </c>
      <c r="F340" s="6" t="s">
        <v>1845</v>
      </c>
      <c r="G340" s="3">
        <v>63.95</v>
      </c>
      <c r="H340" s="2" t="s">
        <v>337</v>
      </c>
      <c r="I340" s="4">
        <f>[1]Sheet1!I340</f>
        <v>358</v>
      </c>
      <c r="J340" s="3" t="str">
        <f t="shared" si="11"/>
        <v>2547_A1C1.webp</v>
      </c>
      <c r="K340" s="5">
        <f>Sheet4!E340</f>
        <v>18</v>
      </c>
      <c r="L340" s="5"/>
      <c r="M340" s="4"/>
    </row>
    <row r="341" spans="1:13" x14ac:dyDescent="0.25">
      <c r="A341" t="s">
        <v>2518</v>
      </c>
      <c r="B341" t="s">
        <v>2789</v>
      </c>
      <c r="C341" s="25">
        <v>2548</v>
      </c>
      <c r="D341" s="28">
        <v>2548</v>
      </c>
      <c r="E341" s="2" t="str">
        <f t="shared" si="12"/>
        <v>Same</v>
      </c>
      <c r="F341" s="6" t="s">
        <v>1896</v>
      </c>
      <c r="G341" s="3">
        <v>24.5</v>
      </c>
      <c r="H341" s="2" t="s">
        <v>338</v>
      </c>
      <c r="I341" s="4">
        <f>[1]Sheet1!I341</f>
        <v>73</v>
      </c>
      <c r="J341" s="3" t="str">
        <f t="shared" si="11"/>
        <v>2548_A1C1.webp</v>
      </c>
      <c r="K341" s="5">
        <f>Sheet4!E341</f>
        <v>6</v>
      </c>
      <c r="L341" s="5"/>
      <c r="M341" s="4"/>
    </row>
    <row r="342" spans="1:13" x14ac:dyDescent="0.25">
      <c r="A342" t="s">
        <v>2518</v>
      </c>
      <c r="B342" t="s">
        <v>2789</v>
      </c>
      <c r="C342" s="25">
        <v>2551</v>
      </c>
      <c r="D342" s="28">
        <v>2551</v>
      </c>
      <c r="E342" s="2" t="str">
        <f t="shared" si="12"/>
        <v>Same</v>
      </c>
      <c r="F342" s="6" t="s">
        <v>1896</v>
      </c>
      <c r="G342" s="3">
        <v>26.5</v>
      </c>
      <c r="H342" s="2" t="s">
        <v>339</v>
      </c>
      <c r="I342" s="4">
        <f>[1]Sheet1!I342</f>
        <v>56</v>
      </c>
      <c r="J342" s="3" t="str">
        <f t="shared" si="11"/>
        <v>2551_A1C1.webp</v>
      </c>
      <c r="K342" s="5">
        <f>Sheet4!E342</f>
        <v>6</v>
      </c>
      <c r="L342" s="5"/>
      <c r="M342" s="4"/>
    </row>
    <row r="343" spans="1:13" x14ac:dyDescent="0.25">
      <c r="A343" t="s">
        <v>2593</v>
      </c>
      <c r="B343" t="s">
        <v>2696</v>
      </c>
      <c r="C343" s="25">
        <v>2552</v>
      </c>
      <c r="D343" s="28">
        <v>2552</v>
      </c>
      <c r="E343" s="2" t="str">
        <f t="shared" si="12"/>
        <v>Same</v>
      </c>
      <c r="F343" s="6" t="s">
        <v>1898</v>
      </c>
      <c r="G343">
        <v>23.5</v>
      </c>
      <c r="H343" s="2" t="s">
        <v>340</v>
      </c>
      <c r="I343" s="4">
        <f>[1]Sheet1!I343</f>
        <v>441</v>
      </c>
      <c r="J343" s="3" t="str">
        <f t="shared" si="11"/>
        <v>2552_A1C1.webp</v>
      </c>
      <c r="K343" s="5">
        <f>Sheet4!E343</f>
        <v>24</v>
      </c>
      <c r="L343" s="5"/>
      <c r="M343" s="4"/>
    </row>
    <row r="344" spans="1:13" x14ac:dyDescent="0.25">
      <c r="A344" t="s">
        <v>2593</v>
      </c>
      <c r="B344" t="s">
        <v>2696</v>
      </c>
      <c r="C344" s="25">
        <v>2553</v>
      </c>
      <c r="D344" s="28">
        <v>2553</v>
      </c>
      <c r="E344" s="2" t="str">
        <f t="shared" si="12"/>
        <v>Same</v>
      </c>
      <c r="F344" s="6" t="s">
        <v>1876</v>
      </c>
      <c r="G344" s="3">
        <v>34.5</v>
      </c>
      <c r="H344" s="2" t="s">
        <v>341</v>
      </c>
      <c r="I344" s="4">
        <f>[1]Sheet1!I344</f>
        <v>3328</v>
      </c>
      <c r="J344" s="3" t="str">
        <f t="shared" si="11"/>
        <v>2553_A1C1.webp</v>
      </c>
      <c r="K344" s="5">
        <f>Sheet4!E344</f>
        <v>24</v>
      </c>
      <c r="L344" s="5"/>
      <c r="M344" s="4"/>
    </row>
    <row r="345" spans="1:13" x14ac:dyDescent="0.25">
      <c r="A345" t="s">
        <v>2593</v>
      </c>
      <c r="B345" t="s">
        <v>2696</v>
      </c>
      <c r="C345" s="25">
        <v>2555</v>
      </c>
      <c r="D345" s="28">
        <v>2555</v>
      </c>
      <c r="E345" s="2" t="str">
        <f t="shared" si="12"/>
        <v>Same</v>
      </c>
      <c r="F345" s="6" t="s">
        <v>1885</v>
      </c>
      <c r="G345">
        <v>19.5</v>
      </c>
      <c r="H345" s="2" t="s">
        <v>342</v>
      </c>
      <c r="I345" s="4">
        <f>[1]Sheet1!I345</f>
        <v>4363</v>
      </c>
      <c r="J345" s="3" t="str">
        <f t="shared" si="11"/>
        <v>2555_A1C1.webp</v>
      </c>
      <c r="K345" s="5">
        <f>Sheet4!E345</f>
        <v>24</v>
      </c>
      <c r="L345" s="5"/>
      <c r="M345" s="4"/>
    </row>
    <row r="346" spans="1:13" x14ac:dyDescent="0.25">
      <c r="A346" t="s">
        <v>2593</v>
      </c>
      <c r="B346" t="s">
        <v>2696</v>
      </c>
      <c r="C346" s="25">
        <v>2556</v>
      </c>
      <c r="D346" s="28">
        <v>2556</v>
      </c>
      <c r="E346" s="2" t="str">
        <f t="shared" si="12"/>
        <v>Same</v>
      </c>
      <c r="F346" s="6" t="s">
        <v>1900</v>
      </c>
      <c r="G346" s="3">
        <v>27.5</v>
      </c>
      <c r="H346" s="2" t="s">
        <v>343</v>
      </c>
      <c r="I346" s="4">
        <f>[1]Sheet1!I346</f>
        <v>28385</v>
      </c>
      <c r="J346" s="3" t="str">
        <f t="shared" si="11"/>
        <v>2556_A1C1.webp</v>
      </c>
      <c r="K346" s="5">
        <f>Sheet4!E346</f>
        <v>24</v>
      </c>
      <c r="L346" s="5"/>
      <c r="M346" s="4"/>
    </row>
    <row r="347" spans="1:13" x14ac:dyDescent="0.25">
      <c r="A347" t="s">
        <v>2944</v>
      </c>
      <c r="B347" t="s">
        <v>2978</v>
      </c>
      <c r="C347" s="25">
        <v>2563</v>
      </c>
      <c r="D347" s="28">
        <v>2563</v>
      </c>
      <c r="E347" s="2" t="str">
        <f t="shared" si="12"/>
        <v>Same</v>
      </c>
      <c r="F347" s="6" t="s">
        <v>1892</v>
      </c>
      <c r="G347">
        <v>39.950000000000003</v>
      </c>
      <c r="H347" s="2" t="s">
        <v>344</v>
      </c>
      <c r="I347" s="4">
        <f>[1]Sheet1!I347</f>
        <v>63</v>
      </c>
      <c r="J347" s="3" t="str">
        <f t="shared" si="11"/>
        <v>2563_A1C1.webp</v>
      </c>
      <c r="K347" s="5">
        <f>Sheet4!E347</f>
        <v>1</v>
      </c>
      <c r="L347" s="5"/>
      <c r="M347" s="4"/>
    </row>
    <row r="348" spans="1:13" x14ac:dyDescent="0.25">
      <c r="A348" t="s">
        <v>2593</v>
      </c>
      <c r="B348" t="s">
        <v>2696</v>
      </c>
      <c r="C348" s="25">
        <v>2565</v>
      </c>
      <c r="D348" s="28">
        <v>2565</v>
      </c>
      <c r="E348" s="2" t="str">
        <f t="shared" si="12"/>
        <v>Same</v>
      </c>
      <c r="F348" s="6" t="s">
        <v>1876</v>
      </c>
      <c r="G348" s="3">
        <v>27.5</v>
      </c>
      <c r="H348" s="2" t="s">
        <v>345</v>
      </c>
      <c r="I348" s="4">
        <f>[1]Sheet1!I348</f>
        <v>9743</v>
      </c>
      <c r="J348" s="3" t="str">
        <f t="shared" si="11"/>
        <v>2565_A1C1.webp</v>
      </c>
      <c r="K348" s="5">
        <f>Sheet4!E348</f>
        <v>24</v>
      </c>
      <c r="L348" s="5"/>
      <c r="M348" s="4"/>
    </row>
    <row r="349" spans="1:13" x14ac:dyDescent="0.25">
      <c r="A349" t="s">
        <v>2593</v>
      </c>
      <c r="B349" t="s">
        <v>2696</v>
      </c>
      <c r="C349" s="25">
        <v>2567</v>
      </c>
      <c r="D349" s="28">
        <v>2567</v>
      </c>
      <c r="E349" s="2" t="str">
        <f t="shared" si="12"/>
        <v>Same</v>
      </c>
      <c r="F349" s="6" t="s">
        <v>1840</v>
      </c>
      <c r="G349">
        <v>20.95</v>
      </c>
      <c r="H349" s="2" t="s">
        <v>346</v>
      </c>
      <c r="I349" s="4">
        <f>[1]Sheet1!I349</f>
        <v>444</v>
      </c>
      <c r="J349" s="3" t="str">
        <f t="shared" si="11"/>
        <v>2567_A1C1.webp</v>
      </c>
      <c r="K349" s="5">
        <f>Sheet4!E349</f>
        <v>24</v>
      </c>
      <c r="L349" s="5"/>
      <c r="M349" s="4"/>
    </row>
    <row r="350" spans="1:13" x14ac:dyDescent="0.25">
      <c r="A350" t="s">
        <v>2593</v>
      </c>
      <c r="B350" t="s">
        <v>2696</v>
      </c>
      <c r="C350" s="25">
        <v>2569</v>
      </c>
      <c r="D350" s="28">
        <v>2569</v>
      </c>
      <c r="E350" s="2" t="str">
        <f t="shared" si="12"/>
        <v>Same</v>
      </c>
      <c r="F350" s="6" t="s">
        <v>1876</v>
      </c>
      <c r="G350" s="3">
        <v>27.5</v>
      </c>
      <c r="H350" s="2" t="s">
        <v>347</v>
      </c>
      <c r="I350" s="4">
        <f>[1]Sheet1!I350</f>
        <v>15421</v>
      </c>
      <c r="J350" s="3" t="str">
        <f t="shared" si="11"/>
        <v>2569_A1C1.webp</v>
      </c>
      <c r="K350" s="5">
        <f>Sheet4!E350</f>
        <v>24</v>
      </c>
      <c r="L350" s="5"/>
      <c r="M350" s="4"/>
    </row>
    <row r="351" spans="1:13" x14ac:dyDescent="0.25">
      <c r="A351" t="s">
        <v>2593</v>
      </c>
      <c r="B351" t="s">
        <v>2983</v>
      </c>
      <c r="C351" s="25">
        <v>2570</v>
      </c>
      <c r="D351" s="28">
        <v>2570</v>
      </c>
      <c r="E351" s="2" t="str">
        <f t="shared" si="12"/>
        <v>Same</v>
      </c>
      <c r="F351" s="6" t="s">
        <v>1900</v>
      </c>
      <c r="G351" s="3">
        <v>27.5</v>
      </c>
      <c r="H351" s="2" t="s">
        <v>348</v>
      </c>
      <c r="I351" s="4">
        <f>[1]Sheet1!I351</f>
        <v>2577</v>
      </c>
      <c r="J351" s="3" t="str">
        <f t="shared" si="11"/>
        <v>2570_A1C1.webp</v>
      </c>
      <c r="K351" s="5">
        <f>Sheet4!E351</f>
        <v>24</v>
      </c>
      <c r="L351" s="5"/>
      <c r="M351" s="4"/>
    </row>
    <row r="352" spans="1:13" x14ac:dyDescent="0.25">
      <c r="A352" t="s">
        <v>2593</v>
      </c>
      <c r="B352" t="s">
        <v>2696</v>
      </c>
      <c r="C352" s="25">
        <v>2571</v>
      </c>
      <c r="D352" s="28">
        <v>2571</v>
      </c>
      <c r="E352" s="2" t="str">
        <f t="shared" si="12"/>
        <v>Same</v>
      </c>
      <c r="F352" s="6" t="s">
        <v>1901</v>
      </c>
      <c r="G352">
        <v>20.95</v>
      </c>
      <c r="H352" s="2" t="s">
        <v>349</v>
      </c>
      <c r="I352" s="4">
        <f>[1]Sheet1!I352</f>
        <v>1094</v>
      </c>
      <c r="J352" s="3" t="str">
        <f t="shared" si="11"/>
        <v>2571_A1C1.webp</v>
      </c>
      <c r="K352" s="5">
        <f>Sheet4!E352</f>
        <v>24</v>
      </c>
      <c r="L352" s="5"/>
      <c r="M352" s="4"/>
    </row>
    <row r="353" spans="1:13" x14ac:dyDescent="0.25">
      <c r="A353" t="s">
        <v>2593</v>
      </c>
      <c r="B353" t="s">
        <v>2696</v>
      </c>
      <c r="C353" s="25">
        <v>2573</v>
      </c>
      <c r="D353" s="28">
        <v>2573</v>
      </c>
      <c r="E353" s="2" t="str">
        <f t="shared" si="12"/>
        <v>Same</v>
      </c>
      <c r="F353" s="6" t="s">
        <v>1887</v>
      </c>
      <c r="G353" s="3">
        <v>27.5</v>
      </c>
      <c r="H353" s="2" t="s">
        <v>350</v>
      </c>
      <c r="I353" s="4">
        <f>[1]Sheet1!I353</f>
        <v>715</v>
      </c>
      <c r="J353" s="3" t="str">
        <f t="shared" si="11"/>
        <v>2573_A1C1.webp</v>
      </c>
      <c r="K353" s="5">
        <f>Sheet4!E353</f>
        <v>24</v>
      </c>
      <c r="L353" s="5"/>
      <c r="M353" s="4"/>
    </row>
    <row r="354" spans="1:13" x14ac:dyDescent="0.25">
      <c r="A354" t="s">
        <v>2593</v>
      </c>
      <c r="B354" t="s">
        <v>2696</v>
      </c>
      <c r="C354" s="25">
        <v>2577</v>
      </c>
      <c r="D354" s="28">
        <v>2577</v>
      </c>
      <c r="E354" s="2" t="str">
        <f t="shared" si="12"/>
        <v>Same</v>
      </c>
      <c r="F354" s="6" t="s">
        <v>1902</v>
      </c>
      <c r="G354" s="3">
        <v>57.95</v>
      </c>
      <c r="H354" s="2" t="s">
        <v>351</v>
      </c>
      <c r="I354" s="4">
        <f>[1]Sheet1!I354</f>
        <v>0</v>
      </c>
      <c r="J354" s="3" t="str">
        <f t="shared" si="11"/>
        <v>2577_A1C1.webp</v>
      </c>
      <c r="K354" s="5">
        <f>Sheet4!E354</f>
        <v>24</v>
      </c>
      <c r="L354" s="5"/>
      <c r="M354" s="4"/>
    </row>
    <row r="355" spans="1:13" x14ac:dyDescent="0.25">
      <c r="A355" t="s">
        <v>2593</v>
      </c>
      <c r="B355" t="s">
        <v>2696</v>
      </c>
      <c r="C355" s="25">
        <v>2579</v>
      </c>
      <c r="D355" s="28">
        <v>2579</v>
      </c>
      <c r="E355" s="2" t="str">
        <f t="shared" si="12"/>
        <v>Same</v>
      </c>
      <c r="F355" s="6" t="s">
        <v>1902</v>
      </c>
      <c r="G355" s="3">
        <v>42.95</v>
      </c>
      <c r="H355" s="2" t="s">
        <v>352</v>
      </c>
      <c r="I355" s="4">
        <f>[1]Sheet1!I355</f>
        <v>610</v>
      </c>
      <c r="J355" s="3" t="str">
        <f t="shared" si="11"/>
        <v>2579_A1C1.webp</v>
      </c>
      <c r="K355" s="5">
        <f>Sheet4!E355</f>
        <v>24</v>
      </c>
      <c r="L355" s="5"/>
      <c r="M355" s="4"/>
    </row>
    <row r="356" spans="1:13" x14ac:dyDescent="0.25">
      <c r="A356" t="s">
        <v>2593</v>
      </c>
      <c r="B356" t="s">
        <v>2696</v>
      </c>
      <c r="C356" s="25">
        <v>2581</v>
      </c>
      <c r="D356" s="28">
        <v>2581</v>
      </c>
      <c r="E356" s="2" t="str">
        <f t="shared" si="12"/>
        <v>Same</v>
      </c>
      <c r="F356" s="6" t="s">
        <v>1876</v>
      </c>
      <c r="G356" s="3">
        <v>34.5</v>
      </c>
      <c r="H356" s="2" t="s">
        <v>353</v>
      </c>
      <c r="I356" s="4">
        <f>[1]Sheet1!I356</f>
        <v>280</v>
      </c>
      <c r="J356" s="3" t="str">
        <f t="shared" si="11"/>
        <v>2581_A1C1.webp</v>
      </c>
      <c r="K356" s="5">
        <f>Sheet4!E356</f>
        <v>24</v>
      </c>
      <c r="L356" s="5"/>
      <c r="M356" s="4"/>
    </row>
    <row r="357" spans="1:13" x14ac:dyDescent="0.25">
      <c r="A357" t="s">
        <v>2593</v>
      </c>
      <c r="B357" t="s">
        <v>2992</v>
      </c>
      <c r="C357" s="25">
        <v>2582</v>
      </c>
      <c r="D357" s="28">
        <v>2582</v>
      </c>
      <c r="E357" s="2" t="str">
        <f t="shared" si="12"/>
        <v>Same</v>
      </c>
      <c r="F357" s="6" t="s">
        <v>1903</v>
      </c>
      <c r="G357" s="3">
        <v>39.950000000000003</v>
      </c>
      <c r="H357" s="2" t="s">
        <v>351</v>
      </c>
      <c r="I357" s="4">
        <f>[1]Sheet1!I357</f>
        <v>0</v>
      </c>
      <c r="J357" s="3" t="str">
        <f t="shared" si="11"/>
        <v>2582_A1C1.webp</v>
      </c>
      <c r="K357" s="5">
        <f>Sheet4!E357</f>
        <v>12</v>
      </c>
      <c r="L357" s="5"/>
      <c r="M357" s="4"/>
    </row>
    <row r="358" spans="1:13" x14ac:dyDescent="0.25">
      <c r="A358" t="s">
        <v>2593</v>
      </c>
      <c r="B358" t="s">
        <v>2992</v>
      </c>
      <c r="C358" s="25">
        <v>2584</v>
      </c>
      <c r="D358" s="28">
        <v>2584</v>
      </c>
      <c r="E358" s="2" t="str">
        <f t="shared" si="12"/>
        <v>Same</v>
      </c>
      <c r="F358" s="6" t="s">
        <v>1903</v>
      </c>
      <c r="G358" s="3">
        <v>34.950000000000003</v>
      </c>
      <c r="H358" s="2" t="s">
        <v>352</v>
      </c>
      <c r="I358" s="4">
        <f>[1]Sheet1!I358</f>
        <v>0</v>
      </c>
      <c r="J358" s="3" t="str">
        <f t="shared" si="11"/>
        <v>2584_A1C1.webp</v>
      </c>
      <c r="K358" s="5">
        <f>Sheet4!E358</f>
        <v>12</v>
      </c>
      <c r="L358" s="5"/>
      <c r="M358" s="4"/>
    </row>
    <row r="359" spans="1:13" x14ac:dyDescent="0.25">
      <c r="A359" t="s">
        <v>2997</v>
      </c>
      <c r="B359" t="s">
        <v>2998</v>
      </c>
      <c r="C359" s="25">
        <v>2587</v>
      </c>
      <c r="D359" s="28">
        <v>2587</v>
      </c>
      <c r="E359" s="2" t="str">
        <f t="shared" si="12"/>
        <v>Same</v>
      </c>
      <c r="F359" s="6" t="s">
        <v>1904</v>
      </c>
      <c r="G359" s="3">
        <v>31.95</v>
      </c>
      <c r="H359" s="2" t="s">
        <v>354</v>
      </c>
      <c r="I359" s="4">
        <f>[1]Sheet1!I359</f>
        <v>175</v>
      </c>
      <c r="J359" s="3" t="str">
        <f t="shared" si="11"/>
        <v>2587_A1C1.webp</v>
      </c>
      <c r="K359" s="5">
        <f>Sheet4!E359</f>
        <v>12</v>
      </c>
      <c r="L359" s="5"/>
      <c r="M359" s="4"/>
    </row>
    <row r="360" spans="1:13" x14ac:dyDescent="0.25">
      <c r="A360" t="s">
        <v>2593</v>
      </c>
      <c r="B360" t="s">
        <v>2983</v>
      </c>
      <c r="C360" s="25">
        <v>2588</v>
      </c>
      <c r="D360" s="28">
        <v>2588</v>
      </c>
      <c r="E360" s="2" t="str">
        <f t="shared" si="12"/>
        <v>Same</v>
      </c>
      <c r="F360" s="6" t="s">
        <v>1876</v>
      </c>
      <c r="G360" s="3">
        <v>27.5</v>
      </c>
      <c r="H360" s="2" t="s">
        <v>355</v>
      </c>
      <c r="I360" s="4">
        <f>[1]Sheet1!I360</f>
        <v>235</v>
      </c>
      <c r="J360" s="3" t="str">
        <f t="shared" si="11"/>
        <v>2588_A1C1.webp</v>
      </c>
      <c r="K360" s="5">
        <f>Sheet4!E360</f>
        <v>24</v>
      </c>
      <c r="L360" s="5"/>
      <c r="M360" s="4"/>
    </row>
    <row r="361" spans="1:13" x14ac:dyDescent="0.25">
      <c r="A361" t="s">
        <v>2997</v>
      </c>
      <c r="B361" t="s">
        <v>2998</v>
      </c>
      <c r="C361" s="25">
        <v>2589</v>
      </c>
      <c r="D361" s="28">
        <v>2589</v>
      </c>
      <c r="E361" s="2" t="str">
        <f t="shared" si="12"/>
        <v>Same</v>
      </c>
      <c r="F361" s="6" t="s">
        <v>1904</v>
      </c>
      <c r="G361" s="3">
        <v>31.95</v>
      </c>
      <c r="H361" s="2" t="s">
        <v>356</v>
      </c>
      <c r="I361" s="4">
        <f>[1]Sheet1!I361</f>
        <v>364</v>
      </c>
      <c r="J361" s="3" t="str">
        <f t="shared" si="11"/>
        <v>2589_A1C1.webp</v>
      </c>
      <c r="K361" s="5">
        <f>Sheet4!E361</f>
        <v>12</v>
      </c>
      <c r="L361" s="5"/>
      <c r="M361" s="4"/>
    </row>
    <row r="362" spans="1:13" x14ac:dyDescent="0.25">
      <c r="A362" t="s">
        <v>2593</v>
      </c>
      <c r="B362" t="s">
        <v>2983</v>
      </c>
      <c r="C362" s="25">
        <v>2590</v>
      </c>
      <c r="D362" s="28">
        <v>2590</v>
      </c>
      <c r="E362" s="2" t="str">
        <f t="shared" si="12"/>
        <v>Same</v>
      </c>
      <c r="F362" s="6" t="s">
        <v>1876</v>
      </c>
      <c r="G362" s="3">
        <v>27.5</v>
      </c>
      <c r="H362" s="2" t="s">
        <v>357</v>
      </c>
      <c r="I362" s="4">
        <f>[1]Sheet1!I362</f>
        <v>69</v>
      </c>
      <c r="J362" s="3" t="str">
        <f t="shared" si="11"/>
        <v>2590_A1C1.webp</v>
      </c>
      <c r="K362" s="5">
        <f>Sheet4!E362</f>
        <v>24</v>
      </c>
      <c r="L362" s="5"/>
      <c r="M362" s="4"/>
    </row>
    <row r="363" spans="1:13" x14ac:dyDescent="0.25">
      <c r="A363" t="s">
        <v>2671</v>
      </c>
      <c r="B363" t="s">
        <v>2944</v>
      </c>
      <c r="C363" s="25">
        <v>2592</v>
      </c>
      <c r="D363" s="28">
        <v>2592</v>
      </c>
      <c r="E363" s="2" t="str">
        <f t="shared" si="12"/>
        <v>Same</v>
      </c>
      <c r="F363" s="6" t="s">
        <v>1905</v>
      </c>
      <c r="G363" s="3">
        <v>691.95</v>
      </c>
      <c r="H363" s="2" t="s">
        <v>358</v>
      </c>
      <c r="I363" s="4">
        <f>[1]Sheet1!I363</f>
        <v>155</v>
      </c>
      <c r="J363" s="3" t="str">
        <f t="shared" si="11"/>
        <v>2592_A1C1.webp</v>
      </c>
      <c r="K363" s="5">
        <f>Sheet4!E363</f>
        <v>168</v>
      </c>
      <c r="L363" s="5"/>
      <c r="M363" s="4"/>
    </row>
    <row r="364" spans="1:13" x14ac:dyDescent="0.25">
      <c r="A364" t="s">
        <v>2944</v>
      </c>
      <c r="B364" t="s">
        <v>2945</v>
      </c>
      <c r="C364" s="25">
        <v>2594</v>
      </c>
      <c r="D364" s="28">
        <v>2594</v>
      </c>
      <c r="E364" s="2" t="str">
        <f t="shared" si="12"/>
        <v>Same</v>
      </c>
      <c r="F364" s="6" t="s">
        <v>1866</v>
      </c>
      <c r="G364" s="3">
        <v>20.65</v>
      </c>
      <c r="H364" s="2" t="s">
        <v>359</v>
      </c>
      <c r="I364" s="4">
        <f>[1]Sheet1!I364</f>
        <v>317</v>
      </c>
      <c r="J364" s="3" t="str">
        <f t="shared" si="11"/>
        <v>2594_A1C1.webp</v>
      </c>
      <c r="K364" s="5">
        <f>Sheet4!E364</f>
        <v>12</v>
      </c>
      <c r="L364" s="5"/>
      <c r="M364" s="4"/>
    </row>
    <row r="365" spans="1:13" x14ac:dyDescent="0.25">
      <c r="A365" t="s">
        <v>2944</v>
      </c>
      <c r="B365" t="s">
        <v>2945</v>
      </c>
      <c r="C365" s="25">
        <v>2595</v>
      </c>
      <c r="D365" s="28">
        <v>2595</v>
      </c>
      <c r="E365" s="2" t="str">
        <f t="shared" si="12"/>
        <v>Same</v>
      </c>
      <c r="F365" s="6" t="s">
        <v>1866</v>
      </c>
      <c r="G365" s="3">
        <v>20.65</v>
      </c>
      <c r="H365" s="2" t="s">
        <v>360</v>
      </c>
      <c r="I365" s="4">
        <f>[1]Sheet1!I365</f>
        <v>471</v>
      </c>
      <c r="J365" s="3" t="str">
        <f t="shared" si="11"/>
        <v>2595_A1C1.webp</v>
      </c>
      <c r="K365" s="5">
        <f>Sheet4!E365</f>
        <v>12</v>
      </c>
      <c r="L365" s="5"/>
      <c r="M365" s="4"/>
    </row>
    <row r="366" spans="1:13" x14ac:dyDescent="0.25">
      <c r="A366" t="s">
        <v>2593</v>
      </c>
      <c r="B366" t="s">
        <v>2696</v>
      </c>
      <c r="C366" s="25">
        <v>2596</v>
      </c>
      <c r="D366" s="28">
        <v>2596</v>
      </c>
      <c r="E366" s="2" t="str">
        <f t="shared" si="12"/>
        <v>Same</v>
      </c>
      <c r="F366" s="6" t="s">
        <v>1880</v>
      </c>
      <c r="G366" s="3">
        <v>26.5</v>
      </c>
      <c r="H366" s="2" t="s">
        <v>361</v>
      </c>
      <c r="I366" s="4">
        <f>[1]Sheet1!I366</f>
        <v>1037</v>
      </c>
      <c r="J366" s="3" t="str">
        <f t="shared" si="11"/>
        <v>2596_A1C1.webp</v>
      </c>
      <c r="K366" s="5">
        <f>Sheet4!E366</f>
        <v>24</v>
      </c>
      <c r="L366" s="5"/>
      <c r="M366" s="4"/>
    </row>
    <row r="367" spans="1:13" x14ac:dyDescent="0.25">
      <c r="A367" t="s">
        <v>2593</v>
      </c>
      <c r="B367" t="s">
        <v>2696</v>
      </c>
      <c r="C367" s="25">
        <v>2597</v>
      </c>
      <c r="D367" s="28">
        <v>2597</v>
      </c>
      <c r="E367" s="2" t="str">
        <f t="shared" si="12"/>
        <v>Same</v>
      </c>
      <c r="F367" s="6" t="s">
        <v>1876</v>
      </c>
      <c r="G367" s="3">
        <v>26.5</v>
      </c>
      <c r="H367" s="2" t="s">
        <v>362</v>
      </c>
      <c r="I367" s="4">
        <f>[1]Sheet1!I367</f>
        <v>145</v>
      </c>
      <c r="J367" s="3" t="str">
        <f t="shared" si="11"/>
        <v>2597_A1C1.webp</v>
      </c>
      <c r="K367" s="5">
        <f>Sheet4!E367</f>
        <v>24</v>
      </c>
      <c r="L367" s="5"/>
      <c r="M367" s="4"/>
    </row>
    <row r="368" spans="1:13" x14ac:dyDescent="0.25">
      <c r="A368" t="s">
        <v>2593</v>
      </c>
      <c r="B368" t="s">
        <v>2696</v>
      </c>
      <c r="C368" s="25">
        <v>2598</v>
      </c>
      <c r="D368" s="28">
        <v>2598</v>
      </c>
      <c r="E368" s="2" t="str">
        <f t="shared" si="12"/>
        <v>Same</v>
      </c>
      <c r="F368" s="6" t="s">
        <v>1877</v>
      </c>
      <c r="G368" s="3">
        <v>25.75</v>
      </c>
      <c r="H368" s="2" t="s">
        <v>363</v>
      </c>
      <c r="I368" s="4">
        <f>[1]Sheet1!I368</f>
        <v>1146</v>
      </c>
      <c r="J368" s="3" t="str">
        <f t="shared" si="11"/>
        <v>2598_A1C1.webp</v>
      </c>
      <c r="K368" s="5">
        <f>Sheet4!E368</f>
        <v>12</v>
      </c>
      <c r="L368" s="5"/>
      <c r="M368" s="4"/>
    </row>
    <row r="369" spans="1:13" x14ac:dyDescent="0.25">
      <c r="A369" t="s">
        <v>2593</v>
      </c>
      <c r="B369" t="s">
        <v>2696</v>
      </c>
      <c r="C369" s="25">
        <v>2599</v>
      </c>
      <c r="D369" s="28">
        <v>2599</v>
      </c>
      <c r="E369" s="2" t="str">
        <f t="shared" si="12"/>
        <v>Same</v>
      </c>
      <c r="F369" s="6" t="s">
        <v>1906</v>
      </c>
      <c r="G369" s="3">
        <v>35.950000000000003</v>
      </c>
      <c r="H369" s="2" t="s">
        <v>364</v>
      </c>
      <c r="I369" s="4">
        <f>[1]Sheet1!I369</f>
        <v>1661</v>
      </c>
      <c r="J369" s="3" t="str">
        <f t="shared" si="11"/>
        <v>2599_A1C1.webp</v>
      </c>
      <c r="K369" s="5">
        <f>Sheet4!E369</f>
        <v>6</v>
      </c>
      <c r="L369" s="5"/>
      <c r="M369" s="4"/>
    </row>
    <row r="370" spans="1:13" x14ac:dyDescent="0.25">
      <c r="A370" t="s">
        <v>2944</v>
      </c>
      <c r="B370" t="s">
        <v>3017</v>
      </c>
      <c r="C370" s="25">
        <v>2601</v>
      </c>
      <c r="D370" s="28">
        <v>2601</v>
      </c>
      <c r="E370" s="2" t="str">
        <f t="shared" si="12"/>
        <v>Same</v>
      </c>
      <c r="F370" s="6" t="s">
        <v>1849</v>
      </c>
      <c r="G370" s="3">
        <v>38.950000000000003</v>
      </c>
      <c r="H370" s="2" t="s">
        <v>365</v>
      </c>
      <c r="I370" s="4">
        <f>[1]Sheet1!I370</f>
        <v>182</v>
      </c>
      <c r="J370" s="3" t="str">
        <f t="shared" si="11"/>
        <v>2601_A1C1.webp</v>
      </c>
      <c r="K370" s="5">
        <f>Sheet4!E370</f>
        <v>30</v>
      </c>
      <c r="L370" s="5"/>
      <c r="M370" s="4"/>
    </row>
    <row r="371" spans="1:13" x14ac:dyDescent="0.25">
      <c r="A371" t="s">
        <v>2944</v>
      </c>
      <c r="B371" t="s">
        <v>3017</v>
      </c>
      <c r="C371" s="25">
        <v>2602</v>
      </c>
      <c r="D371" s="28">
        <v>2602</v>
      </c>
      <c r="E371" s="2" t="str">
        <f t="shared" si="12"/>
        <v>Same</v>
      </c>
      <c r="F371" s="6" t="s">
        <v>1850</v>
      </c>
      <c r="G371" s="3">
        <v>63.95</v>
      </c>
      <c r="H371" s="2" t="s">
        <v>366</v>
      </c>
      <c r="I371" s="4">
        <f>[1]Sheet1!I371</f>
        <v>522</v>
      </c>
      <c r="J371" s="3" t="str">
        <f t="shared" si="11"/>
        <v>2602_A1C1.webp</v>
      </c>
      <c r="K371" s="5">
        <f>Sheet4!E371</f>
        <v>20</v>
      </c>
      <c r="L371" s="5"/>
      <c r="M371" s="4"/>
    </row>
    <row r="372" spans="1:13" x14ac:dyDescent="0.25">
      <c r="A372" t="s">
        <v>2944</v>
      </c>
      <c r="B372" t="s">
        <v>3017</v>
      </c>
      <c r="C372" s="25">
        <v>2603</v>
      </c>
      <c r="D372" s="28">
        <v>2603</v>
      </c>
      <c r="E372" s="2" t="str">
        <f t="shared" si="12"/>
        <v>Same</v>
      </c>
      <c r="F372" s="6" t="s">
        <v>1907</v>
      </c>
      <c r="G372" s="3">
        <v>59.95</v>
      </c>
      <c r="H372" s="2" t="s">
        <v>367</v>
      </c>
      <c r="I372" s="4">
        <f>[1]Sheet1!I372</f>
        <v>1531</v>
      </c>
      <c r="J372" s="3" t="str">
        <f t="shared" si="11"/>
        <v>2603_A1C1.webp</v>
      </c>
      <c r="K372" s="5">
        <f>Sheet4!E372</f>
        <v>12</v>
      </c>
      <c r="L372" s="5"/>
      <c r="M372" s="4"/>
    </row>
    <row r="373" spans="1:13" x14ac:dyDescent="0.25">
      <c r="A373" t="s">
        <v>2518</v>
      </c>
      <c r="B373" t="s">
        <v>2709</v>
      </c>
      <c r="C373" s="25">
        <v>2604</v>
      </c>
      <c r="D373" s="28">
        <v>2604</v>
      </c>
      <c r="E373" s="2" t="str">
        <f t="shared" si="12"/>
        <v>Same</v>
      </c>
      <c r="F373" s="6" t="s">
        <v>1849</v>
      </c>
      <c r="G373" s="3">
        <v>73.95</v>
      </c>
      <c r="H373" s="2" t="s">
        <v>368</v>
      </c>
      <c r="I373" s="4">
        <f>[1]Sheet1!I373</f>
        <v>36</v>
      </c>
      <c r="J373" s="3" t="str">
        <f t="shared" si="11"/>
        <v>2604_A1C1.webp</v>
      </c>
      <c r="K373" s="5">
        <f>Sheet4!E373</f>
        <v>24</v>
      </c>
      <c r="L373" s="5"/>
      <c r="M373" s="4"/>
    </row>
    <row r="374" spans="1:13" x14ac:dyDescent="0.25">
      <c r="A374" t="s">
        <v>2944</v>
      </c>
      <c r="B374" t="s">
        <v>3017</v>
      </c>
      <c r="C374" s="25">
        <v>2605</v>
      </c>
      <c r="D374" s="28">
        <v>2605</v>
      </c>
      <c r="E374" s="2" t="str">
        <f t="shared" si="12"/>
        <v>Same</v>
      </c>
      <c r="F374" s="6" t="s">
        <v>1897</v>
      </c>
      <c r="G374" s="3">
        <v>53.5</v>
      </c>
      <c r="H374" s="2" t="s">
        <v>369</v>
      </c>
      <c r="I374" s="4">
        <f>[1]Sheet1!I374</f>
        <v>1996</v>
      </c>
      <c r="J374" s="3" t="str">
        <f t="shared" si="11"/>
        <v>2605_A1C1.webp</v>
      </c>
      <c r="K374" s="5">
        <f>Sheet4!E374</f>
        <v>6</v>
      </c>
      <c r="L374" s="5"/>
      <c r="M374" s="4"/>
    </row>
    <row r="375" spans="1:13" x14ac:dyDescent="0.25">
      <c r="A375" t="s">
        <v>2944</v>
      </c>
      <c r="B375" t="s">
        <v>3017</v>
      </c>
      <c r="C375" s="25">
        <v>2606</v>
      </c>
      <c r="D375" s="28">
        <v>2606</v>
      </c>
      <c r="E375" s="2" t="str">
        <f t="shared" si="12"/>
        <v>Same</v>
      </c>
      <c r="F375" s="6" t="s">
        <v>1908</v>
      </c>
      <c r="G375">
        <v>50.95</v>
      </c>
      <c r="H375" s="2" t="s">
        <v>370</v>
      </c>
      <c r="I375" s="4">
        <f>[1]Sheet1!I375</f>
        <v>2173</v>
      </c>
      <c r="J375" s="3" t="str">
        <f t="shared" si="11"/>
        <v>2606_A1C1.webp</v>
      </c>
      <c r="K375" s="5">
        <f>Sheet4!E375</f>
        <v>3</v>
      </c>
      <c r="L375" s="5"/>
      <c r="M375" s="4"/>
    </row>
    <row r="376" spans="1:13" x14ac:dyDescent="0.25">
      <c r="A376" t="s">
        <v>2944</v>
      </c>
      <c r="B376" t="s">
        <v>3017</v>
      </c>
      <c r="C376" s="25">
        <v>2607</v>
      </c>
      <c r="D376" s="28">
        <v>2607</v>
      </c>
      <c r="E376" s="2" t="str">
        <f t="shared" si="12"/>
        <v>Same</v>
      </c>
      <c r="F376" s="6" t="s">
        <v>1908</v>
      </c>
      <c r="G376">
        <v>16.5</v>
      </c>
      <c r="H376" s="2" t="s">
        <v>371</v>
      </c>
      <c r="I376" s="4">
        <f>[1]Sheet1!I376</f>
        <v>797</v>
      </c>
      <c r="J376" s="3" t="str">
        <f t="shared" si="11"/>
        <v>2607_A1C1.webp</v>
      </c>
      <c r="K376" s="5">
        <f>Sheet4!E376</f>
        <v>1</v>
      </c>
      <c r="L376" s="5"/>
      <c r="M376" s="4"/>
    </row>
    <row r="377" spans="1:13" x14ac:dyDescent="0.25">
      <c r="A377" t="s">
        <v>2944</v>
      </c>
      <c r="B377" t="s">
        <v>3017</v>
      </c>
      <c r="C377" s="25">
        <v>2608</v>
      </c>
      <c r="D377" s="28">
        <v>2608</v>
      </c>
      <c r="E377" s="2" t="str">
        <f t="shared" si="12"/>
        <v>Same</v>
      </c>
      <c r="F377" s="6" t="s">
        <v>1892</v>
      </c>
      <c r="G377">
        <v>38.950000000000003</v>
      </c>
      <c r="H377" s="2" t="s">
        <v>372</v>
      </c>
      <c r="I377" s="4">
        <f>[1]Sheet1!I377</f>
        <v>293</v>
      </c>
      <c r="J377" s="3" t="str">
        <f t="shared" si="11"/>
        <v>2608_A1C1.webp</v>
      </c>
      <c r="K377" s="5">
        <f>Sheet4!E377</f>
        <v>1</v>
      </c>
      <c r="L377" s="5"/>
      <c r="M377" s="4"/>
    </row>
    <row r="378" spans="1:13" x14ac:dyDescent="0.25">
      <c r="A378" t="s">
        <v>2944</v>
      </c>
      <c r="B378" t="s">
        <v>3017</v>
      </c>
      <c r="C378" s="25">
        <v>2609</v>
      </c>
      <c r="D378" s="28">
        <v>2609</v>
      </c>
      <c r="E378" s="2" t="str">
        <f t="shared" si="12"/>
        <v>Same</v>
      </c>
      <c r="F378" s="6" t="s">
        <v>1909</v>
      </c>
      <c r="G378">
        <v>76.5</v>
      </c>
      <c r="H378" s="2" t="s">
        <v>373</v>
      </c>
      <c r="I378" s="4">
        <f>[1]Sheet1!I378</f>
        <v>77</v>
      </c>
      <c r="J378" s="3" t="str">
        <f t="shared" si="11"/>
        <v>2609_A1C1.webp</v>
      </c>
      <c r="K378" s="5">
        <f>Sheet4!E378</f>
        <v>1</v>
      </c>
      <c r="L378" s="5"/>
      <c r="M378" s="4"/>
    </row>
    <row r="379" spans="1:13" x14ac:dyDescent="0.25">
      <c r="A379" t="s">
        <v>2944</v>
      </c>
      <c r="B379" t="s">
        <v>3017</v>
      </c>
      <c r="C379" s="25">
        <v>2610</v>
      </c>
      <c r="D379" s="28">
        <v>2610</v>
      </c>
      <c r="E379" s="2" t="str">
        <f t="shared" si="12"/>
        <v>Same</v>
      </c>
      <c r="F379" s="6" t="s">
        <v>1908</v>
      </c>
      <c r="G379">
        <v>1633.95</v>
      </c>
      <c r="H379" s="2" t="s">
        <v>374</v>
      </c>
      <c r="I379" s="4">
        <f>[1]Sheet1!I379</f>
        <v>32</v>
      </c>
      <c r="J379" s="3" t="str">
        <f t="shared" si="11"/>
        <v>2610_A1C1.webp</v>
      </c>
      <c r="K379" s="5">
        <f>Sheet4!E379</f>
        <v>99</v>
      </c>
      <c r="L379" s="5"/>
      <c r="M379" s="4"/>
    </row>
    <row r="380" spans="1:13" x14ac:dyDescent="0.25">
      <c r="A380" t="s">
        <v>2944</v>
      </c>
      <c r="B380" t="s">
        <v>3034</v>
      </c>
      <c r="C380" s="25">
        <v>2611</v>
      </c>
      <c r="D380" s="28">
        <v>2611</v>
      </c>
      <c r="E380" s="2" t="str">
        <f t="shared" si="12"/>
        <v>Same</v>
      </c>
      <c r="F380" s="6" t="s">
        <v>1910</v>
      </c>
      <c r="G380" s="3">
        <v>56.5</v>
      </c>
      <c r="H380" s="2" t="s">
        <v>375</v>
      </c>
      <c r="I380" s="4">
        <f>[1]Sheet1!I380</f>
        <v>30</v>
      </c>
      <c r="J380" s="3" t="str">
        <f t="shared" si="11"/>
        <v>2611_A1C1.webp</v>
      </c>
      <c r="K380" s="5">
        <f>Sheet4!E380</f>
        <v>12</v>
      </c>
      <c r="L380" s="5"/>
      <c r="M380" s="4"/>
    </row>
    <row r="381" spans="1:13" x14ac:dyDescent="0.25">
      <c r="A381" t="s">
        <v>2944</v>
      </c>
      <c r="B381" t="s">
        <v>3040</v>
      </c>
      <c r="C381" s="25">
        <v>2612</v>
      </c>
      <c r="D381" s="28">
        <v>2612</v>
      </c>
      <c r="E381" s="2" t="str">
        <f t="shared" si="12"/>
        <v>Same</v>
      </c>
      <c r="F381" s="6" t="s">
        <v>1910</v>
      </c>
      <c r="G381" s="3">
        <v>31.75</v>
      </c>
      <c r="H381" s="2" t="s">
        <v>376</v>
      </c>
      <c r="I381" s="4">
        <f>[1]Sheet1!I381</f>
        <v>565</v>
      </c>
      <c r="J381" s="3" t="str">
        <f t="shared" si="11"/>
        <v>2612_A1C1.webp</v>
      </c>
      <c r="K381" s="5">
        <f>Sheet4!E381</f>
        <v>14</v>
      </c>
      <c r="L381" s="5"/>
      <c r="M381" s="4"/>
    </row>
    <row r="382" spans="1:13" x14ac:dyDescent="0.25">
      <c r="A382" t="s">
        <v>2944</v>
      </c>
      <c r="B382" t="s">
        <v>3040</v>
      </c>
      <c r="C382" s="25">
        <v>2613</v>
      </c>
      <c r="D382" s="28">
        <v>2613</v>
      </c>
      <c r="E382" s="2" t="str">
        <f t="shared" si="12"/>
        <v>Same</v>
      </c>
      <c r="F382" s="6" t="s">
        <v>1849</v>
      </c>
      <c r="G382" s="3">
        <v>35.75</v>
      </c>
      <c r="H382" s="2" t="s">
        <v>377</v>
      </c>
      <c r="I382" s="4">
        <f>[1]Sheet1!I382</f>
        <v>159</v>
      </c>
      <c r="J382" s="3" t="str">
        <f t="shared" si="11"/>
        <v>2613_A1C1.webp</v>
      </c>
      <c r="K382" s="5">
        <f>Sheet4!E382</f>
        <v>30</v>
      </c>
      <c r="L382" s="5"/>
      <c r="M382" s="4"/>
    </row>
    <row r="383" spans="1:13" x14ac:dyDescent="0.25">
      <c r="A383" t="s">
        <v>2944</v>
      </c>
      <c r="B383" t="s">
        <v>3034</v>
      </c>
      <c r="C383" s="25">
        <v>2614</v>
      </c>
      <c r="D383" s="28">
        <v>2614</v>
      </c>
      <c r="E383" s="2" t="str">
        <f t="shared" si="12"/>
        <v>Same</v>
      </c>
      <c r="F383" s="6" t="s">
        <v>1910</v>
      </c>
      <c r="G383" s="3">
        <v>53.25</v>
      </c>
      <c r="H383" s="2" t="s">
        <v>378</v>
      </c>
      <c r="I383" s="4">
        <f>[1]Sheet1!I383</f>
        <v>38</v>
      </c>
      <c r="J383" s="3" t="str">
        <f t="shared" si="11"/>
        <v>2614_A1C1.webp</v>
      </c>
      <c r="K383" s="5">
        <f>Sheet4!E383</f>
        <v>12</v>
      </c>
      <c r="L383" s="5"/>
      <c r="M383" s="4"/>
    </row>
    <row r="384" spans="1:13" x14ac:dyDescent="0.25">
      <c r="A384" t="s">
        <v>2944</v>
      </c>
      <c r="B384" t="s">
        <v>3040</v>
      </c>
      <c r="C384" s="25">
        <v>2615</v>
      </c>
      <c r="D384" s="28">
        <v>2615</v>
      </c>
      <c r="E384" s="2" t="str">
        <f t="shared" si="12"/>
        <v>Same</v>
      </c>
      <c r="F384" s="6" t="s">
        <v>1910</v>
      </c>
      <c r="G384" s="3">
        <v>64.5</v>
      </c>
      <c r="H384" s="2" t="s">
        <v>379</v>
      </c>
      <c r="I384" s="4">
        <f>[1]Sheet1!I384</f>
        <v>476</v>
      </c>
      <c r="J384" s="3" t="str">
        <f t="shared" si="11"/>
        <v>2615_A1C1.webp</v>
      </c>
      <c r="K384" s="5">
        <f>Sheet4!E384</f>
        <v>20</v>
      </c>
      <c r="L384" s="5"/>
      <c r="M384" s="4"/>
    </row>
    <row r="385" spans="1:13" x14ac:dyDescent="0.25">
      <c r="A385" t="s">
        <v>2944</v>
      </c>
      <c r="B385" t="s">
        <v>3048</v>
      </c>
      <c r="C385" s="25">
        <v>2616</v>
      </c>
      <c r="D385" s="28">
        <v>2616</v>
      </c>
      <c r="E385" s="2" t="str">
        <f t="shared" si="12"/>
        <v>Same</v>
      </c>
      <c r="F385" s="6" t="s">
        <v>1911</v>
      </c>
      <c r="G385" s="3">
        <v>101.95</v>
      </c>
      <c r="H385" s="2" t="s">
        <v>380</v>
      </c>
      <c r="I385" s="4">
        <f>[1]Sheet1!I385</f>
        <v>0</v>
      </c>
      <c r="J385" s="3" t="str">
        <f t="shared" si="11"/>
        <v>2616_A1C1.webp</v>
      </c>
      <c r="K385" s="5">
        <f>Sheet4!E385</f>
        <v>5</v>
      </c>
      <c r="L385" s="5"/>
      <c r="M385" s="4"/>
    </row>
    <row r="386" spans="1:13" x14ac:dyDescent="0.25">
      <c r="A386" t="s">
        <v>2944</v>
      </c>
      <c r="B386" t="s">
        <v>3054</v>
      </c>
      <c r="C386" s="25">
        <v>2617</v>
      </c>
      <c r="D386" s="28">
        <v>2617</v>
      </c>
      <c r="E386" s="2" t="str">
        <f t="shared" si="12"/>
        <v>Same</v>
      </c>
      <c r="F386" s="6" t="s">
        <v>1908</v>
      </c>
      <c r="G386" s="3">
        <v>52.5</v>
      </c>
      <c r="H386" s="2" t="s">
        <v>381</v>
      </c>
      <c r="I386" s="4">
        <f>[1]Sheet1!I386</f>
        <v>3980</v>
      </c>
      <c r="J386" s="3" t="str">
        <f t="shared" ref="J386:J449" si="13">C386 &amp; "_A1C1.webp"</f>
        <v>2617_A1C1.webp</v>
      </c>
      <c r="K386" s="5">
        <f>Sheet4!E386</f>
        <v>2</v>
      </c>
      <c r="L386" s="5"/>
      <c r="M386" s="4"/>
    </row>
    <row r="387" spans="1:13" x14ac:dyDescent="0.25">
      <c r="A387" t="s">
        <v>2944</v>
      </c>
      <c r="B387" t="s">
        <v>3054</v>
      </c>
      <c r="C387" s="25">
        <v>2618</v>
      </c>
      <c r="D387" s="28">
        <v>2618</v>
      </c>
      <c r="E387" s="2" t="str">
        <f t="shared" si="12"/>
        <v>Same</v>
      </c>
      <c r="F387" s="6" t="s">
        <v>1908</v>
      </c>
      <c r="G387" s="3">
        <v>26.5</v>
      </c>
      <c r="H387" s="2" t="s">
        <v>382</v>
      </c>
      <c r="I387" s="4">
        <f>[1]Sheet1!I387</f>
        <v>3617</v>
      </c>
      <c r="J387" s="3" t="str">
        <f t="shared" si="13"/>
        <v>2618_A1C1.webp</v>
      </c>
      <c r="K387" s="5">
        <f>Sheet4!E387</f>
        <v>1</v>
      </c>
      <c r="L387" s="5"/>
      <c r="M387" s="4"/>
    </row>
    <row r="388" spans="1:13" x14ac:dyDescent="0.25">
      <c r="A388" t="s">
        <v>2944</v>
      </c>
      <c r="B388" t="s">
        <v>3054</v>
      </c>
      <c r="C388" s="25">
        <v>2619</v>
      </c>
      <c r="D388" s="28">
        <v>2619</v>
      </c>
      <c r="E388" s="2" t="str">
        <f t="shared" si="12"/>
        <v>Same</v>
      </c>
      <c r="F388" s="6" t="s">
        <v>1897</v>
      </c>
      <c r="G388" s="3">
        <v>61.95</v>
      </c>
      <c r="H388" s="2" t="s">
        <v>383</v>
      </c>
      <c r="I388" s="4">
        <f>[1]Sheet1!I388</f>
        <v>12753</v>
      </c>
      <c r="J388" s="3" t="str">
        <f t="shared" si="13"/>
        <v>2619_A1C1.webp</v>
      </c>
      <c r="K388" s="5">
        <f>Sheet4!E388</f>
        <v>4</v>
      </c>
      <c r="L388" s="5"/>
      <c r="M388" s="4"/>
    </row>
    <row r="389" spans="1:13" x14ac:dyDescent="0.25">
      <c r="A389" t="s">
        <v>2944</v>
      </c>
      <c r="B389" t="s">
        <v>3054</v>
      </c>
      <c r="C389" s="25">
        <v>2620</v>
      </c>
      <c r="D389" s="28">
        <v>2620</v>
      </c>
      <c r="E389" s="2" t="str">
        <f t="shared" si="12"/>
        <v>Same</v>
      </c>
      <c r="F389" s="6" t="s">
        <v>1907</v>
      </c>
      <c r="G389" s="3">
        <v>63.5</v>
      </c>
      <c r="H389" s="2" t="s">
        <v>384</v>
      </c>
      <c r="I389" s="4">
        <f>[1]Sheet1!I389</f>
        <v>26300</v>
      </c>
      <c r="J389" s="3" t="str">
        <f t="shared" si="13"/>
        <v>2620_A1C1.webp</v>
      </c>
      <c r="K389" s="5">
        <f>Sheet4!E389</f>
        <v>8</v>
      </c>
      <c r="L389" s="5"/>
      <c r="M389" s="4"/>
    </row>
    <row r="390" spans="1:13" x14ac:dyDescent="0.25">
      <c r="A390" t="s">
        <v>2944</v>
      </c>
      <c r="B390" t="s">
        <v>3040</v>
      </c>
      <c r="C390" s="25">
        <v>2621</v>
      </c>
      <c r="D390" s="28">
        <v>2621</v>
      </c>
      <c r="E390" s="2" t="str">
        <f t="shared" ref="E390:E453" si="14">IF(C390=D390, "Same","New")</f>
        <v>Same</v>
      </c>
      <c r="F390" s="6" t="s">
        <v>1907</v>
      </c>
      <c r="G390">
        <v>33.950000000000003</v>
      </c>
      <c r="H390" s="2" t="s">
        <v>385</v>
      </c>
      <c r="I390" s="4">
        <f>[1]Sheet1!I390</f>
        <v>969</v>
      </c>
      <c r="J390" s="3" t="str">
        <f t="shared" si="13"/>
        <v>2621_A1C1.webp</v>
      </c>
      <c r="K390" s="5">
        <f>Sheet4!E390</f>
        <v>8</v>
      </c>
      <c r="L390" s="5"/>
      <c r="M390" s="4"/>
    </row>
    <row r="391" spans="1:13" x14ac:dyDescent="0.25">
      <c r="A391" t="s">
        <v>2944</v>
      </c>
      <c r="B391" t="s">
        <v>3054</v>
      </c>
      <c r="C391" s="25">
        <v>2622</v>
      </c>
      <c r="D391" s="28">
        <v>2622</v>
      </c>
      <c r="E391" s="2" t="str">
        <f t="shared" si="14"/>
        <v>Same</v>
      </c>
      <c r="F391" s="6" t="s">
        <v>1910</v>
      </c>
      <c r="G391" s="3">
        <v>64.5</v>
      </c>
      <c r="H391" s="2" t="s">
        <v>386</v>
      </c>
      <c r="I391" s="4">
        <f>[1]Sheet1!I391</f>
        <v>19159</v>
      </c>
      <c r="J391" s="3" t="str">
        <f t="shared" si="13"/>
        <v>2622_A1C1.webp</v>
      </c>
      <c r="K391" s="5">
        <f>Sheet4!E391</f>
        <v>12</v>
      </c>
      <c r="L391" s="5"/>
      <c r="M391" s="4"/>
    </row>
    <row r="392" spans="1:13" x14ac:dyDescent="0.25">
      <c r="A392" t="s">
        <v>2944</v>
      </c>
      <c r="B392" t="s">
        <v>2978</v>
      </c>
      <c r="C392" s="25">
        <v>2623</v>
      </c>
      <c r="D392" s="28">
        <v>2623</v>
      </c>
      <c r="E392" s="2" t="str">
        <f t="shared" si="14"/>
        <v>Same</v>
      </c>
      <c r="F392" s="6" t="s">
        <v>1908</v>
      </c>
      <c r="G392">
        <v>1544.95</v>
      </c>
      <c r="H392" s="2" t="s">
        <v>387</v>
      </c>
      <c r="I392" s="4">
        <f>[1]Sheet1!I392</f>
        <v>2</v>
      </c>
      <c r="J392" s="3" t="str">
        <f t="shared" si="13"/>
        <v>2623_A1C1.webp</v>
      </c>
      <c r="K392" s="5">
        <f>Sheet4!E392</f>
        <v>99</v>
      </c>
      <c r="L392" s="5"/>
      <c r="M392" s="4"/>
    </row>
    <row r="393" spans="1:13" x14ac:dyDescent="0.25">
      <c r="A393" t="s">
        <v>2944</v>
      </c>
      <c r="B393" t="s">
        <v>2945</v>
      </c>
      <c r="C393" s="25">
        <v>2624</v>
      </c>
      <c r="D393" s="28">
        <v>2624</v>
      </c>
      <c r="E393" s="2" t="str">
        <f t="shared" si="14"/>
        <v>Same</v>
      </c>
      <c r="F393" s="6" t="s">
        <v>1866</v>
      </c>
      <c r="G393" s="3">
        <v>20.65</v>
      </c>
      <c r="H393" s="2" t="s">
        <v>388</v>
      </c>
      <c r="I393" s="4">
        <f>[1]Sheet1!I393</f>
        <v>133</v>
      </c>
      <c r="J393" s="3" t="str">
        <f t="shared" si="13"/>
        <v>2624_A1C1.webp</v>
      </c>
      <c r="K393" s="5">
        <f>Sheet4!E393</f>
        <v>12</v>
      </c>
      <c r="L393" s="5"/>
      <c r="M393" s="4"/>
    </row>
    <row r="394" spans="1:13" x14ac:dyDescent="0.25">
      <c r="A394" t="s">
        <v>2944</v>
      </c>
      <c r="B394" t="s">
        <v>3071</v>
      </c>
      <c r="C394" s="25">
        <v>2625</v>
      </c>
      <c r="D394" s="28">
        <v>2625</v>
      </c>
      <c r="E394" s="2" t="str">
        <f t="shared" si="14"/>
        <v>Same</v>
      </c>
      <c r="F394" s="6" t="s">
        <v>1882</v>
      </c>
      <c r="G394" s="3">
        <v>49.95</v>
      </c>
      <c r="H394" s="2" t="s">
        <v>389</v>
      </c>
      <c r="I394" s="4">
        <f>[1]Sheet1!I394</f>
        <v>42</v>
      </c>
      <c r="J394" s="3" t="str">
        <f t="shared" si="13"/>
        <v>2625_A1C1.webp</v>
      </c>
      <c r="K394" s="5">
        <f>Sheet4!E394</f>
        <v>24</v>
      </c>
      <c r="L394" s="5"/>
      <c r="M394" s="4"/>
    </row>
    <row r="395" spans="1:13" x14ac:dyDescent="0.25">
      <c r="A395" t="s">
        <v>2944</v>
      </c>
      <c r="B395" t="s">
        <v>2978</v>
      </c>
      <c r="C395" s="25">
        <v>2626</v>
      </c>
      <c r="D395" s="28">
        <v>2626</v>
      </c>
      <c r="E395" s="2" t="str">
        <f t="shared" si="14"/>
        <v>Same</v>
      </c>
      <c r="F395" s="6" t="s">
        <v>1849</v>
      </c>
      <c r="G395" s="3">
        <v>43.95</v>
      </c>
      <c r="H395" s="2" t="s">
        <v>390</v>
      </c>
      <c r="I395" s="4">
        <f>[1]Sheet1!I395</f>
        <v>1041</v>
      </c>
      <c r="J395" s="3" t="str">
        <f t="shared" si="13"/>
        <v>2626_A1C1.webp</v>
      </c>
      <c r="K395" s="5">
        <f>Sheet4!E395</f>
        <v>30</v>
      </c>
      <c r="L395" s="5"/>
      <c r="M395" s="4"/>
    </row>
    <row r="396" spans="1:13" x14ac:dyDescent="0.25">
      <c r="A396" t="s">
        <v>2944</v>
      </c>
      <c r="B396" t="s">
        <v>2978</v>
      </c>
      <c r="C396" s="25">
        <v>2627</v>
      </c>
      <c r="D396" s="28">
        <v>2627</v>
      </c>
      <c r="E396" s="2" t="str">
        <f t="shared" si="14"/>
        <v>Same</v>
      </c>
      <c r="F396" s="6" t="s">
        <v>1909</v>
      </c>
      <c r="G396">
        <v>74.75</v>
      </c>
      <c r="H396" s="2" t="s">
        <v>391</v>
      </c>
      <c r="I396" s="4">
        <f>[1]Sheet1!I396</f>
        <v>27</v>
      </c>
      <c r="J396" s="3" t="str">
        <f t="shared" si="13"/>
        <v>2627_A1C1.webp</v>
      </c>
      <c r="K396" s="5">
        <f>Sheet4!E396</f>
        <v>1</v>
      </c>
      <c r="L396" s="5"/>
      <c r="M396" s="4"/>
    </row>
    <row r="397" spans="1:13" x14ac:dyDescent="0.25">
      <c r="A397" t="s">
        <v>2944</v>
      </c>
      <c r="B397" t="s">
        <v>2978</v>
      </c>
      <c r="C397" s="25">
        <v>2628</v>
      </c>
      <c r="D397" s="28">
        <v>2628</v>
      </c>
      <c r="E397" s="2" t="str">
        <f t="shared" si="14"/>
        <v>Same</v>
      </c>
      <c r="F397" s="6" t="s">
        <v>1850</v>
      </c>
      <c r="G397" s="3">
        <v>59.95</v>
      </c>
      <c r="H397" s="2" t="s">
        <v>392</v>
      </c>
      <c r="I397" s="4">
        <f>[1]Sheet1!I397</f>
        <v>2156</v>
      </c>
      <c r="J397" s="3" t="str">
        <f t="shared" si="13"/>
        <v>2628_A1C1.webp</v>
      </c>
      <c r="K397" s="5">
        <f>Sheet4!E397</f>
        <v>20</v>
      </c>
      <c r="L397" s="5"/>
      <c r="M397" s="4"/>
    </row>
    <row r="398" spans="1:13" x14ac:dyDescent="0.25">
      <c r="A398" t="s">
        <v>2944</v>
      </c>
      <c r="B398" t="s">
        <v>2978</v>
      </c>
      <c r="C398" s="25">
        <v>2629</v>
      </c>
      <c r="D398" s="28">
        <v>2629</v>
      </c>
      <c r="E398" s="2" t="str">
        <f t="shared" si="14"/>
        <v>Same</v>
      </c>
      <c r="F398" s="6" t="s">
        <v>1907</v>
      </c>
      <c r="G398" s="3">
        <v>58.5</v>
      </c>
      <c r="H398" s="2" t="s">
        <v>393</v>
      </c>
      <c r="I398" s="4">
        <f>[1]Sheet1!I398</f>
        <v>4514</v>
      </c>
      <c r="J398" s="3" t="str">
        <f t="shared" si="13"/>
        <v>2629_A1C1.webp</v>
      </c>
      <c r="K398" s="5">
        <f>Sheet4!E398</f>
        <v>12</v>
      </c>
      <c r="L398" s="5"/>
      <c r="M398" s="4"/>
    </row>
    <row r="399" spans="1:13" x14ac:dyDescent="0.25">
      <c r="A399" t="s">
        <v>2944</v>
      </c>
      <c r="B399" t="s">
        <v>2978</v>
      </c>
      <c r="C399" s="25">
        <v>2630</v>
      </c>
      <c r="D399" s="28">
        <v>2630</v>
      </c>
      <c r="E399" s="2" t="str">
        <f t="shared" si="14"/>
        <v>Same</v>
      </c>
      <c r="F399" s="6" t="s">
        <v>1897</v>
      </c>
      <c r="G399">
        <v>49.95</v>
      </c>
      <c r="H399" s="2" t="s">
        <v>394</v>
      </c>
      <c r="I399" s="4">
        <f>[1]Sheet1!I399</f>
        <v>1882</v>
      </c>
      <c r="J399" s="3" t="str">
        <f t="shared" si="13"/>
        <v>2630_A1C1.webp</v>
      </c>
      <c r="K399" s="5">
        <f>Sheet4!E399</f>
        <v>6</v>
      </c>
      <c r="L399" s="5"/>
      <c r="M399" s="4"/>
    </row>
    <row r="400" spans="1:13" x14ac:dyDescent="0.25">
      <c r="A400" t="s">
        <v>2944</v>
      </c>
      <c r="B400" t="s">
        <v>2978</v>
      </c>
      <c r="C400" s="25">
        <v>2631</v>
      </c>
      <c r="D400" s="28">
        <v>2631</v>
      </c>
      <c r="E400" s="2" t="str">
        <f t="shared" si="14"/>
        <v>Same</v>
      </c>
      <c r="F400" s="6" t="s">
        <v>1908</v>
      </c>
      <c r="G400">
        <v>47.5</v>
      </c>
      <c r="H400" s="2" t="s">
        <v>395</v>
      </c>
      <c r="I400" s="4">
        <f>[1]Sheet1!I400</f>
        <v>2554</v>
      </c>
      <c r="J400" s="3" t="str">
        <f t="shared" si="13"/>
        <v>2631_A1C1.webp</v>
      </c>
      <c r="K400" s="5">
        <f>Sheet4!E400</f>
        <v>3</v>
      </c>
      <c r="L400" s="5"/>
      <c r="M400" s="4"/>
    </row>
    <row r="401" spans="1:13" x14ac:dyDescent="0.25">
      <c r="A401" t="s">
        <v>2944</v>
      </c>
      <c r="B401" t="s">
        <v>3078</v>
      </c>
      <c r="C401" s="25">
        <v>2632</v>
      </c>
      <c r="D401" s="28">
        <v>2632</v>
      </c>
      <c r="E401" s="2" t="str">
        <f t="shared" si="14"/>
        <v>Same</v>
      </c>
      <c r="F401" s="6" t="s">
        <v>1849</v>
      </c>
      <c r="G401" s="3">
        <v>36.950000000000003</v>
      </c>
      <c r="H401" s="2" t="s">
        <v>396</v>
      </c>
      <c r="I401" s="4">
        <f>[1]Sheet1!I401</f>
        <v>2228</v>
      </c>
      <c r="J401" s="3" t="str">
        <f t="shared" si="13"/>
        <v>2632_A1C1.webp</v>
      </c>
      <c r="K401" s="5">
        <f>Sheet4!E401</f>
        <v>30</v>
      </c>
      <c r="L401" s="5"/>
      <c r="M401" s="4"/>
    </row>
    <row r="402" spans="1:13" x14ac:dyDescent="0.25">
      <c r="A402" t="s">
        <v>2944</v>
      </c>
      <c r="B402" t="s">
        <v>3078</v>
      </c>
      <c r="C402" s="25">
        <v>2633</v>
      </c>
      <c r="D402" s="28">
        <v>2633</v>
      </c>
      <c r="E402" s="2" t="str">
        <f t="shared" si="14"/>
        <v>Same</v>
      </c>
      <c r="F402" s="6" t="s">
        <v>1850</v>
      </c>
      <c r="G402" s="3">
        <v>53.95</v>
      </c>
      <c r="H402" s="2" t="s">
        <v>397</v>
      </c>
      <c r="I402" s="4">
        <f>[1]Sheet1!I402</f>
        <v>2964</v>
      </c>
      <c r="J402" s="3" t="str">
        <f t="shared" si="13"/>
        <v>2633_A1C1.webp</v>
      </c>
      <c r="K402" s="5">
        <f>Sheet4!E402</f>
        <v>20</v>
      </c>
      <c r="L402" s="5"/>
      <c r="M402" s="4"/>
    </row>
    <row r="403" spans="1:13" x14ac:dyDescent="0.25">
      <c r="A403" t="s">
        <v>2944</v>
      </c>
      <c r="B403" t="s">
        <v>3078</v>
      </c>
      <c r="C403" s="25">
        <v>2634</v>
      </c>
      <c r="D403" s="28">
        <v>2634</v>
      </c>
      <c r="E403" s="2" t="str">
        <f t="shared" si="14"/>
        <v>Same</v>
      </c>
      <c r="F403" s="6" t="s">
        <v>1910</v>
      </c>
      <c r="G403" s="3">
        <v>22.95</v>
      </c>
      <c r="H403" s="2" t="s">
        <v>398</v>
      </c>
      <c r="I403" s="4">
        <f>[1]Sheet1!I403</f>
        <v>4275</v>
      </c>
      <c r="J403" s="3" t="str">
        <f t="shared" si="13"/>
        <v>2634_A1C1.webp</v>
      </c>
      <c r="K403" s="5">
        <f>Sheet4!E403</f>
        <v>12</v>
      </c>
      <c r="L403" s="5"/>
      <c r="M403" s="4"/>
    </row>
    <row r="404" spans="1:13" x14ac:dyDescent="0.25">
      <c r="A404" t="s">
        <v>2944</v>
      </c>
      <c r="B404" t="s">
        <v>3078</v>
      </c>
      <c r="C404" s="25">
        <v>2635</v>
      </c>
      <c r="D404" s="28">
        <v>2635</v>
      </c>
      <c r="E404" s="2" t="str">
        <f t="shared" si="14"/>
        <v>Same</v>
      </c>
      <c r="F404" s="6" t="s">
        <v>1907</v>
      </c>
      <c r="G404">
        <v>49.95</v>
      </c>
      <c r="H404" s="2" t="s">
        <v>399</v>
      </c>
      <c r="I404" s="4">
        <f>[1]Sheet1!I404</f>
        <v>10491</v>
      </c>
      <c r="J404" s="3" t="str">
        <f t="shared" si="13"/>
        <v>2635_A1C1.webp</v>
      </c>
      <c r="K404" s="5">
        <f>Sheet4!E404</f>
        <v>12</v>
      </c>
      <c r="L404" s="5"/>
      <c r="M404" s="4"/>
    </row>
    <row r="405" spans="1:13" x14ac:dyDescent="0.25">
      <c r="A405" t="s">
        <v>2944</v>
      </c>
      <c r="B405" t="s">
        <v>2945</v>
      </c>
      <c r="C405" s="25">
        <v>2636</v>
      </c>
      <c r="D405" s="28">
        <v>2636</v>
      </c>
      <c r="E405" s="2" t="str">
        <f t="shared" si="14"/>
        <v>Same</v>
      </c>
      <c r="F405" s="6" t="s">
        <v>1866</v>
      </c>
      <c r="G405" s="3">
        <v>20.65</v>
      </c>
      <c r="H405" s="2" t="s">
        <v>400</v>
      </c>
      <c r="I405" s="4">
        <f>[1]Sheet1!I405</f>
        <v>313</v>
      </c>
      <c r="J405" s="3" t="str">
        <f t="shared" si="13"/>
        <v>2636_A1C1.webp</v>
      </c>
      <c r="K405" s="5">
        <f>Sheet4!E405</f>
        <v>12</v>
      </c>
      <c r="L405" s="5"/>
      <c r="M405" s="4"/>
    </row>
    <row r="406" spans="1:13" x14ac:dyDescent="0.25">
      <c r="A406" t="s">
        <v>2944</v>
      </c>
      <c r="B406" t="s">
        <v>3078</v>
      </c>
      <c r="C406" s="25">
        <v>2637</v>
      </c>
      <c r="D406" s="28">
        <v>2637</v>
      </c>
      <c r="E406" s="2" t="str">
        <f t="shared" si="14"/>
        <v>Same</v>
      </c>
      <c r="F406" s="6" t="s">
        <v>1897</v>
      </c>
      <c r="G406">
        <v>43.25</v>
      </c>
      <c r="H406" s="2" t="s">
        <v>401</v>
      </c>
      <c r="I406" s="4">
        <f>[1]Sheet1!I406</f>
        <v>5978</v>
      </c>
      <c r="J406" s="3" t="str">
        <f t="shared" si="13"/>
        <v>2637_A1C1.webp</v>
      </c>
      <c r="K406" s="5">
        <f>Sheet4!E406</f>
        <v>6</v>
      </c>
      <c r="L406" s="5"/>
      <c r="M406" s="4"/>
    </row>
    <row r="407" spans="1:13" x14ac:dyDescent="0.25">
      <c r="A407" t="s">
        <v>2944</v>
      </c>
      <c r="B407" t="s">
        <v>3078</v>
      </c>
      <c r="C407" s="25">
        <v>2638</v>
      </c>
      <c r="D407" s="28">
        <v>2638</v>
      </c>
      <c r="E407" s="2" t="str">
        <f t="shared" si="14"/>
        <v>Same</v>
      </c>
      <c r="F407" s="6" t="s">
        <v>1908</v>
      </c>
      <c r="G407">
        <v>42.95</v>
      </c>
      <c r="H407" s="2" t="s">
        <v>402</v>
      </c>
      <c r="I407" s="4">
        <f>[1]Sheet1!I407</f>
        <v>18964</v>
      </c>
      <c r="J407" s="3" t="str">
        <f t="shared" si="13"/>
        <v>2638_A1C1.webp</v>
      </c>
      <c r="K407" s="5">
        <f>Sheet4!E407</f>
        <v>3</v>
      </c>
      <c r="L407" s="5"/>
      <c r="M407" s="4"/>
    </row>
    <row r="408" spans="1:13" x14ac:dyDescent="0.25">
      <c r="A408" t="s">
        <v>2944</v>
      </c>
      <c r="B408" t="s">
        <v>3078</v>
      </c>
      <c r="C408" s="25">
        <v>2639</v>
      </c>
      <c r="D408" s="28">
        <v>2639</v>
      </c>
      <c r="E408" s="2" t="str">
        <f t="shared" si="14"/>
        <v>Same</v>
      </c>
      <c r="F408" s="6" t="s">
        <v>1908</v>
      </c>
      <c r="G408">
        <v>14.25</v>
      </c>
      <c r="H408" s="2" t="s">
        <v>403</v>
      </c>
      <c r="I408" s="4">
        <f>[1]Sheet1!I408</f>
        <v>2141</v>
      </c>
      <c r="J408" s="3" t="str">
        <f t="shared" si="13"/>
        <v>2639_A1C1.webp</v>
      </c>
      <c r="K408" s="5">
        <f>Sheet4!E408</f>
        <v>1</v>
      </c>
      <c r="L408" s="5"/>
      <c r="M408" s="4"/>
    </row>
    <row r="409" spans="1:13" x14ac:dyDescent="0.25">
      <c r="A409" t="s">
        <v>2944</v>
      </c>
      <c r="B409" t="s">
        <v>3078</v>
      </c>
      <c r="C409" s="25">
        <v>2640</v>
      </c>
      <c r="D409" s="28">
        <v>2640</v>
      </c>
      <c r="E409" s="2" t="str">
        <f t="shared" si="14"/>
        <v>Same</v>
      </c>
      <c r="F409" s="6" t="s">
        <v>1892</v>
      </c>
      <c r="G409">
        <v>33.950000000000003</v>
      </c>
      <c r="H409" s="2" t="s">
        <v>404</v>
      </c>
      <c r="I409" s="4">
        <f>[1]Sheet1!I409</f>
        <v>2086</v>
      </c>
      <c r="J409" s="3" t="str">
        <f t="shared" si="13"/>
        <v>2640_A1C1.webp</v>
      </c>
      <c r="K409" s="5">
        <f>Sheet4!E409</f>
        <v>1</v>
      </c>
      <c r="L409" s="5"/>
      <c r="M409" s="4"/>
    </row>
    <row r="410" spans="1:13" x14ac:dyDescent="0.25">
      <c r="A410" t="s">
        <v>2944</v>
      </c>
      <c r="B410" t="s">
        <v>3078</v>
      </c>
      <c r="C410" s="25">
        <v>2641</v>
      </c>
      <c r="D410" s="28">
        <v>2641</v>
      </c>
      <c r="E410" s="2" t="str">
        <f t="shared" si="14"/>
        <v>Same</v>
      </c>
      <c r="F410" s="6" t="s">
        <v>1909</v>
      </c>
      <c r="G410">
        <v>66.5</v>
      </c>
      <c r="H410" s="2" t="s">
        <v>405</v>
      </c>
      <c r="I410" s="4">
        <f>[1]Sheet1!I410</f>
        <v>271</v>
      </c>
      <c r="J410" s="3" t="str">
        <f t="shared" si="13"/>
        <v>2641_A1C1.webp</v>
      </c>
      <c r="K410" s="5">
        <f>Sheet4!E410</f>
        <v>1</v>
      </c>
      <c r="L410" s="5"/>
      <c r="M410" s="4"/>
    </row>
    <row r="411" spans="1:13" x14ac:dyDescent="0.25">
      <c r="A411" t="s">
        <v>2944</v>
      </c>
      <c r="B411" t="s">
        <v>3078</v>
      </c>
      <c r="C411" s="25">
        <v>2642</v>
      </c>
      <c r="D411" s="28">
        <v>2642</v>
      </c>
      <c r="E411" s="2" t="str">
        <f t="shared" si="14"/>
        <v>Same</v>
      </c>
      <c r="F411" s="6" t="s">
        <v>1908</v>
      </c>
      <c r="G411">
        <v>1399.95</v>
      </c>
      <c r="H411" s="2" t="s">
        <v>406</v>
      </c>
      <c r="I411" s="4">
        <f>[1]Sheet1!I411</f>
        <v>153</v>
      </c>
      <c r="J411" s="3" t="str">
        <f t="shared" si="13"/>
        <v>2642_A1C1.webp</v>
      </c>
      <c r="K411" s="5">
        <f>Sheet4!E411</f>
        <v>99</v>
      </c>
      <c r="L411" s="5"/>
      <c r="M411" s="4"/>
    </row>
    <row r="412" spans="1:13" x14ac:dyDescent="0.25">
      <c r="A412" t="s">
        <v>2944</v>
      </c>
      <c r="B412" t="s">
        <v>3089</v>
      </c>
      <c r="C412" s="25">
        <v>2643</v>
      </c>
      <c r="D412" s="28">
        <v>2643</v>
      </c>
      <c r="E412" s="2" t="str">
        <f t="shared" si="14"/>
        <v>Same</v>
      </c>
      <c r="F412" s="6" t="s">
        <v>1873</v>
      </c>
      <c r="G412" s="3">
        <v>35.950000000000003</v>
      </c>
      <c r="H412" s="2" t="s">
        <v>407</v>
      </c>
      <c r="I412" s="4">
        <f>[1]Sheet1!I412</f>
        <v>772</v>
      </c>
      <c r="J412" s="3" t="str">
        <f t="shared" si="13"/>
        <v>2643_A1C1.webp</v>
      </c>
      <c r="K412" s="5">
        <f>Sheet4!E412</f>
        <v>24</v>
      </c>
      <c r="L412" s="5"/>
      <c r="M412" s="4"/>
    </row>
    <row r="413" spans="1:13" x14ac:dyDescent="0.25">
      <c r="A413" t="s">
        <v>2944</v>
      </c>
      <c r="B413" t="s">
        <v>3089</v>
      </c>
      <c r="C413" s="25">
        <v>2644</v>
      </c>
      <c r="D413" s="28">
        <v>2644</v>
      </c>
      <c r="E413" s="2" t="str">
        <f t="shared" si="14"/>
        <v>Same</v>
      </c>
      <c r="F413" s="6" t="s">
        <v>1873</v>
      </c>
      <c r="G413" s="3">
        <v>39.950000000000003</v>
      </c>
      <c r="H413" s="2" t="s">
        <v>408</v>
      </c>
      <c r="I413" s="4">
        <f>[1]Sheet1!I413</f>
        <v>154</v>
      </c>
      <c r="J413" s="3" t="str">
        <f t="shared" si="13"/>
        <v>2644_A1C1.webp</v>
      </c>
      <c r="K413" s="5">
        <f>Sheet4!E413</f>
        <v>24</v>
      </c>
      <c r="L413" s="5"/>
      <c r="M413" s="4"/>
    </row>
    <row r="414" spans="1:13" x14ac:dyDescent="0.25">
      <c r="A414" t="s">
        <v>2944</v>
      </c>
      <c r="B414" t="s">
        <v>3089</v>
      </c>
      <c r="C414" s="25">
        <v>2645</v>
      </c>
      <c r="D414" s="28">
        <v>2645</v>
      </c>
      <c r="E414" s="2" t="str">
        <f t="shared" si="14"/>
        <v>Same</v>
      </c>
      <c r="F414" s="6" t="s">
        <v>1873</v>
      </c>
      <c r="G414" s="3">
        <v>39.950000000000003</v>
      </c>
      <c r="H414" s="2" t="s">
        <v>409</v>
      </c>
      <c r="I414" s="4">
        <f>[1]Sheet1!I414</f>
        <v>24</v>
      </c>
      <c r="J414" s="3" t="str">
        <f t="shared" si="13"/>
        <v>2645_A1C1.webp</v>
      </c>
      <c r="K414" s="5">
        <f>Sheet4!E414</f>
        <v>24</v>
      </c>
      <c r="L414" s="5"/>
      <c r="M414" s="4"/>
    </row>
    <row r="415" spans="1:13" x14ac:dyDescent="0.25">
      <c r="A415" t="s">
        <v>2944</v>
      </c>
      <c r="B415" t="s">
        <v>3078</v>
      </c>
      <c r="C415" s="25">
        <v>2646</v>
      </c>
      <c r="D415" s="28">
        <v>2646</v>
      </c>
      <c r="E415" s="2" t="str">
        <f t="shared" si="14"/>
        <v>Same</v>
      </c>
      <c r="F415" s="6" t="s">
        <v>1912</v>
      </c>
      <c r="H415" s="2" t="s">
        <v>410</v>
      </c>
      <c r="I415" s="4">
        <f>[1]Sheet1!I415</f>
        <v>325</v>
      </c>
      <c r="J415" s="3" t="str">
        <f t="shared" si="13"/>
        <v>2646_A1C1.webp</v>
      </c>
      <c r="K415" s="5">
        <f>Sheet4!E415</f>
        <v>1</v>
      </c>
      <c r="L415" s="5"/>
      <c r="M415" s="4"/>
    </row>
    <row r="416" spans="1:13" x14ac:dyDescent="0.25">
      <c r="A416" t="s">
        <v>2944</v>
      </c>
      <c r="B416" t="s">
        <v>2945</v>
      </c>
      <c r="C416" s="25">
        <v>2649</v>
      </c>
      <c r="D416" s="28">
        <v>2649</v>
      </c>
      <c r="E416" s="2" t="str">
        <f t="shared" si="14"/>
        <v>Same</v>
      </c>
      <c r="F416" s="6" t="s">
        <v>1866</v>
      </c>
      <c r="G416" s="3">
        <v>20.65</v>
      </c>
      <c r="H416" s="2" t="s">
        <v>411</v>
      </c>
      <c r="I416" s="4">
        <f>[1]Sheet1!I416</f>
        <v>390</v>
      </c>
      <c r="J416" s="3" t="str">
        <f t="shared" si="13"/>
        <v>2649_A1C1.webp</v>
      </c>
      <c r="K416" s="5">
        <f>Sheet4!E416</f>
        <v>12</v>
      </c>
      <c r="L416" s="5"/>
      <c r="M416" s="4"/>
    </row>
    <row r="417" spans="1:13" x14ac:dyDescent="0.25">
      <c r="A417" t="s">
        <v>2944</v>
      </c>
      <c r="B417" t="s">
        <v>3095</v>
      </c>
      <c r="C417" s="25">
        <v>2651</v>
      </c>
      <c r="D417" s="28">
        <v>2651</v>
      </c>
      <c r="E417" s="2" t="str">
        <f t="shared" si="14"/>
        <v>Same</v>
      </c>
      <c r="F417" s="6" t="s">
        <v>1874</v>
      </c>
      <c r="G417" s="3">
        <v>26.95</v>
      </c>
      <c r="H417" s="2" t="s">
        <v>412</v>
      </c>
      <c r="I417" s="4">
        <f>[1]Sheet1!I417</f>
        <v>270</v>
      </c>
      <c r="J417" s="3" t="str">
        <f t="shared" si="13"/>
        <v>2651_A1C1.webp</v>
      </c>
      <c r="K417" s="5">
        <f>Sheet4!E417</f>
        <v>12</v>
      </c>
      <c r="L417" s="5"/>
      <c r="M417" s="4"/>
    </row>
    <row r="418" spans="1:13" x14ac:dyDescent="0.25">
      <c r="A418" t="s">
        <v>2944</v>
      </c>
      <c r="B418" t="s">
        <v>3095</v>
      </c>
      <c r="C418" s="25">
        <v>2652</v>
      </c>
      <c r="D418" s="28">
        <v>2652</v>
      </c>
      <c r="E418" s="2" t="str">
        <f t="shared" si="14"/>
        <v>Same</v>
      </c>
      <c r="F418" s="6" t="s">
        <v>1874</v>
      </c>
      <c r="G418" s="3">
        <v>26.95</v>
      </c>
      <c r="H418" s="2" t="s">
        <v>413</v>
      </c>
      <c r="I418" s="4">
        <f>[1]Sheet1!I418</f>
        <v>92</v>
      </c>
      <c r="J418" s="3" t="str">
        <f t="shared" si="13"/>
        <v>2652_A1C1.webp</v>
      </c>
      <c r="K418" s="5">
        <f>Sheet4!E418</f>
        <v>12</v>
      </c>
      <c r="L418" s="5"/>
      <c r="M418" s="4"/>
    </row>
    <row r="419" spans="1:13" x14ac:dyDescent="0.25">
      <c r="A419" t="s">
        <v>2944</v>
      </c>
      <c r="B419" t="s">
        <v>3095</v>
      </c>
      <c r="C419" s="25">
        <v>2653</v>
      </c>
      <c r="D419" s="28">
        <v>2653</v>
      </c>
      <c r="E419" s="2" t="str">
        <f t="shared" si="14"/>
        <v>Same</v>
      </c>
      <c r="F419" s="6" t="s">
        <v>1874</v>
      </c>
      <c r="G419" s="3">
        <v>25.95</v>
      </c>
      <c r="H419" s="2" t="s">
        <v>414</v>
      </c>
      <c r="I419" s="4">
        <f>[1]Sheet1!I419</f>
        <v>92</v>
      </c>
      <c r="J419" s="3" t="str">
        <f t="shared" si="13"/>
        <v>2653_A1C1.webp</v>
      </c>
      <c r="K419" s="5">
        <f>Sheet4!E419</f>
        <v>12</v>
      </c>
      <c r="L419" s="5"/>
      <c r="M419" s="4"/>
    </row>
    <row r="420" spans="1:13" x14ac:dyDescent="0.25">
      <c r="A420" t="s">
        <v>2944</v>
      </c>
      <c r="B420" t="s">
        <v>3095</v>
      </c>
      <c r="C420" s="25">
        <v>2654</v>
      </c>
      <c r="D420" s="28">
        <v>2654</v>
      </c>
      <c r="E420" s="2" t="str">
        <f t="shared" si="14"/>
        <v>Same</v>
      </c>
      <c r="F420" s="6" t="s">
        <v>1874</v>
      </c>
      <c r="G420" s="3">
        <v>22.95</v>
      </c>
      <c r="H420" s="2" t="s">
        <v>415</v>
      </c>
      <c r="I420" s="4">
        <f>[1]Sheet1!I420</f>
        <v>157</v>
      </c>
      <c r="J420" s="3" t="str">
        <f t="shared" si="13"/>
        <v>2654_A1C1.webp</v>
      </c>
      <c r="K420" s="5">
        <f>Sheet4!E420</f>
        <v>12</v>
      </c>
      <c r="L420" s="5"/>
      <c r="M420" s="4"/>
    </row>
    <row r="421" spans="1:13" x14ac:dyDescent="0.25">
      <c r="A421" t="s">
        <v>2944</v>
      </c>
      <c r="B421" t="s">
        <v>2945</v>
      </c>
      <c r="C421" s="25">
        <v>2655</v>
      </c>
      <c r="D421" s="28">
        <v>2655</v>
      </c>
      <c r="E421" s="2" t="str">
        <f t="shared" si="14"/>
        <v>Same</v>
      </c>
      <c r="F421" s="6" t="s">
        <v>1866</v>
      </c>
      <c r="G421" s="3">
        <v>20.65</v>
      </c>
      <c r="H421" s="2" t="s">
        <v>416</v>
      </c>
      <c r="I421" s="4">
        <f>[1]Sheet1!I421</f>
        <v>590</v>
      </c>
      <c r="J421" s="3" t="str">
        <f t="shared" si="13"/>
        <v>2655_A1C1.webp</v>
      </c>
      <c r="K421" s="5">
        <f>Sheet4!E421</f>
        <v>12</v>
      </c>
      <c r="L421" s="5"/>
      <c r="M421" s="4"/>
    </row>
    <row r="422" spans="1:13" x14ac:dyDescent="0.25">
      <c r="A422" t="s">
        <v>2944</v>
      </c>
      <c r="B422" t="s">
        <v>2945</v>
      </c>
      <c r="C422" s="25">
        <v>2656</v>
      </c>
      <c r="D422" s="28">
        <v>2656</v>
      </c>
      <c r="E422" s="2" t="str">
        <f t="shared" si="14"/>
        <v>Same</v>
      </c>
      <c r="F422" s="6" t="s">
        <v>1866</v>
      </c>
      <c r="G422" s="3">
        <v>20.65</v>
      </c>
      <c r="H422" s="2" t="s">
        <v>417</v>
      </c>
      <c r="I422" s="4">
        <f>[1]Sheet1!I422</f>
        <v>568</v>
      </c>
      <c r="J422" s="3" t="str">
        <f t="shared" si="13"/>
        <v>2656_A1C1.webp</v>
      </c>
      <c r="K422" s="5">
        <f>Sheet4!E422</f>
        <v>12</v>
      </c>
      <c r="L422" s="5"/>
      <c r="M422" s="4"/>
    </row>
    <row r="423" spans="1:13" x14ac:dyDescent="0.25">
      <c r="A423" t="s">
        <v>2944</v>
      </c>
      <c r="B423" t="s">
        <v>2945</v>
      </c>
      <c r="C423" s="25">
        <v>2657</v>
      </c>
      <c r="D423" s="28">
        <v>2657</v>
      </c>
      <c r="E423" s="2" t="str">
        <f t="shared" si="14"/>
        <v>Same</v>
      </c>
      <c r="F423" s="6" t="s">
        <v>1866</v>
      </c>
      <c r="G423" s="3">
        <v>20.65</v>
      </c>
      <c r="H423" s="2" t="s">
        <v>418</v>
      </c>
      <c r="I423" s="4">
        <f>[1]Sheet1!I423</f>
        <v>730</v>
      </c>
      <c r="J423" s="3" t="str">
        <f t="shared" si="13"/>
        <v>2657_A1C1.webp</v>
      </c>
      <c r="K423" s="5">
        <f>Sheet4!E423</f>
        <v>12</v>
      </c>
      <c r="L423" s="5"/>
      <c r="M423" s="4"/>
    </row>
    <row r="424" spans="1:13" x14ac:dyDescent="0.25">
      <c r="A424" t="s">
        <v>2944</v>
      </c>
      <c r="B424" t="s">
        <v>2945</v>
      </c>
      <c r="C424" s="25">
        <v>2658</v>
      </c>
      <c r="D424" s="28">
        <v>2658</v>
      </c>
      <c r="E424" s="2" t="str">
        <f t="shared" si="14"/>
        <v>Same</v>
      </c>
      <c r="F424" s="2" t="s">
        <v>1866</v>
      </c>
      <c r="G424" s="3"/>
      <c r="H424" s="2" t="s">
        <v>5397</v>
      </c>
      <c r="I424" s="4">
        <f>[1]Sheet1!I424</f>
        <v>48</v>
      </c>
      <c r="J424" s="3" t="str">
        <f t="shared" si="13"/>
        <v>2658_A1C1.webp</v>
      </c>
      <c r="K424" s="5">
        <f>Sheet4!E424</f>
        <v>72</v>
      </c>
      <c r="L424" s="5" t="s">
        <v>5278</v>
      </c>
      <c r="M424" s="4"/>
    </row>
    <row r="425" spans="1:13" x14ac:dyDescent="0.25">
      <c r="A425" t="s">
        <v>2944</v>
      </c>
      <c r="B425" t="s">
        <v>2945</v>
      </c>
      <c r="C425" s="25">
        <v>2659</v>
      </c>
      <c r="D425" s="28">
        <v>2659</v>
      </c>
      <c r="E425" s="2" t="str">
        <f t="shared" si="14"/>
        <v>Same</v>
      </c>
      <c r="F425" s="6" t="s">
        <v>1866</v>
      </c>
      <c r="G425" s="3">
        <v>20.65</v>
      </c>
      <c r="H425" s="2" t="s">
        <v>419</v>
      </c>
      <c r="I425" s="4">
        <f>[1]Sheet1!I425</f>
        <v>73</v>
      </c>
      <c r="J425" s="3" t="str">
        <f t="shared" si="13"/>
        <v>2659_A1C1.webp</v>
      </c>
      <c r="K425" s="5">
        <f>Sheet4!E425</f>
        <v>12</v>
      </c>
      <c r="L425" s="5"/>
      <c r="M425" s="4"/>
    </row>
    <row r="426" spans="1:13" x14ac:dyDescent="0.25">
      <c r="A426" t="s">
        <v>2944</v>
      </c>
      <c r="B426" t="s">
        <v>2945</v>
      </c>
      <c r="C426" s="25">
        <v>2661</v>
      </c>
      <c r="D426" s="28">
        <v>2661</v>
      </c>
      <c r="E426" s="2" t="str">
        <f t="shared" si="14"/>
        <v>Same</v>
      </c>
      <c r="F426" s="6" t="s">
        <v>1866</v>
      </c>
      <c r="G426" s="3">
        <v>20.65</v>
      </c>
      <c r="H426" s="2" t="s">
        <v>420</v>
      </c>
      <c r="I426" s="4">
        <f>[1]Sheet1!I426</f>
        <v>2799</v>
      </c>
      <c r="J426" s="3" t="str">
        <f t="shared" si="13"/>
        <v>2661_A1C1.webp</v>
      </c>
      <c r="K426" s="5">
        <f>Sheet4!E426</f>
        <v>12</v>
      </c>
      <c r="L426" s="5"/>
      <c r="M426" s="4"/>
    </row>
    <row r="427" spans="1:13" x14ac:dyDescent="0.25">
      <c r="A427" t="s">
        <v>2944</v>
      </c>
      <c r="B427" t="s">
        <v>3106</v>
      </c>
      <c r="C427" s="25">
        <v>2662</v>
      </c>
      <c r="D427" s="28">
        <v>2662</v>
      </c>
      <c r="E427" s="2" t="str">
        <f t="shared" si="14"/>
        <v>Same</v>
      </c>
      <c r="F427" s="6" t="s">
        <v>1866</v>
      </c>
      <c r="G427" s="3">
        <v>35.950000000000003</v>
      </c>
      <c r="H427" s="2" t="s">
        <v>421</v>
      </c>
      <c r="I427" s="4">
        <f>[1]Sheet1!I427</f>
        <v>3934</v>
      </c>
      <c r="J427" s="3" t="str">
        <f t="shared" si="13"/>
        <v>2662_A1C1.webp</v>
      </c>
      <c r="K427" s="5">
        <f>Sheet4!E427</f>
        <v>24</v>
      </c>
      <c r="L427" s="5"/>
      <c r="M427" s="4"/>
    </row>
    <row r="428" spans="1:13" x14ac:dyDescent="0.25">
      <c r="A428" t="s">
        <v>2944</v>
      </c>
      <c r="B428" t="s">
        <v>2945</v>
      </c>
      <c r="C428" s="25">
        <v>2663</v>
      </c>
      <c r="D428" s="28">
        <v>2663</v>
      </c>
      <c r="E428" s="2" t="str">
        <f t="shared" si="14"/>
        <v>Same</v>
      </c>
      <c r="F428" s="6" t="s">
        <v>1866</v>
      </c>
      <c r="G428" s="3">
        <v>41.25</v>
      </c>
      <c r="H428" s="2" t="s">
        <v>422</v>
      </c>
      <c r="I428" s="4">
        <f>[1]Sheet1!I428</f>
        <v>2707</v>
      </c>
      <c r="J428" s="3" t="str">
        <f t="shared" si="13"/>
        <v>2663_A1C1.webp</v>
      </c>
      <c r="K428" s="5">
        <f>Sheet4!E428</f>
        <v>24</v>
      </c>
      <c r="L428" s="5"/>
      <c r="M428" s="4"/>
    </row>
    <row r="429" spans="1:13" x14ac:dyDescent="0.25">
      <c r="A429" t="s">
        <v>2944</v>
      </c>
      <c r="B429" t="s">
        <v>2945</v>
      </c>
      <c r="C429" s="25">
        <v>2664</v>
      </c>
      <c r="D429" s="28">
        <v>2664</v>
      </c>
      <c r="E429" s="2" t="str">
        <f t="shared" si="14"/>
        <v>Same</v>
      </c>
      <c r="F429" s="6" t="s">
        <v>1866</v>
      </c>
      <c r="G429" s="3">
        <v>20.65</v>
      </c>
      <c r="H429" s="2" t="s">
        <v>423</v>
      </c>
      <c r="I429" s="4">
        <f>[1]Sheet1!I429</f>
        <v>511</v>
      </c>
      <c r="J429" s="3" t="str">
        <f t="shared" si="13"/>
        <v>2664_A1C1.webp</v>
      </c>
      <c r="K429" s="5">
        <f>Sheet4!E429</f>
        <v>12</v>
      </c>
      <c r="L429" s="5"/>
      <c r="M429" s="4"/>
    </row>
    <row r="430" spans="1:13" x14ac:dyDescent="0.25">
      <c r="A430" t="s">
        <v>2944</v>
      </c>
      <c r="B430" t="s">
        <v>2945</v>
      </c>
      <c r="C430" s="25">
        <v>2665</v>
      </c>
      <c r="D430" s="28">
        <v>2665</v>
      </c>
      <c r="E430" s="2" t="str">
        <f t="shared" si="14"/>
        <v>Same</v>
      </c>
      <c r="F430" s="6" t="s">
        <v>1866</v>
      </c>
      <c r="G430" s="3">
        <v>41.25</v>
      </c>
      <c r="H430" s="2" t="s">
        <v>424</v>
      </c>
      <c r="I430" s="4">
        <f>[1]Sheet1!I430</f>
        <v>636</v>
      </c>
      <c r="J430" s="3" t="str">
        <f t="shared" si="13"/>
        <v>2665_A1C1.webp</v>
      </c>
      <c r="K430" s="5">
        <f>Sheet4!E430</f>
        <v>24</v>
      </c>
      <c r="L430" s="5"/>
      <c r="M430" s="4"/>
    </row>
    <row r="431" spans="1:13" x14ac:dyDescent="0.25">
      <c r="A431" t="s">
        <v>2944</v>
      </c>
      <c r="B431" t="s">
        <v>2945</v>
      </c>
      <c r="C431" s="25">
        <v>2666</v>
      </c>
      <c r="D431" s="28">
        <v>2666</v>
      </c>
      <c r="E431" s="2" t="str">
        <f t="shared" si="14"/>
        <v>Same</v>
      </c>
      <c r="F431" s="6" t="s">
        <v>1866</v>
      </c>
      <c r="G431" s="3">
        <v>41.25</v>
      </c>
      <c r="H431" s="2" t="s">
        <v>425</v>
      </c>
      <c r="I431" s="4">
        <f>[1]Sheet1!I431</f>
        <v>1839</v>
      </c>
      <c r="J431" s="3" t="str">
        <f t="shared" si="13"/>
        <v>2666_A1C1.webp</v>
      </c>
      <c r="K431" s="5">
        <f>Sheet4!E431</f>
        <v>24</v>
      </c>
      <c r="L431" s="5"/>
      <c r="M431" s="4"/>
    </row>
    <row r="432" spans="1:13" x14ac:dyDescent="0.25">
      <c r="A432" t="s">
        <v>2944</v>
      </c>
      <c r="B432" t="s">
        <v>2945</v>
      </c>
      <c r="C432" s="25">
        <v>2667</v>
      </c>
      <c r="D432" s="28">
        <v>2667</v>
      </c>
      <c r="E432" s="2" t="str">
        <f t="shared" si="14"/>
        <v>Same</v>
      </c>
      <c r="F432" s="6" t="s">
        <v>1866</v>
      </c>
      <c r="G432" s="3">
        <v>20.65</v>
      </c>
      <c r="H432" s="2" t="s">
        <v>426</v>
      </c>
      <c r="I432" s="4">
        <f>[1]Sheet1!I432</f>
        <v>957</v>
      </c>
      <c r="J432" s="3" t="str">
        <f t="shared" si="13"/>
        <v>2667_A1C1.webp</v>
      </c>
      <c r="K432" s="5">
        <f>Sheet4!E432</f>
        <v>12</v>
      </c>
      <c r="L432" s="5"/>
      <c r="M432" s="4"/>
    </row>
    <row r="433" spans="1:13" x14ac:dyDescent="0.25">
      <c r="A433" t="s">
        <v>2944</v>
      </c>
      <c r="B433" t="s">
        <v>2945</v>
      </c>
      <c r="C433" s="25">
        <v>2668</v>
      </c>
      <c r="D433" s="28">
        <v>2668</v>
      </c>
      <c r="E433" s="2" t="str">
        <f t="shared" si="14"/>
        <v>Same</v>
      </c>
      <c r="F433" s="6" t="s">
        <v>1866</v>
      </c>
      <c r="G433" s="3">
        <v>20.65</v>
      </c>
      <c r="H433" s="2" t="s">
        <v>427</v>
      </c>
      <c r="I433" s="4">
        <f>[1]Sheet1!I433</f>
        <v>1299</v>
      </c>
      <c r="J433" s="3" t="str">
        <f t="shared" si="13"/>
        <v>2668_A1C1.webp</v>
      </c>
      <c r="K433" s="5">
        <f>Sheet4!E433</f>
        <v>12</v>
      </c>
      <c r="L433" s="5"/>
      <c r="M433" s="4"/>
    </row>
    <row r="434" spans="1:13" x14ac:dyDescent="0.25">
      <c r="A434" t="s">
        <v>2944</v>
      </c>
      <c r="B434" t="s">
        <v>2945</v>
      </c>
      <c r="C434" s="25">
        <v>2669</v>
      </c>
      <c r="D434" s="28">
        <v>2669</v>
      </c>
      <c r="E434" s="2" t="str">
        <f t="shared" si="14"/>
        <v>Same</v>
      </c>
      <c r="F434" s="6" t="s">
        <v>1866</v>
      </c>
      <c r="G434" s="3">
        <v>20.65</v>
      </c>
      <c r="H434" s="2" t="s">
        <v>428</v>
      </c>
      <c r="I434" s="4">
        <f>[1]Sheet1!I434</f>
        <v>161</v>
      </c>
      <c r="J434" s="3" t="str">
        <f t="shared" si="13"/>
        <v>2669_A1C1.webp</v>
      </c>
      <c r="K434" s="5">
        <f>Sheet4!E434</f>
        <v>12</v>
      </c>
      <c r="L434" s="5"/>
      <c r="M434" s="4"/>
    </row>
    <row r="435" spans="1:13" x14ac:dyDescent="0.25">
      <c r="A435" t="s">
        <v>2671</v>
      </c>
      <c r="B435" t="s">
        <v>2944</v>
      </c>
      <c r="C435" s="25">
        <v>2670</v>
      </c>
      <c r="D435" s="28">
        <v>2670</v>
      </c>
      <c r="E435" s="2" t="str">
        <f t="shared" si="14"/>
        <v>Same</v>
      </c>
      <c r="F435" s="6" t="s">
        <v>1866</v>
      </c>
      <c r="G435" s="3">
        <v>107.5</v>
      </c>
      <c r="H435" s="2" t="s">
        <v>429</v>
      </c>
      <c r="I435" s="4">
        <f>[1]Sheet1!I435</f>
        <v>527</v>
      </c>
      <c r="J435" s="3" t="str">
        <f t="shared" si="13"/>
        <v>2670_A1C1.webp</v>
      </c>
      <c r="K435" s="5">
        <f>Sheet4!E435</f>
        <v>72</v>
      </c>
      <c r="L435" s="5"/>
      <c r="M435" s="4"/>
    </row>
    <row r="436" spans="1:13" x14ac:dyDescent="0.25">
      <c r="A436" t="s">
        <v>2944</v>
      </c>
      <c r="B436" t="s">
        <v>3119</v>
      </c>
      <c r="C436" s="25">
        <v>2672</v>
      </c>
      <c r="D436" s="28">
        <v>2672</v>
      </c>
      <c r="E436" s="2" t="str">
        <f t="shared" si="14"/>
        <v>Same</v>
      </c>
      <c r="F436" s="6" t="s">
        <v>1873</v>
      </c>
      <c r="G436" s="3">
        <v>27.85</v>
      </c>
      <c r="H436" s="2" t="s">
        <v>430</v>
      </c>
      <c r="I436" s="4">
        <f>[1]Sheet1!I436</f>
        <v>95</v>
      </c>
      <c r="J436" s="3" t="str">
        <f t="shared" si="13"/>
        <v>2672_A1C1.webp</v>
      </c>
      <c r="K436" s="5">
        <f>Sheet4!E436</f>
        <v>12</v>
      </c>
      <c r="L436" s="5"/>
      <c r="M436" s="4"/>
    </row>
    <row r="437" spans="1:13" x14ac:dyDescent="0.25">
      <c r="A437" t="s">
        <v>2944</v>
      </c>
      <c r="B437" t="s">
        <v>3119</v>
      </c>
      <c r="C437" s="25">
        <v>2674</v>
      </c>
      <c r="D437" s="28">
        <v>2674</v>
      </c>
      <c r="E437" s="2" t="str">
        <f t="shared" si="14"/>
        <v>Same</v>
      </c>
      <c r="F437" s="6" t="s">
        <v>1873</v>
      </c>
      <c r="G437" s="3">
        <v>27.85</v>
      </c>
      <c r="H437" s="2" t="s">
        <v>431</v>
      </c>
      <c r="I437" s="4">
        <f>[1]Sheet1!I437</f>
        <v>153</v>
      </c>
      <c r="J437" s="3" t="str">
        <f t="shared" si="13"/>
        <v>2674_A1C1.webp</v>
      </c>
      <c r="K437" s="5">
        <f>Sheet4!E437</f>
        <v>12</v>
      </c>
      <c r="L437" s="5"/>
      <c r="M437" s="4"/>
    </row>
    <row r="438" spans="1:13" x14ac:dyDescent="0.25">
      <c r="A438" t="s">
        <v>2944</v>
      </c>
      <c r="B438" t="s">
        <v>2945</v>
      </c>
      <c r="C438" s="25">
        <v>2675</v>
      </c>
      <c r="D438" s="28">
        <v>2675</v>
      </c>
      <c r="E438" s="2" t="str">
        <f t="shared" si="14"/>
        <v>Same</v>
      </c>
      <c r="F438" s="6" t="s">
        <v>1866</v>
      </c>
      <c r="G438" s="3">
        <v>20.65</v>
      </c>
      <c r="H438" s="2" t="s">
        <v>432</v>
      </c>
      <c r="I438" s="4">
        <f>[1]Sheet1!I438</f>
        <v>3640</v>
      </c>
      <c r="J438" s="3" t="str">
        <f t="shared" si="13"/>
        <v>2675_A1C1.webp</v>
      </c>
      <c r="K438" s="5">
        <f>Sheet4!E438</f>
        <v>12</v>
      </c>
      <c r="L438" s="5"/>
      <c r="M438" s="4"/>
    </row>
    <row r="439" spans="1:13" x14ac:dyDescent="0.25">
      <c r="A439" t="s">
        <v>2944</v>
      </c>
      <c r="B439" t="s">
        <v>3106</v>
      </c>
      <c r="C439" s="25">
        <v>2677</v>
      </c>
      <c r="D439" s="28">
        <v>2677</v>
      </c>
      <c r="E439" s="2" t="str">
        <f t="shared" si="14"/>
        <v>Same</v>
      </c>
      <c r="F439" s="6" t="s">
        <v>1866</v>
      </c>
      <c r="G439" s="3">
        <v>20.65</v>
      </c>
      <c r="H439" s="2" t="s">
        <v>433</v>
      </c>
      <c r="I439" s="4">
        <f>[1]Sheet1!I439</f>
        <v>2158</v>
      </c>
      <c r="J439" s="3" t="str">
        <f t="shared" si="13"/>
        <v>2677_A1C1.webp</v>
      </c>
      <c r="K439" s="5">
        <f>Sheet4!E439</f>
        <v>12</v>
      </c>
      <c r="L439" s="5"/>
      <c r="M439" s="4"/>
    </row>
    <row r="440" spans="1:13" x14ac:dyDescent="0.25">
      <c r="A440" t="s">
        <v>2944</v>
      </c>
      <c r="B440" t="s">
        <v>3106</v>
      </c>
      <c r="C440" s="25">
        <v>2679</v>
      </c>
      <c r="D440" s="28">
        <v>2679</v>
      </c>
      <c r="E440" s="2" t="str">
        <f t="shared" si="14"/>
        <v>Same</v>
      </c>
      <c r="F440" s="6" t="s">
        <v>1866</v>
      </c>
      <c r="G440" s="3">
        <v>20.65</v>
      </c>
      <c r="H440" s="2" t="s">
        <v>434</v>
      </c>
      <c r="I440" s="4">
        <f>[1]Sheet1!I440</f>
        <v>757</v>
      </c>
      <c r="J440" s="3" t="str">
        <f t="shared" si="13"/>
        <v>2679_A1C1.webp</v>
      </c>
      <c r="K440" s="5">
        <f>Sheet4!E440</f>
        <v>12</v>
      </c>
      <c r="L440" s="5"/>
      <c r="M440" s="4"/>
    </row>
    <row r="441" spans="1:13" x14ac:dyDescent="0.25">
      <c r="A441" t="s">
        <v>2944</v>
      </c>
      <c r="B441" t="s">
        <v>3119</v>
      </c>
      <c r="C441" s="25">
        <v>2680</v>
      </c>
      <c r="D441" s="28">
        <v>2680</v>
      </c>
      <c r="E441" s="2" t="str">
        <f t="shared" si="14"/>
        <v>Same</v>
      </c>
      <c r="F441" s="6" t="s">
        <v>1873</v>
      </c>
      <c r="G441" s="3">
        <v>27.85</v>
      </c>
      <c r="H441" s="2" t="s">
        <v>435</v>
      </c>
      <c r="I441" s="4">
        <f>[1]Sheet1!I441</f>
        <v>117</v>
      </c>
      <c r="J441" s="3" t="str">
        <f t="shared" si="13"/>
        <v>2680_A1C1.webp</v>
      </c>
      <c r="K441" s="5">
        <f>Sheet4!E441</f>
        <v>12</v>
      </c>
      <c r="L441" s="5"/>
      <c r="M441" s="4"/>
    </row>
    <row r="442" spans="1:13" x14ac:dyDescent="0.25">
      <c r="A442" t="s">
        <v>2944</v>
      </c>
      <c r="B442" t="s">
        <v>3106</v>
      </c>
      <c r="C442" s="25">
        <v>2682</v>
      </c>
      <c r="D442" s="28">
        <v>2682</v>
      </c>
      <c r="E442" s="2" t="str">
        <f t="shared" si="14"/>
        <v>Same</v>
      </c>
      <c r="F442" s="6" t="s">
        <v>1905</v>
      </c>
      <c r="G442" s="3">
        <v>34.65</v>
      </c>
      <c r="H442" s="2" t="s">
        <v>436</v>
      </c>
      <c r="I442" s="4">
        <f>[1]Sheet1!I442</f>
        <v>12812</v>
      </c>
      <c r="J442" s="3" t="str">
        <f t="shared" si="13"/>
        <v>2682_A1C1.webp</v>
      </c>
      <c r="K442" s="5">
        <f>Sheet4!E442</f>
        <v>8</v>
      </c>
      <c r="L442" s="5"/>
      <c r="M442" s="4"/>
    </row>
    <row r="443" spans="1:13" x14ac:dyDescent="0.25">
      <c r="A443" t="s">
        <v>2671</v>
      </c>
      <c r="B443" t="s">
        <v>2944</v>
      </c>
      <c r="C443" s="25">
        <v>2683</v>
      </c>
      <c r="D443" s="28">
        <v>2683</v>
      </c>
      <c r="E443" s="2" t="str">
        <f t="shared" si="14"/>
        <v>Same</v>
      </c>
      <c r="F443" s="6" t="s">
        <v>1866</v>
      </c>
      <c r="G443" s="3">
        <v>574.95000000000005</v>
      </c>
      <c r="H443" s="2" t="s">
        <v>437</v>
      </c>
      <c r="I443" s="4">
        <f>[1]Sheet1!I443</f>
        <v>47</v>
      </c>
      <c r="J443" s="3" t="str">
        <f t="shared" si="13"/>
        <v>2683_A1C1.webp</v>
      </c>
      <c r="K443" s="5">
        <f>Sheet4!E443</f>
        <v>384</v>
      </c>
      <c r="L443" s="5"/>
      <c r="M443" s="4"/>
    </row>
    <row r="444" spans="1:13" x14ac:dyDescent="0.25">
      <c r="A444" t="s">
        <v>2671</v>
      </c>
      <c r="B444" t="s">
        <v>2944</v>
      </c>
      <c r="C444" s="25">
        <v>2684</v>
      </c>
      <c r="D444" s="28">
        <v>2684</v>
      </c>
      <c r="E444" s="2" t="str">
        <f t="shared" si="14"/>
        <v>Same</v>
      </c>
      <c r="F444" s="6" t="s">
        <v>1905</v>
      </c>
      <c r="G444" s="3">
        <v>117.5</v>
      </c>
      <c r="H444" s="2" t="s">
        <v>438</v>
      </c>
      <c r="I444" s="4">
        <f>[1]Sheet1!I444</f>
        <v>45</v>
      </c>
      <c r="J444" s="3" t="str">
        <f t="shared" si="13"/>
        <v>2684_A1C1.webp</v>
      </c>
      <c r="K444" s="5">
        <f>Sheet4!E444</f>
        <v>27</v>
      </c>
      <c r="L444" s="5"/>
      <c r="M444" s="4"/>
    </row>
    <row r="445" spans="1:13" x14ac:dyDescent="0.25">
      <c r="A445" t="s">
        <v>2944</v>
      </c>
      <c r="B445" t="s">
        <v>3106</v>
      </c>
      <c r="C445" s="25">
        <v>2685</v>
      </c>
      <c r="D445" s="28">
        <v>2685</v>
      </c>
      <c r="E445" s="2" t="str">
        <f t="shared" si="14"/>
        <v>Same</v>
      </c>
      <c r="F445" s="6" t="s">
        <v>1882</v>
      </c>
      <c r="G445" s="3">
        <v>40.35</v>
      </c>
      <c r="H445" s="2" t="s">
        <v>439</v>
      </c>
      <c r="I445" s="4">
        <f>[1]Sheet1!I445</f>
        <v>3645</v>
      </c>
      <c r="J445" s="3" t="str">
        <f t="shared" si="13"/>
        <v>2685_A1C1.webp</v>
      </c>
      <c r="K445" s="5">
        <f>Sheet4!E445</f>
        <v>18</v>
      </c>
      <c r="L445" s="5"/>
      <c r="M445" s="4"/>
    </row>
    <row r="446" spans="1:13" x14ac:dyDescent="0.25">
      <c r="A446" t="s">
        <v>2671</v>
      </c>
      <c r="B446" t="s">
        <v>2944</v>
      </c>
      <c r="C446" s="25">
        <v>2688</v>
      </c>
      <c r="D446" s="28">
        <v>2688</v>
      </c>
      <c r="E446" s="2" t="str">
        <f t="shared" si="14"/>
        <v>Same</v>
      </c>
      <c r="F446" s="6" t="s">
        <v>1866</v>
      </c>
      <c r="G446" s="3">
        <v>82.5</v>
      </c>
      <c r="H446" s="2" t="s">
        <v>440</v>
      </c>
      <c r="I446" s="4">
        <f>[1]Sheet1!I446</f>
        <v>56</v>
      </c>
      <c r="J446" s="3" t="str">
        <f t="shared" si="13"/>
        <v>2688_A1C1.webp</v>
      </c>
      <c r="K446" s="5">
        <f>Sheet4!E446</f>
        <v>48</v>
      </c>
      <c r="L446" s="5"/>
      <c r="M446" s="4"/>
    </row>
    <row r="447" spans="1:13" x14ac:dyDescent="0.25">
      <c r="A447" t="s">
        <v>2944</v>
      </c>
      <c r="B447" t="s">
        <v>3142</v>
      </c>
      <c r="C447" s="25">
        <v>2691</v>
      </c>
      <c r="D447" s="28">
        <v>2691</v>
      </c>
      <c r="E447" s="2" t="str">
        <f t="shared" si="14"/>
        <v>Same</v>
      </c>
      <c r="F447" s="6" t="s">
        <v>1847</v>
      </c>
      <c r="G447" s="3">
        <v>28.5</v>
      </c>
      <c r="H447" s="2" t="s">
        <v>441</v>
      </c>
      <c r="I447" s="4">
        <f>[1]Sheet1!I447</f>
        <v>0</v>
      </c>
      <c r="J447" s="3" t="str">
        <f t="shared" si="13"/>
        <v>2691_A1C1.webp</v>
      </c>
      <c r="K447" s="5">
        <f>Sheet4!E447</f>
        <v>8</v>
      </c>
      <c r="L447" s="5"/>
      <c r="M447" s="4"/>
    </row>
    <row r="448" spans="1:13" x14ac:dyDescent="0.25">
      <c r="A448" t="s">
        <v>2685</v>
      </c>
      <c r="B448" t="s">
        <v>3150</v>
      </c>
      <c r="C448" s="25">
        <v>2700</v>
      </c>
      <c r="D448" s="28">
        <v>2700</v>
      </c>
      <c r="E448" s="2" t="str">
        <f t="shared" si="14"/>
        <v>Same</v>
      </c>
      <c r="F448" s="6" t="s">
        <v>1913</v>
      </c>
      <c r="G448" s="3">
        <v>24.95</v>
      </c>
      <c r="H448" s="2" t="s">
        <v>442</v>
      </c>
      <c r="I448" s="4">
        <f>[1]Sheet1!I448</f>
        <v>1143</v>
      </c>
      <c r="J448" s="3" t="str">
        <f t="shared" si="13"/>
        <v>2700_A1C1.webp</v>
      </c>
      <c r="K448" s="5">
        <f>Sheet4!E448</f>
        <v>12</v>
      </c>
      <c r="L448" s="5"/>
      <c r="M448" s="4"/>
    </row>
    <row r="449" spans="1:13" x14ac:dyDescent="0.25">
      <c r="A449" t="s">
        <v>2944</v>
      </c>
      <c r="B449" t="s">
        <v>3106</v>
      </c>
      <c r="C449" s="25">
        <v>2702</v>
      </c>
      <c r="D449" s="28">
        <v>2702</v>
      </c>
      <c r="E449" s="2" t="str">
        <f t="shared" si="14"/>
        <v>Same</v>
      </c>
      <c r="F449" s="6" t="s">
        <v>1866</v>
      </c>
      <c r="G449" s="3">
        <v>17.95</v>
      </c>
      <c r="H449" s="2" t="s">
        <v>443</v>
      </c>
      <c r="I449" s="4">
        <f>[1]Sheet1!I449</f>
        <v>4495</v>
      </c>
      <c r="J449" s="3" t="str">
        <f t="shared" si="13"/>
        <v>2702_A1C1.webp</v>
      </c>
      <c r="K449" s="5">
        <f>Sheet4!E449</f>
        <v>12</v>
      </c>
      <c r="L449" s="5"/>
      <c r="M449" s="4"/>
    </row>
    <row r="450" spans="1:13" x14ac:dyDescent="0.25">
      <c r="A450" t="s">
        <v>2685</v>
      </c>
      <c r="B450" t="s">
        <v>3154</v>
      </c>
      <c r="C450" s="25">
        <v>2703</v>
      </c>
      <c r="D450" s="28">
        <v>2703</v>
      </c>
      <c r="E450" s="2" t="str">
        <f t="shared" si="14"/>
        <v>Same</v>
      </c>
      <c r="F450" s="6" t="s">
        <v>1914</v>
      </c>
      <c r="G450" s="3">
        <v>26.95</v>
      </c>
      <c r="H450" s="2" t="s">
        <v>444</v>
      </c>
      <c r="I450" s="4">
        <f>[1]Sheet1!I450</f>
        <v>18</v>
      </c>
      <c r="J450" s="3" t="str">
        <f t="shared" ref="J450:J513" si="15">C450 &amp; "_A1C1.webp"</f>
        <v>2703_A1C1.webp</v>
      </c>
      <c r="K450" s="5">
        <f>Sheet4!E450</f>
        <v>12</v>
      </c>
      <c r="L450" s="5"/>
      <c r="M450" s="4"/>
    </row>
    <row r="451" spans="1:13" x14ac:dyDescent="0.25">
      <c r="A451" t="s">
        <v>2685</v>
      </c>
      <c r="B451" t="s">
        <v>3150</v>
      </c>
      <c r="C451" s="25">
        <v>2704</v>
      </c>
      <c r="D451" s="28">
        <v>2704</v>
      </c>
      <c r="E451" s="2" t="str">
        <f t="shared" si="14"/>
        <v>Same</v>
      </c>
      <c r="F451" s="6" t="s">
        <v>1913</v>
      </c>
      <c r="G451" s="3">
        <v>24.95</v>
      </c>
      <c r="H451" s="2" t="s">
        <v>445</v>
      </c>
      <c r="I451" s="4">
        <f>[1]Sheet1!I451</f>
        <v>986</v>
      </c>
      <c r="J451" s="3" t="str">
        <f t="shared" si="15"/>
        <v>2704_A1C1.webp</v>
      </c>
      <c r="K451" s="5">
        <f>Sheet4!E451</f>
        <v>12</v>
      </c>
      <c r="L451" s="5"/>
      <c r="M451" s="4"/>
    </row>
    <row r="452" spans="1:13" x14ac:dyDescent="0.25">
      <c r="A452" t="s">
        <v>2685</v>
      </c>
      <c r="B452" t="s">
        <v>3154</v>
      </c>
      <c r="C452" s="25">
        <v>2705</v>
      </c>
      <c r="D452" s="28">
        <v>2705</v>
      </c>
      <c r="E452" s="2" t="str">
        <f t="shared" si="14"/>
        <v>Same</v>
      </c>
      <c r="F452" s="6" t="s">
        <v>1914</v>
      </c>
      <c r="G452" s="3">
        <v>26.95</v>
      </c>
      <c r="H452" s="2" t="s">
        <v>446</v>
      </c>
      <c r="I452" s="4">
        <f>[1]Sheet1!I452</f>
        <v>0</v>
      </c>
      <c r="J452" s="3" t="str">
        <f t="shared" si="15"/>
        <v>2705_A1C1.webp</v>
      </c>
      <c r="K452" s="5">
        <f>Sheet4!E452</f>
        <v>12</v>
      </c>
      <c r="M452" s="4"/>
    </row>
    <row r="453" spans="1:13" x14ac:dyDescent="0.25">
      <c r="A453" t="s">
        <v>2671</v>
      </c>
      <c r="B453" t="s">
        <v>2944</v>
      </c>
      <c r="C453" s="25">
        <v>2706</v>
      </c>
      <c r="D453" s="28">
        <v>2706</v>
      </c>
      <c r="E453" s="2" t="str">
        <f t="shared" si="14"/>
        <v>Same</v>
      </c>
      <c r="F453" s="6" t="s">
        <v>1866</v>
      </c>
      <c r="G453" s="3">
        <v>82.5</v>
      </c>
      <c r="H453" s="2" t="s">
        <v>447</v>
      </c>
      <c r="I453" s="4">
        <f>[1]Sheet1!I453</f>
        <v>68</v>
      </c>
      <c r="J453" s="3" t="str">
        <f t="shared" si="15"/>
        <v>2706_A1C1.webp</v>
      </c>
      <c r="K453" s="5">
        <f>Sheet4!E453</f>
        <v>48</v>
      </c>
      <c r="L453" s="5" t="s">
        <v>5278</v>
      </c>
      <c r="M453" s="4"/>
    </row>
    <row r="454" spans="1:13" x14ac:dyDescent="0.25">
      <c r="A454" t="s">
        <v>2685</v>
      </c>
      <c r="B454" t="s">
        <v>3159</v>
      </c>
      <c r="C454" s="25">
        <v>2707</v>
      </c>
      <c r="D454" s="28">
        <v>2707</v>
      </c>
      <c r="E454" s="2" t="str">
        <f t="shared" ref="E454:E517" si="16">IF(C454=D454, "Same","New")</f>
        <v>Same</v>
      </c>
      <c r="F454" s="6" t="s">
        <v>1913</v>
      </c>
      <c r="G454" s="3">
        <v>31.5</v>
      </c>
      <c r="H454" s="2" t="s">
        <v>448</v>
      </c>
      <c r="I454" s="4">
        <f>[1]Sheet1!I454</f>
        <v>127</v>
      </c>
      <c r="J454" s="3" t="str">
        <f t="shared" si="15"/>
        <v>2707_A1C1.webp</v>
      </c>
      <c r="K454" s="5">
        <f>Sheet4!E454</f>
        <v>12</v>
      </c>
      <c r="L454" s="5"/>
      <c r="M454" s="4"/>
    </row>
    <row r="455" spans="1:13" x14ac:dyDescent="0.25">
      <c r="A455" t="s">
        <v>2685</v>
      </c>
      <c r="B455" t="s">
        <v>3159</v>
      </c>
      <c r="C455" s="25">
        <v>2708</v>
      </c>
      <c r="D455" s="28">
        <v>2708</v>
      </c>
      <c r="E455" s="2" t="str">
        <f t="shared" si="16"/>
        <v>Same</v>
      </c>
      <c r="F455" s="6" t="s">
        <v>1913</v>
      </c>
      <c r="G455" s="3">
        <v>31.5</v>
      </c>
      <c r="H455" s="2" t="s">
        <v>449</v>
      </c>
      <c r="I455" s="4">
        <f>[1]Sheet1!I455</f>
        <v>601</v>
      </c>
      <c r="J455" s="3" t="str">
        <f t="shared" si="15"/>
        <v>2708_A1C1.webp</v>
      </c>
      <c r="K455" s="5">
        <f>Sheet4!E455</f>
        <v>12</v>
      </c>
      <c r="L455" s="5"/>
      <c r="M455" s="4"/>
    </row>
    <row r="456" spans="1:13" x14ac:dyDescent="0.25">
      <c r="A456" t="s">
        <v>2685</v>
      </c>
      <c r="B456" t="s">
        <v>3159</v>
      </c>
      <c r="C456" s="25">
        <v>2709</v>
      </c>
      <c r="D456" s="28">
        <v>2709</v>
      </c>
      <c r="E456" s="2" t="str">
        <f t="shared" si="16"/>
        <v>Same</v>
      </c>
      <c r="F456" s="6" t="s">
        <v>1913</v>
      </c>
      <c r="G456" s="3">
        <v>31.5</v>
      </c>
      <c r="H456" s="2" t="s">
        <v>450</v>
      </c>
      <c r="I456" s="4">
        <f>[1]Sheet1!I456</f>
        <v>53</v>
      </c>
      <c r="J456" s="3" t="str">
        <f t="shared" si="15"/>
        <v>2709_A1C1.webp</v>
      </c>
      <c r="K456" s="5">
        <f>Sheet4!E456</f>
        <v>12</v>
      </c>
      <c r="L456" s="5"/>
      <c r="M456" s="4"/>
    </row>
    <row r="457" spans="1:13" x14ac:dyDescent="0.25">
      <c r="A457" t="s">
        <v>2685</v>
      </c>
      <c r="B457" t="s">
        <v>3159</v>
      </c>
      <c r="C457" s="25">
        <v>2710</v>
      </c>
      <c r="D457" s="28">
        <v>2710</v>
      </c>
      <c r="E457" s="2" t="str">
        <f t="shared" si="16"/>
        <v>Same</v>
      </c>
      <c r="F457" s="6" t="s">
        <v>1913</v>
      </c>
      <c r="G457" s="3">
        <v>31.5</v>
      </c>
      <c r="H457" s="2" t="s">
        <v>451</v>
      </c>
      <c r="I457" s="4">
        <f>[1]Sheet1!I457</f>
        <v>5</v>
      </c>
      <c r="J457" s="3" t="str">
        <f t="shared" si="15"/>
        <v>2710_A1C1.webp</v>
      </c>
      <c r="K457" s="5">
        <f>Sheet4!E457</f>
        <v>12</v>
      </c>
      <c r="L457" s="5"/>
      <c r="M457" s="4"/>
    </row>
    <row r="458" spans="1:13" x14ac:dyDescent="0.25">
      <c r="A458" t="s">
        <v>2685</v>
      </c>
      <c r="B458" t="s">
        <v>3162</v>
      </c>
      <c r="C458" s="25">
        <v>2711</v>
      </c>
      <c r="D458" s="28">
        <v>2711</v>
      </c>
      <c r="E458" s="2" t="str">
        <f t="shared" si="16"/>
        <v>Same</v>
      </c>
      <c r="F458" s="6" t="s">
        <v>1915</v>
      </c>
      <c r="G458">
        <v>18.5</v>
      </c>
      <c r="H458" s="2" t="s">
        <v>452</v>
      </c>
      <c r="I458" s="4">
        <f>[1]Sheet1!I458</f>
        <v>46</v>
      </c>
      <c r="J458" s="3" t="str">
        <f t="shared" si="15"/>
        <v>2711_A1C1.webp</v>
      </c>
      <c r="K458" s="5">
        <f>Sheet4!E458</f>
        <v>24</v>
      </c>
      <c r="L458" s="5"/>
      <c r="M458" s="4"/>
    </row>
    <row r="459" spans="1:13" x14ac:dyDescent="0.25">
      <c r="A459" t="s">
        <v>2685</v>
      </c>
      <c r="B459" t="s">
        <v>3159</v>
      </c>
      <c r="C459" s="25">
        <v>2713</v>
      </c>
      <c r="D459" s="28">
        <v>2713</v>
      </c>
      <c r="E459" s="2" t="str">
        <f t="shared" si="16"/>
        <v>Same</v>
      </c>
      <c r="F459" s="6" t="s">
        <v>1913</v>
      </c>
      <c r="G459" s="3">
        <v>31.5</v>
      </c>
      <c r="H459" s="2" t="s">
        <v>453</v>
      </c>
      <c r="I459" s="4">
        <f>[1]Sheet1!I459</f>
        <v>40</v>
      </c>
      <c r="J459" s="3" t="str">
        <f t="shared" si="15"/>
        <v>2713_A1C1.webp</v>
      </c>
      <c r="K459" s="5">
        <f>Sheet4!E459</f>
        <v>12</v>
      </c>
      <c r="L459" s="5"/>
      <c r="M459" s="4"/>
    </row>
    <row r="460" spans="1:13" x14ac:dyDescent="0.25">
      <c r="A460" t="s">
        <v>2685</v>
      </c>
      <c r="B460" t="s">
        <v>3159</v>
      </c>
      <c r="C460" s="25">
        <v>2714</v>
      </c>
      <c r="D460" s="28">
        <v>2714</v>
      </c>
      <c r="E460" s="2" t="str">
        <f t="shared" si="16"/>
        <v>Same</v>
      </c>
      <c r="F460" s="6" t="s">
        <v>1913</v>
      </c>
      <c r="G460" s="3">
        <v>31.5</v>
      </c>
      <c r="H460" s="2" t="s">
        <v>454</v>
      </c>
      <c r="I460" s="4">
        <f>[1]Sheet1!I460</f>
        <v>207</v>
      </c>
      <c r="J460" s="3" t="str">
        <f t="shared" si="15"/>
        <v>2714_A1C1.webp</v>
      </c>
      <c r="K460" s="5">
        <f>Sheet4!E460</f>
        <v>12</v>
      </c>
      <c r="L460" s="5"/>
      <c r="M460" s="4"/>
    </row>
    <row r="461" spans="1:13" x14ac:dyDescent="0.25">
      <c r="A461" t="s">
        <v>2685</v>
      </c>
      <c r="B461" t="s">
        <v>3166</v>
      </c>
      <c r="C461" s="25">
        <v>2715</v>
      </c>
      <c r="D461" s="28">
        <v>2715</v>
      </c>
      <c r="E461" s="2" t="str">
        <f t="shared" si="16"/>
        <v>Same</v>
      </c>
      <c r="F461" s="6" t="s">
        <v>1847</v>
      </c>
      <c r="G461">
        <v>19.95</v>
      </c>
      <c r="H461" s="2" t="s">
        <v>455</v>
      </c>
      <c r="I461" s="4">
        <f>[1]Sheet1!I461</f>
        <v>6</v>
      </c>
      <c r="J461" s="3" t="str">
        <f t="shared" si="15"/>
        <v>2715_A1C1.webp</v>
      </c>
      <c r="K461" s="5">
        <f>Sheet4!E461</f>
        <v>48</v>
      </c>
      <c r="L461" s="5"/>
      <c r="M461" s="4"/>
    </row>
    <row r="462" spans="1:13" x14ac:dyDescent="0.25">
      <c r="A462" t="s">
        <v>2685</v>
      </c>
      <c r="B462" t="s">
        <v>3162</v>
      </c>
      <c r="C462" s="25">
        <v>2716</v>
      </c>
      <c r="D462" s="28">
        <v>2716</v>
      </c>
      <c r="E462" s="2" t="str">
        <f t="shared" si="16"/>
        <v>Same</v>
      </c>
      <c r="F462" s="6" t="s">
        <v>1915</v>
      </c>
      <c r="G462">
        <v>18.5</v>
      </c>
      <c r="H462" s="2" t="s">
        <v>456</v>
      </c>
      <c r="I462" s="4">
        <f>[1]Sheet1!I462</f>
        <v>256</v>
      </c>
      <c r="J462" s="3" t="str">
        <f t="shared" si="15"/>
        <v>2716_A1C1.webp</v>
      </c>
      <c r="K462" s="5">
        <f>Sheet4!E462</f>
        <v>24</v>
      </c>
      <c r="L462" s="5"/>
      <c r="M462" s="4"/>
    </row>
    <row r="463" spans="1:13" x14ac:dyDescent="0.25">
      <c r="A463" t="s">
        <v>2685</v>
      </c>
      <c r="B463" t="s">
        <v>3166</v>
      </c>
      <c r="C463" s="25">
        <v>2717</v>
      </c>
      <c r="D463" s="28">
        <v>2717</v>
      </c>
      <c r="E463" s="2" t="str">
        <f t="shared" si="16"/>
        <v>Same</v>
      </c>
      <c r="F463" s="6" t="s">
        <v>1847</v>
      </c>
      <c r="G463">
        <v>19.95</v>
      </c>
      <c r="H463" s="2" t="s">
        <v>457</v>
      </c>
      <c r="I463" s="4">
        <f>[1]Sheet1!I463</f>
        <v>16</v>
      </c>
      <c r="J463" s="3" t="str">
        <f t="shared" si="15"/>
        <v>2717_A1C1.webp</v>
      </c>
      <c r="K463" s="5">
        <f>Sheet4!E463</f>
        <v>48</v>
      </c>
      <c r="L463" s="5"/>
      <c r="M463" s="4"/>
    </row>
    <row r="464" spans="1:13" x14ac:dyDescent="0.25">
      <c r="A464" t="s">
        <v>2685</v>
      </c>
      <c r="B464" t="s">
        <v>3162</v>
      </c>
      <c r="C464" s="25">
        <v>2718</v>
      </c>
      <c r="D464" s="28">
        <v>2718</v>
      </c>
      <c r="E464" s="2" t="str">
        <f t="shared" si="16"/>
        <v>Same</v>
      </c>
      <c r="F464" s="6" t="s">
        <v>1915</v>
      </c>
      <c r="G464">
        <v>18.5</v>
      </c>
      <c r="H464" s="2" t="s">
        <v>458</v>
      </c>
      <c r="I464" s="4">
        <f>[1]Sheet1!I464</f>
        <v>98</v>
      </c>
      <c r="J464" s="3" t="str">
        <f t="shared" si="15"/>
        <v>2718_A1C1.webp</v>
      </c>
      <c r="K464" s="5">
        <f>Sheet4!E464</f>
        <v>24</v>
      </c>
      <c r="L464" s="5"/>
      <c r="M464" s="4"/>
    </row>
    <row r="465" spans="1:13" x14ac:dyDescent="0.25">
      <c r="A465" t="s">
        <v>2685</v>
      </c>
      <c r="B465" t="s">
        <v>3162</v>
      </c>
      <c r="C465" s="25">
        <v>2720</v>
      </c>
      <c r="D465" s="28">
        <v>2720</v>
      </c>
      <c r="E465" s="2" t="str">
        <f t="shared" si="16"/>
        <v>Same</v>
      </c>
      <c r="F465" s="6" t="s">
        <v>1915</v>
      </c>
      <c r="G465">
        <v>18.5</v>
      </c>
      <c r="H465" s="2" t="s">
        <v>459</v>
      </c>
      <c r="I465" s="4">
        <f>[1]Sheet1!I465</f>
        <v>100</v>
      </c>
      <c r="J465" s="3" t="str">
        <f t="shared" si="15"/>
        <v>2720_A1C1.webp</v>
      </c>
      <c r="K465" s="5">
        <f>Sheet4!E465</f>
        <v>24</v>
      </c>
      <c r="L465" s="5"/>
      <c r="M465" s="4"/>
    </row>
    <row r="466" spans="1:13" x14ac:dyDescent="0.25">
      <c r="A466" t="s">
        <v>2685</v>
      </c>
      <c r="B466" t="s">
        <v>3172</v>
      </c>
      <c r="C466" s="25">
        <v>2721</v>
      </c>
      <c r="D466" s="28">
        <v>2721</v>
      </c>
      <c r="E466" s="2" t="str">
        <f t="shared" si="16"/>
        <v>Same</v>
      </c>
      <c r="F466" s="6" t="s">
        <v>1915</v>
      </c>
      <c r="G466">
        <v>18.5</v>
      </c>
      <c r="H466" s="2" t="s">
        <v>460</v>
      </c>
      <c r="I466" s="4">
        <f>[1]Sheet1!I466</f>
        <v>1435</v>
      </c>
      <c r="J466" s="3" t="str">
        <f t="shared" si="15"/>
        <v>2721_A1C1.webp</v>
      </c>
      <c r="K466" s="5">
        <f>Sheet4!E466</f>
        <v>24</v>
      </c>
      <c r="L466" s="5"/>
      <c r="M466" s="4"/>
    </row>
    <row r="467" spans="1:13" x14ac:dyDescent="0.25">
      <c r="A467" t="s">
        <v>2685</v>
      </c>
      <c r="B467" t="s">
        <v>3172</v>
      </c>
      <c r="C467" s="25">
        <v>2722</v>
      </c>
      <c r="D467" s="28">
        <v>2722</v>
      </c>
      <c r="E467" s="2" t="str">
        <f t="shared" si="16"/>
        <v>Same</v>
      </c>
      <c r="F467" s="6" t="s">
        <v>1915</v>
      </c>
      <c r="G467">
        <v>18.5</v>
      </c>
      <c r="H467" s="2" t="s">
        <v>461</v>
      </c>
      <c r="I467" s="4">
        <f>[1]Sheet1!I467</f>
        <v>772</v>
      </c>
      <c r="J467" s="3" t="str">
        <f t="shared" si="15"/>
        <v>2722_A1C1.webp</v>
      </c>
      <c r="K467" s="5">
        <f>Sheet4!E467</f>
        <v>24</v>
      </c>
      <c r="L467" s="5"/>
      <c r="M467" s="4"/>
    </row>
    <row r="468" spans="1:13" x14ac:dyDescent="0.25">
      <c r="A468" t="s">
        <v>2685</v>
      </c>
      <c r="B468" t="s">
        <v>3172</v>
      </c>
      <c r="C468" s="25">
        <v>2723</v>
      </c>
      <c r="D468" s="28">
        <v>2723</v>
      </c>
      <c r="E468" s="2" t="str">
        <f t="shared" si="16"/>
        <v>Same</v>
      </c>
      <c r="F468" s="6" t="s">
        <v>1915</v>
      </c>
      <c r="G468">
        <v>18.5</v>
      </c>
      <c r="H468" s="2" t="s">
        <v>462</v>
      </c>
      <c r="I468" s="4">
        <f>[1]Sheet1!I468</f>
        <v>145</v>
      </c>
      <c r="J468" s="3" t="str">
        <f t="shared" si="15"/>
        <v>2723_A1C1.webp</v>
      </c>
      <c r="K468" s="5">
        <f>Sheet4!E468</f>
        <v>24</v>
      </c>
      <c r="L468" s="5"/>
      <c r="M468" s="4"/>
    </row>
    <row r="469" spans="1:13" x14ac:dyDescent="0.25">
      <c r="A469" t="s">
        <v>2685</v>
      </c>
      <c r="B469" t="s">
        <v>3154</v>
      </c>
      <c r="C469" s="25">
        <v>2724</v>
      </c>
      <c r="D469" s="28">
        <v>2724</v>
      </c>
      <c r="E469" s="2" t="str">
        <f t="shared" si="16"/>
        <v>Same</v>
      </c>
      <c r="F469" s="6" t="s">
        <v>1914</v>
      </c>
      <c r="G469" s="3">
        <v>26.95</v>
      </c>
      <c r="H469" s="2" t="s">
        <v>463</v>
      </c>
      <c r="I469" s="4">
        <f>[1]Sheet1!I469</f>
        <v>8</v>
      </c>
      <c r="J469" s="3" t="str">
        <f t="shared" si="15"/>
        <v>2724_A1C1.webp</v>
      </c>
      <c r="K469" s="5">
        <f>Sheet4!E469</f>
        <v>12</v>
      </c>
      <c r="L469" s="5"/>
      <c r="M469" s="4"/>
    </row>
    <row r="470" spans="1:13" x14ac:dyDescent="0.25">
      <c r="A470" t="s">
        <v>2685</v>
      </c>
      <c r="B470" t="s">
        <v>3162</v>
      </c>
      <c r="C470" s="25">
        <v>2725</v>
      </c>
      <c r="D470" s="28">
        <v>2725</v>
      </c>
      <c r="E470" s="2" t="str">
        <f t="shared" si="16"/>
        <v>Same</v>
      </c>
      <c r="F470" s="6" t="s">
        <v>1915</v>
      </c>
      <c r="G470">
        <v>20.95</v>
      </c>
      <c r="H470" s="2" t="s">
        <v>464</v>
      </c>
      <c r="I470" s="4">
        <f>[1]Sheet1!I470</f>
        <v>66</v>
      </c>
      <c r="J470" s="3" t="str">
        <f t="shared" si="15"/>
        <v>2725_A1C1.webp</v>
      </c>
      <c r="K470" s="5">
        <f>Sheet4!E470</f>
        <v>24</v>
      </c>
      <c r="L470" s="5"/>
      <c r="M470" s="4"/>
    </row>
    <row r="471" spans="1:13" x14ac:dyDescent="0.25">
      <c r="A471" t="s">
        <v>2685</v>
      </c>
      <c r="B471" t="s">
        <v>3162</v>
      </c>
      <c r="C471" s="25">
        <v>2726</v>
      </c>
      <c r="D471" s="28">
        <v>2726</v>
      </c>
      <c r="E471" s="2" t="str">
        <f t="shared" si="16"/>
        <v>Same</v>
      </c>
      <c r="F471" s="6" t="s">
        <v>1915</v>
      </c>
      <c r="G471">
        <v>18.5</v>
      </c>
      <c r="H471" s="2" t="s">
        <v>465</v>
      </c>
      <c r="I471" s="4">
        <f>[1]Sheet1!I471</f>
        <v>178</v>
      </c>
      <c r="J471" s="3" t="str">
        <f t="shared" si="15"/>
        <v>2726_A1C1.webp</v>
      </c>
      <c r="K471" s="5">
        <f>Sheet4!E471</f>
        <v>24</v>
      </c>
      <c r="L471" s="5"/>
      <c r="M471" s="4"/>
    </row>
    <row r="472" spans="1:13" x14ac:dyDescent="0.25">
      <c r="A472" t="s">
        <v>2685</v>
      </c>
      <c r="B472" t="s">
        <v>3178</v>
      </c>
      <c r="C472" s="25">
        <v>2727</v>
      </c>
      <c r="D472" s="28">
        <v>2727</v>
      </c>
      <c r="E472" s="2" t="str">
        <f t="shared" si="16"/>
        <v>Same</v>
      </c>
      <c r="F472" s="6" t="s">
        <v>1914</v>
      </c>
      <c r="G472" s="3">
        <v>31.5</v>
      </c>
      <c r="H472" s="2" t="s">
        <v>466</v>
      </c>
      <c r="I472" s="4">
        <f>[1]Sheet1!I472</f>
        <v>33</v>
      </c>
      <c r="J472" s="3" t="str">
        <f t="shared" si="15"/>
        <v>2727_A1C1.webp</v>
      </c>
      <c r="K472" s="5">
        <f>Sheet4!E472</f>
        <v>12</v>
      </c>
      <c r="L472" s="5"/>
      <c r="M472" s="4"/>
    </row>
    <row r="473" spans="1:13" x14ac:dyDescent="0.25">
      <c r="A473" t="s">
        <v>2685</v>
      </c>
      <c r="B473" t="s">
        <v>5264</v>
      </c>
      <c r="C473" s="25">
        <v>2728</v>
      </c>
      <c r="D473" s="28">
        <v>2728</v>
      </c>
      <c r="E473" s="2" t="str">
        <f t="shared" si="16"/>
        <v>Same</v>
      </c>
      <c r="F473" s="6" t="s">
        <v>1913</v>
      </c>
      <c r="H473" s="2" t="s">
        <v>467</v>
      </c>
      <c r="I473" s="4">
        <f>[1]Sheet1!I473</f>
        <v>0</v>
      </c>
      <c r="J473" s="3" t="str">
        <f t="shared" si="15"/>
        <v>2728_A1C1.webp</v>
      </c>
      <c r="K473" s="5">
        <f>Sheet4!E473</f>
        <v>396</v>
      </c>
      <c r="L473" s="5"/>
      <c r="M473" s="4"/>
    </row>
    <row r="474" spans="1:13" x14ac:dyDescent="0.25">
      <c r="A474" t="s">
        <v>2685</v>
      </c>
      <c r="B474" t="s">
        <v>3159</v>
      </c>
      <c r="C474" s="25">
        <v>2729</v>
      </c>
      <c r="D474" s="28">
        <v>2729</v>
      </c>
      <c r="E474" s="2" t="str">
        <f t="shared" si="16"/>
        <v>Same</v>
      </c>
      <c r="F474" s="6" t="s">
        <v>1913</v>
      </c>
      <c r="G474" s="3">
        <v>31.5</v>
      </c>
      <c r="H474" s="2" t="s">
        <v>468</v>
      </c>
      <c r="I474" s="4">
        <f>[1]Sheet1!I474</f>
        <v>0</v>
      </c>
      <c r="J474" s="3" t="str">
        <f t="shared" si="15"/>
        <v>2729_A1C1.webp</v>
      </c>
      <c r="K474" s="5">
        <f>Sheet4!E474</f>
        <v>12</v>
      </c>
      <c r="L474" s="5"/>
      <c r="M474" s="4"/>
    </row>
    <row r="475" spans="1:13" x14ac:dyDescent="0.25">
      <c r="A475" t="s">
        <v>2685</v>
      </c>
      <c r="B475" t="s">
        <v>3162</v>
      </c>
      <c r="C475" s="25">
        <v>2730</v>
      </c>
      <c r="D475" s="28">
        <v>2730</v>
      </c>
      <c r="E475" s="2" t="str">
        <f t="shared" si="16"/>
        <v>Same</v>
      </c>
      <c r="F475" s="6" t="s">
        <v>1915</v>
      </c>
      <c r="G475">
        <v>18.5</v>
      </c>
      <c r="H475" s="2" t="s">
        <v>469</v>
      </c>
      <c r="I475" s="4">
        <f>[1]Sheet1!I475</f>
        <v>130</v>
      </c>
      <c r="J475" s="3" t="str">
        <f t="shared" si="15"/>
        <v>2730_A1C1.webp</v>
      </c>
      <c r="K475" s="5">
        <f>Sheet4!E475</f>
        <v>24</v>
      </c>
      <c r="L475" s="5"/>
      <c r="M475" s="4"/>
    </row>
    <row r="476" spans="1:13" x14ac:dyDescent="0.25">
      <c r="A476" t="s">
        <v>2685</v>
      </c>
      <c r="B476" t="s">
        <v>3178</v>
      </c>
      <c r="C476" s="25">
        <v>2731</v>
      </c>
      <c r="D476" s="28">
        <v>2731</v>
      </c>
      <c r="E476" s="2" t="str">
        <f t="shared" si="16"/>
        <v>Same</v>
      </c>
      <c r="F476" s="6" t="s">
        <v>1914</v>
      </c>
      <c r="G476" s="3">
        <v>26.95</v>
      </c>
      <c r="H476" s="2" t="s">
        <v>470</v>
      </c>
      <c r="I476" s="4">
        <f>[1]Sheet1!I476</f>
        <v>0</v>
      </c>
      <c r="J476" s="3" t="str">
        <f t="shared" si="15"/>
        <v>2731_A1C1.webp</v>
      </c>
      <c r="K476" s="5">
        <f>Sheet4!E476</f>
        <v>12</v>
      </c>
      <c r="L476" s="5"/>
      <c r="M476" s="4"/>
    </row>
    <row r="477" spans="1:13" x14ac:dyDescent="0.25">
      <c r="A477" t="s">
        <v>2685</v>
      </c>
      <c r="B477" t="s">
        <v>3178</v>
      </c>
      <c r="C477" s="25">
        <v>2732</v>
      </c>
      <c r="D477" s="28">
        <v>2732</v>
      </c>
      <c r="E477" s="2" t="str">
        <f t="shared" si="16"/>
        <v>Same</v>
      </c>
      <c r="F477" s="6" t="s">
        <v>1914</v>
      </c>
      <c r="G477" s="3">
        <v>26.95</v>
      </c>
      <c r="H477" s="2" t="s">
        <v>471</v>
      </c>
      <c r="I477" s="4">
        <f>[1]Sheet1!I477</f>
        <v>36</v>
      </c>
      <c r="J477" s="3" t="str">
        <f t="shared" si="15"/>
        <v>2732_A1C1.webp</v>
      </c>
      <c r="K477" s="5">
        <f>Sheet4!E477</f>
        <v>12</v>
      </c>
      <c r="L477" s="5"/>
      <c r="M477" s="4"/>
    </row>
    <row r="478" spans="1:13" x14ac:dyDescent="0.25">
      <c r="A478" t="s">
        <v>2685</v>
      </c>
      <c r="B478" t="s">
        <v>3178</v>
      </c>
      <c r="C478" s="25">
        <v>2733</v>
      </c>
      <c r="D478" s="28">
        <v>2733</v>
      </c>
      <c r="E478" s="2" t="str">
        <f t="shared" si="16"/>
        <v>Same</v>
      </c>
      <c r="F478" s="6" t="s">
        <v>1914</v>
      </c>
      <c r="G478" s="3">
        <v>26.95</v>
      </c>
      <c r="H478" s="2" t="s">
        <v>472</v>
      </c>
      <c r="I478" s="4">
        <f>[1]Sheet1!I478</f>
        <v>47</v>
      </c>
      <c r="J478" s="3" t="str">
        <f t="shared" si="15"/>
        <v>2733_A1C1.webp</v>
      </c>
      <c r="K478" s="5">
        <f>Sheet4!E478</f>
        <v>12</v>
      </c>
      <c r="L478" s="5"/>
      <c r="M478" s="4"/>
    </row>
    <row r="479" spans="1:13" x14ac:dyDescent="0.25">
      <c r="A479" t="s">
        <v>2685</v>
      </c>
      <c r="B479" t="s">
        <v>3172</v>
      </c>
      <c r="C479" s="25">
        <v>2735</v>
      </c>
      <c r="D479" s="28">
        <v>2735</v>
      </c>
      <c r="E479" s="2" t="str">
        <f t="shared" si="16"/>
        <v>Same</v>
      </c>
      <c r="F479" s="6" t="s">
        <v>1915</v>
      </c>
      <c r="G479">
        <v>21.35</v>
      </c>
      <c r="H479" s="2" t="s">
        <v>468</v>
      </c>
      <c r="I479" s="4">
        <f>[1]Sheet1!I479</f>
        <v>496</v>
      </c>
      <c r="J479" s="3" t="str">
        <f t="shared" si="15"/>
        <v>2735_A1C1.webp</v>
      </c>
      <c r="K479" s="5">
        <f>Sheet4!E479</f>
        <v>24</v>
      </c>
      <c r="L479" s="5"/>
      <c r="M479" s="4"/>
    </row>
    <row r="480" spans="1:13" x14ac:dyDescent="0.25">
      <c r="A480" t="s">
        <v>2685</v>
      </c>
      <c r="B480" t="s">
        <v>3172</v>
      </c>
      <c r="C480" s="25">
        <v>2736</v>
      </c>
      <c r="D480" s="28">
        <v>2736</v>
      </c>
      <c r="E480" s="2" t="str">
        <f t="shared" si="16"/>
        <v>Same</v>
      </c>
      <c r="F480" s="6" t="s">
        <v>1915</v>
      </c>
      <c r="G480">
        <v>19.649999999999999</v>
      </c>
      <c r="H480" s="2" t="s">
        <v>473</v>
      </c>
      <c r="I480" s="4">
        <f>[1]Sheet1!I480</f>
        <v>167</v>
      </c>
      <c r="J480" s="3" t="str">
        <f t="shared" si="15"/>
        <v>2736_A1C1.webp</v>
      </c>
      <c r="K480" s="5">
        <f>Sheet4!E480</f>
        <v>24</v>
      </c>
      <c r="L480" s="5"/>
      <c r="M480" s="4"/>
    </row>
    <row r="481" spans="1:13" x14ac:dyDescent="0.25">
      <c r="A481" t="s">
        <v>2685</v>
      </c>
      <c r="B481" t="s">
        <v>3172</v>
      </c>
      <c r="C481" s="25">
        <v>2737</v>
      </c>
      <c r="D481" s="28">
        <v>2737</v>
      </c>
      <c r="E481" s="2" t="str">
        <f t="shared" si="16"/>
        <v>Same</v>
      </c>
      <c r="F481" s="6" t="s">
        <v>1915</v>
      </c>
      <c r="G481">
        <v>21.35</v>
      </c>
      <c r="H481" s="2" t="s">
        <v>474</v>
      </c>
      <c r="I481" s="4">
        <f>[1]Sheet1!I481</f>
        <v>179</v>
      </c>
      <c r="J481" s="3" t="str">
        <f t="shared" si="15"/>
        <v>2737_A1C1.webp</v>
      </c>
      <c r="K481" s="5">
        <f>Sheet4!E481</f>
        <v>24</v>
      </c>
      <c r="L481" s="5"/>
      <c r="M481" s="4"/>
    </row>
    <row r="482" spans="1:13" x14ac:dyDescent="0.25">
      <c r="A482" t="s">
        <v>2685</v>
      </c>
      <c r="B482" t="s">
        <v>3172</v>
      </c>
      <c r="C482" s="25">
        <v>2738</v>
      </c>
      <c r="D482" s="28">
        <v>2738</v>
      </c>
      <c r="E482" s="2" t="str">
        <f t="shared" si="16"/>
        <v>Same</v>
      </c>
      <c r="F482" s="6" t="s">
        <v>1915</v>
      </c>
      <c r="G482">
        <v>20.95</v>
      </c>
      <c r="H482" s="2" t="s">
        <v>475</v>
      </c>
      <c r="I482" s="4">
        <f>[1]Sheet1!I482</f>
        <v>84</v>
      </c>
      <c r="J482" s="3" t="str">
        <f t="shared" si="15"/>
        <v>2738_A1C1.webp</v>
      </c>
      <c r="K482" s="5">
        <f>Sheet4!E482</f>
        <v>24</v>
      </c>
      <c r="L482" s="5"/>
      <c r="M482" s="4"/>
    </row>
    <row r="483" spans="1:13" x14ac:dyDescent="0.25">
      <c r="A483" t="s">
        <v>2685</v>
      </c>
      <c r="B483" t="s">
        <v>3154</v>
      </c>
      <c r="C483" s="25">
        <v>2739</v>
      </c>
      <c r="D483" s="28">
        <v>2739</v>
      </c>
      <c r="E483" s="2" t="str">
        <f t="shared" si="16"/>
        <v>Same</v>
      </c>
      <c r="F483" s="6" t="s">
        <v>1914</v>
      </c>
      <c r="G483" s="3">
        <v>26.95</v>
      </c>
      <c r="H483" s="2" t="s">
        <v>476</v>
      </c>
      <c r="I483" s="4">
        <f>[1]Sheet1!I483</f>
        <v>32</v>
      </c>
      <c r="J483" s="3" t="str">
        <f t="shared" si="15"/>
        <v>2739_A1C1.webp</v>
      </c>
      <c r="K483" s="5">
        <f>Sheet4!E483</f>
        <v>12</v>
      </c>
      <c r="L483" s="5"/>
      <c r="M483" s="4"/>
    </row>
    <row r="484" spans="1:13" x14ac:dyDescent="0.25">
      <c r="A484" t="s">
        <v>2685</v>
      </c>
      <c r="B484" t="s">
        <v>505</v>
      </c>
      <c r="C484" s="25">
        <v>2740</v>
      </c>
      <c r="D484" s="28">
        <v>2740</v>
      </c>
      <c r="E484" s="2" t="str">
        <f t="shared" si="16"/>
        <v>Same</v>
      </c>
      <c r="F484" s="6" t="s">
        <v>1916</v>
      </c>
      <c r="G484" s="3">
        <v>38.950000000000003</v>
      </c>
      <c r="H484" s="2" t="s">
        <v>477</v>
      </c>
      <c r="I484" s="4">
        <f>[1]Sheet1!I484</f>
        <v>2918</v>
      </c>
      <c r="J484" s="3" t="str">
        <f t="shared" si="15"/>
        <v>2740_A1C1.webp</v>
      </c>
      <c r="K484" s="5">
        <f>Sheet4!E484</f>
        <v>24</v>
      </c>
      <c r="L484" s="5"/>
      <c r="M484" s="4"/>
    </row>
    <row r="485" spans="1:13" x14ac:dyDescent="0.25">
      <c r="A485" t="s">
        <v>2685</v>
      </c>
      <c r="B485" t="s">
        <v>3172</v>
      </c>
      <c r="C485" s="25">
        <v>2741</v>
      </c>
      <c r="D485" s="28">
        <v>2741</v>
      </c>
      <c r="E485" s="2" t="str">
        <f t="shared" si="16"/>
        <v>Same</v>
      </c>
      <c r="F485" s="6" t="s">
        <v>1915</v>
      </c>
      <c r="G485">
        <v>18.5</v>
      </c>
      <c r="H485" s="2" t="s">
        <v>478</v>
      </c>
      <c r="I485" s="4">
        <f>[1]Sheet1!I485</f>
        <v>286</v>
      </c>
      <c r="J485" s="3" t="str">
        <f t="shared" si="15"/>
        <v>2741_A1C1.webp</v>
      </c>
      <c r="K485" s="5">
        <f>Sheet4!E485</f>
        <v>24</v>
      </c>
      <c r="L485" s="5"/>
      <c r="M485" s="4"/>
    </row>
    <row r="486" spans="1:13" x14ac:dyDescent="0.25">
      <c r="A486" t="s">
        <v>2685</v>
      </c>
      <c r="B486" t="s">
        <v>3159</v>
      </c>
      <c r="C486" s="25">
        <v>2742</v>
      </c>
      <c r="D486" s="28">
        <v>2742</v>
      </c>
      <c r="E486" s="2" t="str">
        <f t="shared" si="16"/>
        <v>Same</v>
      </c>
      <c r="F486" s="6" t="s">
        <v>1913</v>
      </c>
      <c r="G486" s="3">
        <v>31.5</v>
      </c>
      <c r="H486" s="2" t="s">
        <v>479</v>
      </c>
      <c r="I486" s="4">
        <f>[1]Sheet1!I486</f>
        <v>6</v>
      </c>
      <c r="J486" s="3" t="str">
        <f t="shared" si="15"/>
        <v>2742_A1C1.webp</v>
      </c>
      <c r="K486" s="5">
        <f>Sheet4!E486</f>
        <v>12</v>
      </c>
      <c r="L486" s="5"/>
      <c r="M486" s="4"/>
    </row>
    <row r="487" spans="1:13" x14ac:dyDescent="0.25">
      <c r="A487" t="s">
        <v>2685</v>
      </c>
      <c r="B487" t="s">
        <v>3172</v>
      </c>
      <c r="C487" s="25">
        <v>2743</v>
      </c>
      <c r="D487" s="28">
        <v>2743</v>
      </c>
      <c r="E487" s="2" t="str">
        <f t="shared" si="16"/>
        <v>Same</v>
      </c>
      <c r="F487" s="6" t="s">
        <v>1915</v>
      </c>
      <c r="G487">
        <v>20.95</v>
      </c>
      <c r="H487" s="2" t="s">
        <v>480</v>
      </c>
      <c r="I487" s="4">
        <f>[1]Sheet1!I487</f>
        <v>547</v>
      </c>
      <c r="J487" s="3" t="str">
        <f t="shared" si="15"/>
        <v>2743_A1C1.webp</v>
      </c>
      <c r="K487" s="5">
        <f>Sheet4!E487</f>
        <v>24</v>
      </c>
      <c r="L487" s="5"/>
      <c r="M487" s="4"/>
    </row>
    <row r="488" spans="1:13" x14ac:dyDescent="0.25">
      <c r="A488" t="s">
        <v>2685</v>
      </c>
      <c r="B488" t="s">
        <v>3172</v>
      </c>
      <c r="C488" s="25">
        <v>2744</v>
      </c>
      <c r="D488" s="28">
        <v>2744</v>
      </c>
      <c r="E488" s="2" t="str">
        <f t="shared" si="16"/>
        <v>Same</v>
      </c>
      <c r="F488" s="6" t="s">
        <v>1915</v>
      </c>
      <c r="G488">
        <v>20.95</v>
      </c>
      <c r="H488" s="2" t="s">
        <v>481</v>
      </c>
      <c r="I488" s="4">
        <f>[1]Sheet1!I488</f>
        <v>47</v>
      </c>
      <c r="J488" s="3" t="str">
        <f t="shared" si="15"/>
        <v>2744_A1C1.webp</v>
      </c>
      <c r="K488" s="5">
        <f>Sheet4!E488</f>
        <v>24</v>
      </c>
      <c r="L488" s="5"/>
      <c r="M488" s="4"/>
    </row>
    <row r="489" spans="1:13" x14ac:dyDescent="0.25">
      <c r="A489" t="s">
        <v>2685</v>
      </c>
      <c r="B489" t="s">
        <v>3172</v>
      </c>
      <c r="C489" s="25">
        <v>2745</v>
      </c>
      <c r="D489" s="28">
        <v>2745</v>
      </c>
      <c r="E489" s="2" t="str">
        <f t="shared" si="16"/>
        <v>Same</v>
      </c>
      <c r="F489" s="6" t="s">
        <v>1915</v>
      </c>
      <c r="G489">
        <v>18.5</v>
      </c>
      <c r="H489" s="2" t="s">
        <v>482</v>
      </c>
      <c r="I489" s="4">
        <f>[1]Sheet1!I489</f>
        <v>301</v>
      </c>
      <c r="J489" s="3" t="str">
        <f t="shared" si="15"/>
        <v>2745_A1C1.webp</v>
      </c>
      <c r="K489" s="5">
        <f>Sheet4!E489</f>
        <v>24</v>
      </c>
      <c r="L489" s="5"/>
      <c r="M489" s="4"/>
    </row>
    <row r="490" spans="1:13" x14ac:dyDescent="0.25">
      <c r="A490" t="s">
        <v>2685</v>
      </c>
      <c r="B490" t="s">
        <v>3172</v>
      </c>
      <c r="C490" s="25">
        <v>2746</v>
      </c>
      <c r="D490" s="28">
        <v>2746</v>
      </c>
      <c r="E490" s="2" t="str">
        <f t="shared" si="16"/>
        <v>Same</v>
      </c>
      <c r="F490" s="6" t="s">
        <v>1915</v>
      </c>
      <c r="G490">
        <v>18.5</v>
      </c>
      <c r="H490" s="2" t="s">
        <v>483</v>
      </c>
      <c r="I490" s="4">
        <f>[1]Sheet1!I490</f>
        <v>949</v>
      </c>
      <c r="J490" s="3" t="str">
        <f t="shared" si="15"/>
        <v>2746_A1C1.webp</v>
      </c>
      <c r="K490" s="5">
        <f>Sheet4!E490</f>
        <v>24</v>
      </c>
      <c r="L490" s="5"/>
      <c r="M490" s="4"/>
    </row>
    <row r="491" spans="1:13" x14ac:dyDescent="0.25">
      <c r="A491" t="s">
        <v>2685</v>
      </c>
      <c r="B491" t="s">
        <v>3178</v>
      </c>
      <c r="C491" s="25">
        <v>2747</v>
      </c>
      <c r="D491" s="28">
        <v>2747</v>
      </c>
      <c r="E491" s="2" t="str">
        <f t="shared" si="16"/>
        <v>Same</v>
      </c>
      <c r="F491" s="6" t="s">
        <v>1914</v>
      </c>
      <c r="G491" s="3">
        <v>26.95</v>
      </c>
      <c r="H491" s="2" t="s">
        <v>484</v>
      </c>
      <c r="I491" s="4">
        <f>[1]Sheet1!I491</f>
        <v>91</v>
      </c>
      <c r="J491" s="3" t="str">
        <f t="shared" si="15"/>
        <v>2747_A1C1.webp</v>
      </c>
      <c r="K491" s="5">
        <f>Sheet4!E491</f>
        <v>12</v>
      </c>
      <c r="L491" s="5"/>
      <c r="M491" s="4"/>
    </row>
    <row r="492" spans="1:13" x14ac:dyDescent="0.25">
      <c r="A492" t="s">
        <v>2685</v>
      </c>
      <c r="B492" t="s">
        <v>3178</v>
      </c>
      <c r="C492" s="25">
        <v>2748</v>
      </c>
      <c r="D492" s="28">
        <v>2748</v>
      </c>
      <c r="E492" s="2" t="str">
        <f t="shared" si="16"/>
        <v>Same</v>
      </c>
      <c r="F492" s="6" t="s">
        <v>1914</v>
      </c>
      <c r="G492" s="3">
        <v>29.5</v>
      </c>
      <c r="H492" s="2" t="s">
        <v>485</v>
      </c>
      <c r="I492" s="4">
        <f>[1]Sheet1!I492</f>
        <v>23</v>
      </c>
      <c r="J492" s="3" t="str">
        <f t="shared" si="15"/>
        <v>2748_A1C1.webp</v>
      </c>
      <c r="K492" s="5">
        <f>Sheet4!E492</f>
        <v>12</v>
      </c>
      <c r="L492" s="5"/>
      <c r="M492" s="4"/>
    </row>
    <row r="493" spans="1:13" x14ac:dyDescent="0.25">
      <c r="A493" t="s">
        <v>2685</v>
      </c>
      <c r="B493" t="s">
        <v>3178</v>
      </c>
      <c r="C493" s="25">
        <v>2749</v>
      </c>
      <c r="D493" s="28">
        <v>2749</v>
      </c>
      <c r="E493" s="2" t="str">
        <f t="shared" si="16"/>
        <v>Same</v>
      </c>
      <c r="F493" s="6" t="s">
        <v>1914</v>
      </c>
      <c r="G493" s="3">
        <v>26.95</v>
      </c>
      <c r="H493" s="2" t="s">
        <v>486</v>
      </c>
      <c r="I493" s="4">
        <f>[1]Sheet1!I493</f>
        <v>59</v>
      </c>
      <c r="J493" s="3" t="str">
        <f t="shared" si="15"/>
        <v>2749_A1C1.webp</v>
      </c>
      <c r="K493" s="5">
        <f>Sheet4!E493</f>
        <v>12</v>
      </c>
      <c r="L493" s="5"/>
      <c r="M493" s="4"/>
    </row>
    <row r="494" spans="1:13" x14ac:dyDescent="0.25">
      <c r="A494" t="s">
        <v>2685</v>
      </c>
      <c r="B494" t="s">
        <v>3178</v>
      </c>
      <c r="C494" s="25">
        <v>2750</v>
      </c>
      <c r="D494" s="28">
        <v>2750</v>
      </c>
      <c r="E494" s="2" t="str">
        <f t="shared" si="16"/>
        <v>Same</v>
      </c>
      <c r="F494" s="6" t="s">
        <v>1914</v>
      </c>
      <c r="G494" s="3">
        <v>26.95</v>
      </c>
      <c r="H494" s="2" t="s">
        <v>487</v>
      </c>
      <c r="I494" s="4">
        <f>[1]Sheet1!I494</f>
        <v>41</v>
      </c>
      <c r="J494" s="3" t="str">
        <f t="shared" si="15"/>
        <v>2750_A1C1.webp</v>
      </c>
      <c r="K494" s="5">
        <f>Sheet4!E494</f>
        <v>12</v>
      </c>
      <c r="L494" s="5"/>
      <c r="M494" s="4"/>
    </row>
    <row r="495" spans="1:13" x14ac:dyDescent="0.25">
      <c r="A495" t="s">
        <v>2685</v>
      </c>
      <c r="B495" t="s">
        <v>3166</v>
      </c>
      <c r="C495" s="25">
        <v>2751</v>
      </c>
      <c r="D495" s="28">
        <v>2751</v>
      </c>
      <c r="E495" s="2" t="str">
        <f t="shared" si="16"/>
        <v>Same</v>
      </c>
      <c r="F495" s="6" t="s">
        <v>1847</v>
      </c>
      <c r="G495">
        <v>19.95</v>
      </c>
      <c r="H495" s="2" t="s">
        <v>488</v>
      </c>
      <c r="I495" s="4">
        <f>[1]Sheet1!I495</f>
        <v>22</v>
      </c>
      <c r="J495" s="3" t="str">
        <f t="shared" si="15"/>
        <v>2751_A1C1.webp</v>
      </c>
      <c r="K495" s="5">
        <f>Sheet4!E495</f>
        <v>48</v>
      </c>
      <c r="L495" s="5"/>
      <c r="M495" s="4"/>
    </row>
    <row r="496" spans="1:13" x14ac:dyDescent="0.25">
      <c r="A496" t="s">
        <v>2685</v>
      </c>
      <c r="B496" t="s">
        <v>3166</v>
      </c>
      <c r="C496" s="25">
        <v>2752</v>
      </c>
      <c r="D496" s="28">
        <v>2752</v>
      </c>
      <c r="E496" s="2" t="str">
        <f t="shared" si="16"/>
        <v>Same</v>
      </c>
      <c r="F496" s="6" t="s">
        <v>1847</v>
      </c>
      <c r="G496">
        <v>19.95</v>
      </c>
      <c r="H496" s="2" t="s">
        <v>489</v>
      </c>
      <c r="I496" s="4">
        <f>[1]Sheet1!I496</f>
        <v>122</v>
      </c>
      <c r="J496" s="3" t="str">
        <f t="shared" si="15"/>
        <v>2752_A1C1.webp</v>
      </c>
      <c r="K496" s="5">
        <f>Sheet4!E496</f>
        <v>48</v>
      </c>
      <c r="L496" s="5"/>
      <c r="M496" s="4"/>
    </row>
    <row r="497" spans="1:13" x14ac:dyDescent="0.25">
      <c r="A497" t="s">
        <v>2685</v>
      </c>
      <c r="B497" t="s">
        <v>3166</v>
      </c>
      <c r="C497" s="25">
        <v>2753</v>
      </c>
      <c r="D497" s="28">
        <v>2753</v>
      </c>
      <c r="E497" s="2" t="str">
        <f t="shared" si="16"/>
        <v>Same</v>
      </c>
      <c r="F497" s="6" t="s">
        <v>1847</v>
      </c>
      <c r="H497" s="2" t="s">
        <v>490</v>
      </c>
      <c r="I497" s="4">
        <f>[1]Sheet1!I497</f>
        <v>0</v>
      </c>
      <c r="J497" s="3" t="str">
        <f t="shared" si="15"/>
        <v>2753_A1C1.webp</v>
      </c>
      <c r="K497" s="5">
        <f>Sheet4!E497</f>
        <v>48</v>
      </c>
      <c r="L497" s="5"/>
      <c r="M497" s="4"/>
    </row>
    <row r="498" spans="1:13" x14ac:dyDescent="0.25">
      <c r="A498" t="s">
        <v>2685</v>
      </c>
      <c r="B498" t="s">
        <v>3166</v>
      </c>
      <c r="C498" s="25">
        <v>2755</v>
      </c>
      <c r="D498" s="28">
        <v>2755</v>
      </c>
      <c r="E498" s="2" t="str">
        <f t="shared" si="16"/>
        <v>Same</v>
      </c>
      <c r="F498" s="6" t="s">
        <v>1847</v>
      </c>
      <c r="G498">
        <v>19.95</v>
      </c>
      <c r="H498" s="2" t="s">
        <v>491</v>
      </c>
      <c r="I498" s="4">
        <f>[1]Sheet1!I498</f>
        <v>35</v>
      </c>
      <c r="J498" s="3" t="str">
        <f t="shared" si="15"/>
        <v>2755_A1C1.webp</v>
      </c>
      <c r="K498" s="5">
        <f>Sheet4!E498</f>
        <v>48</v>
      </c>
      <c r="L498" s="5"/>
      <c r="M498" s="4"/>
    </row>
    <row r="499" spans="1:13" x14ac:dyDescent="0.25">
      <c r="A499" t="s">
        <v>2685</v>
      </c>
      <c r="B499" t="s">
        <v>3178</v>
      </c>
      <c r="C499" s="25">
        <v>2756</v>
      </c>
      <c r="D499" s="28">
        <v>2756</v>
      </c>
      <c r="E499" s="2" t="str">
        <f t="shared" si="16"/>
        <v>Same</v>
      </c>
      <c r="F499" s="6" t="s">
        <v>1914</v>
      </c>
      <c r="G499" s="3">
        <v>39.950000000000003</v>
      </c>
      <c r="H499" s="2" t="s">
        <v>492</v>
      </c>
      <c r="I499" s="4">
        <f>[1]Sheet1!I499</f>
        <v>47</v>
      </c>
      <c r="J499" s="3" t="str">
        <f t="shared" si="15"/>
        <v>2756_A1C1.webp</v>
      </c>
      <c r="K499" s="5">
        <f>Sheet4!E499</f>
        <v>12</v>
      </c>
      <c r="L499" s="5"/>
      <c r="M499" s="4"/>
    </row>
    <row r="500" spans="1:13" x14ac:dyDescent="0.25">
      <c r="A500" t="s">
        <v>2685</v>
      </c>
      <c r="B500" t="s">
        <v>3172</v>
      </c>
      <c r="C500" s="25">
        <v>2760</v>
      </c>
      <c r="D500" s="28">
        <v>2760</v>
      </c>
      <c r="E500" s="2" t="str">
        <f t="shared" si="16"/>
        <v>Same</v>
      </c>
      <c r="F500" s="6" t="s">
        <v>1915</v>
      </c>
      <c r="G500">
        <v>20.95</v>
      </c>
      <c r="H500" s="2" t="s">
        <v>493</v>
      </c>
      <c r="I500" s="4">
        <f>[1]Sheet1!I500</f>
        <v>236</v>
      </c>
      <c r="J500" s="3" t="str">
        <f t="shared" si="15"/>
        <v>2760_A1C1.webp</v>
      </c>
      <c r="K500" s="5">
        <f>Sheet4!E500</f>
        <v>24</v>
      </c>
      <c r="L500" s="5"/>
      <c r="M500" s="4"/>
    </row>
    <row r="501" spans="1:13" x14ac:dyDescent="0.25">
      <c r="A501" t="s">
        <v>2685</v>
      </c>
      <c r="B501" t="s">
        <v>3172</v>
      </c>
      <c r="C501" s="25">
        <v>2761</v>
      </c>
      <c r="D501" s="28">
        <v>2761</v>
      </c>
      <c r="E501" s="2" t="str">
        <f t="shared" si="16"/>
        <v>Same</v>
      </c>
      <c r="F501" s="6" t="s">
        <v>1915</v>
      </c>
      <c r="G501">
        <v>18.5</v>
      </c>
      <c r="H501" s="2" t="s">
        <v>494</v>
      </c>
      <c r="I501" s="4">
        <f>[1]Sheet1!I501</f>
        <v>33</v>
      </c>
      <c r="J501" s="3" t="str">
        <f t="shared" si="15"/>
        <v>2761_A1C1.webp</v>
      </c>
      <c r="K501" s="5">
        <f>Sheet4!E501</f>
        <v>24</v>
      </c>
      <c r="L501" s="5"/>
      <c r="M501" s="4"/>
    </row>
    <row r="502" spans="1:13" x14ac:dyDescent="0.25">
      <c r="A502" t="s">
        <v>2685</v>
      </c>
      <c r="B502" t="s">
        <v>3172</v>
      </c>
      <c r="C502" s="25">
        <v>2762</v>
      </c>
      <c r="D502" s="28">
        <v>2762</v>
      </c>
      <c r="E502" s="2" t="str">
        <f t="shared" si="16"/>
        <v>Same</v>
      </c>
      <c r="F502" s="6" t="s">
        <v>1915</v>
      </c>
      <c r="G502">
        <v>18.5</v>
      </c>
      <c r="H502" s="2" t="s">
        <v>495</v>
      </c>
      <c r="I502" s="4">
        <f>[1]Sheet1!I502</f>
        <v>51</v>
      </c>
      <c r="J502" s="3" t="str">
        <f t="shared" si="15"/>
        <v>2762_A1C1.webp</v>
      </c>
      <c r="K502" s="5">
        <f>Sheet4!E502</f>
        <v>24</v>
      </c>
      <c r="L502" s="5"/>
      <c r="M502" s="4"/>
    </row>
    <row r="503" spans="1:13" x14ac:dyDescent="0.25">
      <c r="A503" t="s">
        <v>2685</v>
      </c>
      <c r="B503" t="s">
        <v>3150</v>
      </c>
      <c r="C503" s="25">
        <v>2763</v>
      </c>
      <c r="D503" s="28">
        <v>2763</v>
      </c>
      <c r="E503" s="2" t="str">
        <f t="shared" si="16"/>
        <v>Same</v>
      </c>
      <c r="F503" s="6" t="s">
        <v>1913</v>
      </c>
      <c r="G503" s="3">
        <v>31.5</v>
      </c>
      <c r="H503" s="2" t="s">
        <v>496</v>
      </c>
      <c r="I503" s="4">
        <f>[1]Sheet1!I503</f>
        <v>426</v>
      </c>
      <c r="J503" s="3" t="str">
        <f t="shared" si="15"/>
        <v>2763_A1C1.webp</v>
      </c>
      <c r="K503" s="5">
        <f>Sheet4!E503</f>
        <v>12</v>
      </c>
      <c r="L503" s="5" t="s">
        <v>5278</v>
      </c>
      <c r="M503" s="4"/>
    </row>
    <row r="504" spans="1:13" x14ac:dyDescent="0.25">
      <c r="A504" t="s">
        <v>2685</v>
      </c>
      <c r="B504" t="s">
        <v>3150</v>
      </c>
      <c r="C504" s="25">
        <v>2765</v>
      </c>
      <c r="D504" s="28">
        <v>2765</v>
      </c>
      <c r="E504" s="2" t="str">
        <f t="shared" si="16"/>
        <v>Same</v>
      </c>
      <c r="F504" s="6" t="s">
        <v>1913</v>
      </c>
      <c r="G504" s="3">
        <v>31.5</v>
      </c>
      <c r="H504" s="2" t="s">
        <v>497</v>
      </c>
      <c r="I504" s="4">
        <f>[1]Sheet1!I504</f>
        <v>298</v>
      </c>
      <c r="J504" s="3" t="str">
        <f t="shared" si="15"/>
        <v>2765_A1C1.webp</v>
      </c>
      <c r="K504" s="5">
        <f>Sheet4!E504</f>
        <v>12</v>
      </c>
      <c r="L504" s="5" t="s">
        <v>5278</v>
      </c>
      <c r="M504" s="4"/>
    </row>
    <row r="505" spans="1:13" x14ac:dyDescent="0.25">
      <c r="A505" t="s">
        <v>2685</v>
      </c>
      <c r="B505" t="s">
        <v>505</v>
      </c>
      <c r="C505" s="25">
        <v>2766</v>
      </c>
      <c r="D505" s="28">
        <v>2766</v>
      </c>
      <c r="E505" s="2" t="str">
        <f t="shared" si="16"/>
        <v>Same</v>
      </c>
      <c r="F505" s="6" t="s">
        <v>1916</v>
      </c>
      <c r="G505" s="3">
        <v>35.25</v>
      </c>
      <c r="H505" s="2" t="s">
        <v>498</v>
      </c>
      <c r="I505" s="4">
        <f>[1]Sheet1!I505</f>
        <v>659</v>
      </c>
      <c r="J505" s="3" t="str">
        <f t="shared" si="15"/>
        <v>2766_A1C1.webp</v>
      </c>
      <c r="K505" s="5">
        <f>Sheet4!E505</f>
        <v>24</v>
      </c>
      <c r="L505" s="5" t="s">
        <v>5278</v>
      </c>
      <c r="M505" s="4"/>
    </row>
    <row r="506" spans="1:13" x14ac:dyDescent="0.25">
      <c r="A506" t="s">
        <v>2685</v>
      </c>
      <c r="B506" t="s">
        <v>3150</v>
      </c>
      <c r="C506" s="25">
        <v>2767</v>
      </c>
      <c r="D506" s="28">
        <v>2767</v>
      </c>
      <c r="E506" s="2" t="str">
        <f t="shared" si="16"/>
        <v>Same</v>
      </c>
      <c r="F506" s="6" t="s">
        <v>1913</v>
      </c>
      <c r="G506" s="3">
        <v>31.5</v>
      </c>
      <c r="H506" s="2" t="s">
        <v>499</v>
      </c>
      <c r="I506" s="4">
        <f>[1]Sheet1!I506</f>
        <v>515</v>
      </c>
      <c r="J506" s="3" t="str">
        <f t="shared" si="15"/>
        <v>2767_A1C1.webp</v>
      </c>
      <c r="K506" s="5">
        <f>Sheet4!E506</f>
        <v>12</v>
      </c>
      <c r="L506" s="5" t="s">
        <v>5278</v>
      </c>
      <c r="M506" s="4"/>
    </row>
    <row r="507" spans="1:13" x14ac:dyDescent="0.25">
      <c r="A507" t="s">
        <v>2685</v>
      </c>
      <c r="B507" t="s">
        <v>3154</v>
      </c>
      <c r="C507" s="25">
        <v>2769</v>
      </c>
      <c r="D507" s="28">
        <v>2769</v>
      </c>
      <c r="E507" s="2" t="str">
        <f t="shared" si="16"/>
        <v>Same</v>
      </c>
      <c r="F507" s="6" t="s">
        <v>1914</v>
      </c>
      <c r="G507" s="3">
        <v>26.95</v>
      </c>
      <c r="H507" s="2" t="s">
        <v>500</v>
      </c>
      <c r="I507" s="4">
        <f>[1]Sheet1!I507</f>
        <v>25</v>
      </c>
      <c r="J507" s="3" t="str">
        <f t="shared" si="15"/>
        <v>2769_A1C1.webp</v>
      </c>
      <c r="K507" s="5">
        <f>Sheet4!E507</f>
        <v>12</v>
      </c>
      <c r="L507" s="5"/>
      <c r="M507" s="4"/>
    </row>
    <row r="508" spans="1:13" x14ac:dyDescent="0.25">
      <c r="A508" t="s">
        <v>2685</v>
      </c>
      <c r="B508" t="s">
        <v>3178</v>
      </c>
      <c r="C508" s="25">
        <v>2770</v>
      </c>
      <c r="D508" s="28">
        <v>2770</v>
      </c>
      <c r="E508" s="2" t="str">
        <f t="shared" si="16"/>
        <v>Same</v>
      </c>
      <c r="F508" s="6" t="s">
        <v>1914</v>
      </c>
      <c r="G508" s="3">
        <v>37.950000000000003</v>
      </c>
      <c r="H508" s="2" t="s">
        <v>501</v>
      </c>
      <c r="I508" s="4">
        <f>[1]Sheet1!I508</f>
        <v>56</v>
      </c>
      <c r="J508" s="3" t="str">
        <f t="shared" si="15"/>
        <v>2770_A1C1.webp</v>
      </c>
      <c r="K508" s="5">
        <f>Sheet4!E508</f>
        <v>12</v>
      </c>
      <c r="L508" s="5"/>
      <c r="M508" s="4"/>
    </row>
    <row r="509" spans="1:13" x14ac:dyDescent="0.25">
      <c r="A509" t="s">
        <v>2685</v>
      </c>
      <c r="B509" t="s">
        <v>505</v>
      </c>
      <c r="C509" s="25">
        <v>2776</v>
      </c>
      <c r="D509" s="28">
        <v>2776</v>
      </c>
      <c r="E509" s="2" t="str">
        <f t="shared" si="16"/>
        <v>Same</v>
      </c>
      <c r="F509" s="6" t="s">
        <v>1917</v>
      </c>
      <c r="G509" s="3">
        <v>29.5</v>
      </c>
      <c r="H509" s="2" t="s">
        <v>502</v>
      </c>
      <c r="I509" s="4">
        <f>[1]Sheet1!I509</f>
        <v>468</v>
      </c>
      <c r="J509" s="3" t="str">
        <f t="shared" si="15"/>
        <v>2776_A1C1.webp</v>
      </c>
      <c r="K509" s="5">
        <f>Sheet4!E509</f>
        <v>24</v>
      </c>
      <c r="L509" s="5"/>
      <c r="M509" s="4"/>
    </row>
    <row r="510" spans="1:13" x14ac:dyDescent="0.25">
      <c r="A510" t="s">
        <v>2671</v>
      </c>
      <c r="B510" t="s">
        <v>505</v>
      </c>
      <c r="C510" s="25">
        <v>2777</v>
      </c>
      <c r="D510" s="28">
        <v>2777</v>
      </c>
      <c r="E510" s="2" t="str">
        <f t="shared" si="16"/>
        <v>Same</v>
      </c>
      <c r="F510" s="6" t="s">
        <v>1918</v>
      </c>
      <c r="G510" s="14">
        <v>1999</v>
      </c>
      <c r="H510" s="2" t="s">
        <v>503</v>
      </c>
      <c r="I510" s="4">
        <f>[1]Sheet1!I510</f>
        <v>333</v>
      </c>
      <c r="J510" s="3" t="str">
        <f t="shared" si="15"/>
        <v>2777_A1C1.webp</v>
      </c>
      <c r="K510" s="5">
        <f>Sheet4!E510</f>
        <v>440</v>
      </c>
      <c r="L510" s="5"/>
      <c r="M510" s="4"/>
    </row>
    <row r="511" spans="1:13" x14ac:dyDescent="0.25">
      <c r="A511" t="s">
        <v>2685</v>
      </c>
      <c r="B511" t="s">
        <v>505</v>
      </c>
      <c r="C511" s="25">
        <v>2778</v>
      </c>
      <c r="D511" s="28">
        <v>2778</v>
      </c>
      <c r="E511" s="2" t="str">
        <f t="shared" si="16"/>
        <v>Same</v>
      </c>
      <c r="F511" s="6" t="s">
        <v>1913</v>
      </c>
      <c r="G511" s="3">
        <v>33.950000000000003</v>
      </c>
      <c r="H511" s="2" t="s">
        <v>504</v>
      </c>
      <c r="I511" s="4">
        <f>[1]Sheet1!I511</f>
        <v>14937</v>
      </c>
      <c r="J511" s="3" t="str">
        <f t="shared" si="15"/>
        <v>2778_A1C1.webp</v>
      </c>
      <c r="K511" s="5">
        <f>Sheet4!E511</f>
        <v>12</v>
      </c>
      <c r="L511" s="5"/>
      <c r="M511" s="4"/>
    </row>
    <row r="512" spans="1:13" x14ac:dyDescent="0.25">
      <c r="A512" t="s">
        <v>2685</v>
      </c>
      <c r="B512" t="s">
        <v>505</v>
      </c>
      <c r="C512" s="25">
        <v>2779</v>
      </c>
      <c r="D512" s="28">
        <v>2779</v>
      </c>
      <c r="E512" s="2" t="str">
        <f t="shared" si="16"/>
        <v>Same</v>
      </c>
      <c r="F512" s="6" t="s">
        <v>1916</v>
      </c>
      <c r="G512" s="3">
        <v>35.25</v>
      </c>
      <c r="H512" s="2" t="s">
        <v>505</v>
      </c>
      <c r="I512" s="4">
        <f>[1]Sheet1!I512</f>
        <v>5733</v>
      </c>
      <c r="J512" s="3" t="str">
        <f t="shared" si="15"/>
        <v>2779_A1C1.webp</v>
      </c>
      <c r="K512" s="5">
        <f>Sheet4!E512</f>
        <v>24</v>
      </c>
      <c r="L512" s="5"/>
      <c r="M512" s="4"/>
    </row>
    <row r="513" spans="1:13" x14ac:dyDescent="0.25">
      <c r="A513" t="s">
        <v>2685</v>
      </c>
      <c r="B513" t="s">
        <v>3166</v>
      </c>
      <c r="C513" s="25">
        <v>2780</v>
      </c>
      <c r="D513" s="28">
        <v>2780</v>
      </c>
      <c r="E513" s="2" t="str">
        <f t="shared" si="16"/>
        <v>Same</v>
      </c>
      <c r="F513" s="6" t="s">
        <v>1847</v>
      </c>
      <c r="G513">
        <v>23.5</v>
      </c>
      <c r="H513" s="2" t="s">
        <v>506</v>
      </c>
      <c r="I513" s="4">
        <f>[1]Sheet1!I513</f>
        <v>28</v>
      </c>
      <c r="J513" s="3" t="str">
        <f t="shared" si="15"/>
        <v>2780_A1C1.webp</v>
      </c>
      <c r="K513" s="5">
        <f>Sheet4!E513</f>
        <v>48</v>
      </c>
      <c r="L513" s="5"/>
      <c r="M513" s="4"/>
    </row>
    <row r="514" spans="1:13" x14ac:dyDescent="0.25">
      <c r="A514" t="s">
        <v>2685</v>
      </c>
      <c r="B514" t="s">
        <v>505</v>
      </c>
      <c r="C514" s="25">
        <v>2781</v>
      </c>
      <c r="D514" s="28">
        <v>2781</v>
      </c>
      <c r="E514" s="2" t="str">
        <f t="shared" si="16"/>
        <v>Same</v>
      </c>
      <c r="F514" s="6" t="s">
        <v>1919</v>
      </c>
      <c r="G514" s="3">
        <v>27.95</v>
      </c>
      <c r="H514" s="2" t="s">
        <v>507</v>
      </c>
      <c r="I514" s="4">
        <f>[1]Sheet1!I514</f>
        <v>352</v>
      </c>
      <c r="J514" s="3" t="str">
        <f t="shared" ref="J514:J577" si="17">C514 &amp; "_A1C1.webp"</f>
        <v>2781_A1C1.webp</v>
      </c>
      <c r="K514" s="5">
        <f>Sheet4!E514</f>
        <v>24</v>
      </c>
      <c r="L514" s="5"/>
      <c r="M514" s="4"/>
    </row>
    <row r="515" spans="1:13" x14ac:dyDescent="0.25">
      <c r="A515" t="s">
        <v>2685</v>
      </c>
      <c r="B515" t="s">
        <v>3178</v>
      </c>
      <c r="C515" s="25">
        <v>2782</v>
      </c>
      <c r="D515" s="28">
        <v>2782</v>
      </c>
      <c r="E515" s="2" t="str">
        <f t="shared" si="16"/>
        <v>Same</v>
      </c>
      <c r="F515" s="6" t="s">
        <v>1914</v>
      </c>
      <c r="G515" s="3">
        <v>39.950000000000003</v>
      </c>
      <c r="H515" s="2" t="s">
        <v>508</v>
      </c>
      <c r="I515" s="4">
        <f>[1]Sheet1!I515</f>
        <v>617</v>
      </c>
      <c r="J515" s="3" t="str">
        <f t="shared" si="17"/>
        <v>2782_A1C1.webp</v>
      </c>
      <c r="K515" s="5">
        <f>Sheet4!E515</f>
        <v>12</v>
      </c>
      <c r="L515" s="5"/>
      <c r="M515" s="4"/>
    </row>
    <row r="516" spans="1:13" x14ac:dyDescent="0.25">
      <c r="A516" t="s">
        <v>2685</v>
      </c>
      <c r="B516" t="s">
        <v>3172</v>
      </c>
      <c r="C516" s="25">
        <v>2783</v>
      </c>
      <c r="D516" s="28">
        <v>2783</v>
      </c>
      <c r="E516" s="2" t="str">
        <f t="shared" si="16"/>
        <v>Same</v>
      </c>
      <c r="F516" s="6" t="s">
        <v>1915</v>
      </c>
      <c r="G516">
        <v>21.35</v>
      </c>
      <c r="H516" s="2" t="s">
        <v>509</v>
      </c>
      <c r="I516" s="4">
        <f>[1]Sheet1!I516</f>
        <v>1993</v>
      </c>
      <c r="J516" s="3" t="str">
        <f t="shared" si="17"/>
        <v>2783_A1C1.webp</v>
      </c>
      <c r="K516" s="5">
        <f>Sheet4!E516</f>
        <v>24</v>
      </c>
      <c r="L516" s="5"/>
      <c r="M516" s="4"/>
    </row>
    <row r="517" spans="1:13" x14ac:dyDescent="0.25">
      <c r="A517" t="s">
        <v>2685</v>
      </c>
      <c r="B517" t="s">
        <v>3225</v>
      </c>
      <c r="C517" s="25">
        <v>2784</v>
      </c>
      <c r="D517" s="28">
        <v>2784</v>
      </c>
      <c r="E517" s="2" t="str">
        <f t="shared" si="16"/>
        <v>Same</v>
      </c>
      <c r="F517" s="6" t="s">
        <v>1919</v>
      </c>
      <c r="G517" s="3">
        <v>24.5</v>
      </c>
      <c r="H517" s="2" t="s">
        <v>510</v>
      </c>
      <c r="I517" s="4">
        <f>[1]Sheet1!I517</f>
        <v>481</v>
      </c>
      <c r="J517" s="3" t="str">
        <f t="shared" si="17"/>
        <v>2784_A1C1.webp</v>
      </c>
      <c r="K517" s="5">
        <f>Sheet4!E517</f>
        <v>24</v>
      </c>
      <c r="L517" s="5"/>
      <c r="M517" s="4"/>
    </row>
    <row r="518" spans="1:13" x14ac:dyDescent="0.25">
      <c r="A518" t="s">
        <v>2685</v>
      </c>
      <c r="B518" t="s">
        <v>505</v>
      </c>
      <c r="C518" s="25">
        <v>2785</v>
      </c>
      <c r="D518" s="28">
        <v>2785</v>
      </c>
      <c r="E518" s="2" t="str">
        <f t="shared" ref="E518:E581" si="18">IF(C518=D518, "Same","New")</f>
        <v>Same</v>
      </c>
      <c r="F518" s="6" t="s">
        <v>1919</v>
      </c>
      <c r="G518" s="3">
        <v>26.85</v>
      </c>
      <c r="H518" s="2" t="s">
        <v>511</v>
      </c>
      <c r="I518" s="4">
        <f>[1]Sheet1!I518</f>
        <v>7381</v>
      </c>
      <c r="J518" s="3" t="str">
        <f t="shared" si="17"/>
        <v>2785_A1C1.webp</v>
      </c>
      <c r="K518" s="5">
        <f>Sheet4!E518</f>
        <v>24</v>
      </c>
      <c r="L518" s="5"/>
      <c r="M518" s="4"/>
    </row>
    <row r="519" spans="1:13" x14ac:dyDescent="0.25">
      <c r="A519" t="s">
        <v>2685</v>
      </c>
      <c r="B519" t="s">
        <v>505</v>
      </c>
      <c r="C519" s="25">
        <v>2786</v>
      </c>
      <c r="D519" s="28">
        <v>2786</v>
      </c>
      <c r="E519" s="2" t="str">
        <f t="shared" si="18"/>
        <v>Same</v>
      </c>
      <c r="F519" s="6" t="s">
        <v>1919</v>
      </c>
      <c r="G519" s="3">
        <v>26.85</v>
      </c>
      <c r="H519" s="2" t="s">
        <v>512</v>
      </c>
      <c r="I519" s="4">
        <f>[1]Sheet1!I519</f>
        <v>934</v>
      </c>
      <c r="J519" s="3" t="str">
        <f t="shared" si="17"/>
        <v>2786_A1C1.webp</v>
      </c>
      <c r="K519" s="5">
        <f>Sheet4!E519</f>
        <v>24</v>
      </c>
      <c r="L519" s="5"/>
      <c r="M519" s="4"/>
    </row>
    <row r="520" spans="1:13" x14ac:dyDescent="0.25">
      <c r="A520" t="s">
        <v>2685</v>
      </c>
      <c r="B520" t="s">
        <v>505</v>
      </c>
      <c r="C520" s="25">
        <v>2787</v>
      </c>
      <c r="D520" s="28">
        <v>2787</v>
      </c>
      <c r="E520" s="2" t="str">
        <f t="shared" si="18"/>
        <v>Same</v>
      </c>
      <c r="F520" s="6" t="s">
        <v>1918</v>
      </c>
      <c r="G520" s="3">
        <v>33.950000000000003</v>
      </c>
      <c r="H520" s="2" t="s">
        <v>513</v>
      </c>
      <c r="I520" s="4">
        <f>[1]Sheet1!I520</f>
        <v>64158</v>
      </c>
      <c r="J520" s="3" t="str">
        <f t="shared" si="17"/>
        <v>2787_A1C1.webp</v>
      </c>
      <c r="K520" s="5">
        <f>Sheet4!E520</f>
        <v>24</v>
      </c>
      <c r="L520" s="5"/>
      <c r="M520" s="4"/>
    </row>
    <row r="521" spans="1:13" x14ac:dyDescent="0.25">
      <c r="A521" t="s">
        <v>2685</v>
      </c>
      <c r="B521" t="s">
        <v>505</v>
      </c>
      <c r="C521" s="25">
        <v>2788</v>
      </c>
      <c r="D521" s="28">
        <v>2788</v>
      </c>
      <c r="E521" s="2" t="str">
        <f t="shared" si="18"/>
        <v>Same</v>
      </c>
      <c r="F521" s="6" t="s">
        <v>1920</v>
      </c>
      <c r="G521" s="3">
        <v>27.95</v>
      </c>
      <c r="H521" s="2" t="s">
        <v>514</v>
      </c>
      <c r="I521" s="4">
        <f>[1]Sheet1!I521</f>
        <v>201</v>
      </c>
      <c r="J521" s="3" t="str">
        <f t="shared" si="17"/>
        <v>2788_A1C1.webp</v>
      </c>
      <c r="K521" s="5">
        <f>Sheet4!E521</f>
        <v>24</v>
      </c>
      <c r="L521" s="5"/>
      <c r="M521" s="4"/>
    </row>
    <row r="522" spans="1:13" x14ac:dyDescent="0.25">
      <c r="A522" t="s">
        <v>2685</v>
      </c>
      <c r="B522" t="s">
        <v>505</v>
      </c>
      <c r="C522" s="25">
        <v>2791</v>
      </c>
      <c r="D522" s="28">
        <v>2791</v>
      </c>
      <c r="E522" s="2" t="str">
        <f t="shared" si="18"/>
        <v>Same</v>
      </c>
      <c r="F522" s="6" t="s">
        <v>1844</v>
      </c>
      <c r="G522" s="3">
        <v>30.25</v>
      </c>
      <c r="H522" s="2" t="s">
        <v>515</v>
      </c>
      <c r="I522" s="4">
        <f>[1]Sheet1!I522</f>
        <v>1388</v>
      </c>
      <c r="J522" s="3" t="str">
        <f t="shared" si="17"/>
        <v>2791_A1C1.webp</v>
      </c>
      <c r="K522" s="5">
        <f>Sheet4!E522</f>
        <v>5</v>
      </c>
      <c r="L522" s="5"/>
      <c r="M522" s="4"/>
    </row>
    <row r="523" spans="1:13" x14ac:dyDescent="0.25">
      <c r="A523" t="s">
        <v>2685</v>
      </c>
      <c r="B523" t="s">
        <v>505</v>
      </c>
      <c r="C523" s="25">
        <v>2792</v>
      </c>
      <c r="D523" s="28">
        <v>2792</v>
      </c>
      <c r="E523" s="2" t="str">
        <f t="shared" si="18"/>
        <v>Same</v>
      </c>
      <c r="F523" s="6" t="s">
        <v>1918</v>
      </c>
      <c r="G523" s="3">
        <v>36.5</v>
      </c>
      <c r="H523" s="2" t="s">
        <v>516</v>
      </c>
      <c r="I523" s="4">
        <f>[1]Sheet1!I523</f>
        <v>902</v>
      </c>
      <c r="J523" s="3" t="str">
        <f t="shared" si="17"/>
        <v>2792_A1C1.webp</v>
      </c>
      <c r="K523" s="5">
        <f>Sheet4!E523</f>
        <v>24</v>
      </c>
      <c r="L523" s="5"/>
      <c r="M523" s="4"/>
    </row>
    <row r="524" spans="1:13" x14ac:dyDescent="0.25">
      <c r="A524" t="s">
        <v>2685</v>
      </c>
      <c r="B524" t="s">
        <v>3172</v>
      </c>
      <c r="C524" s="25">
        <v>2795</v>
      </c>
      <c r="D524" s="28">
        <v>2795</v>
      </c>
      <c r="E524" s="2" t="str">
        <f t="shared" si="18"/>
        <v>Same</v>
      </c>
      <c r="F524" s="6" t="s">
        <v>1915</v>
      </c>
      <c r="G524">
        <v>22.5</v>
      </c>
      <c r="H524" s="2" t="s">
        <v>517</v>
      </c>
      <c r="I524" s="4">
        <f>[1]Sheet1!I524</f>
        <v>376</v>
      </c>
      <c r="J524" s="3" t="str">
        <f t="shared" si="17"/>
        <v>2795_A1C1.webp</v>
      </c>
      <c r="K524" s="5">
        <f>Sheet4!E524</f>
        <v>24</v>
      </c>
      <c r="L524" s="5"/>
      <c r="M524" s="4"/>
    </row>
    <row r="525" spans="1:13" x14ac:dyDescent="0.25">
      <c r="A525" t="s">
        <v>2685</v>
      </c>
      <c r="B525" t="s">
        <v>3178</v>
      </c>
      <c r="C525" s="25">
        <v>2796</v>
      </c>
      <c r="D525" s="28">
        <v>2796</v>
      </c>
      <c r="E525" s="2" t="str">
        <f t="shared" si="18"/>
        <v>Same</v>
      </c>
      <c r="F525" s="6" t="s">
        <v>1914</v>
      </c>
      <c r="G525" s="3">
        <v>35.5</v>
      </c>
      <c r="H525" s="2" t="s">
        <v>518</v>
      </c>
      <c r="I525" s="4">
        <f>[1]Sheet1!I525</f>
        <v>56</v>
      </c>
      <c r="J525" s="3" t="str">
        <f t="shared" si="17"/>
        <v>2796_A1C1.webp</v>
      </c>
      <c r="K525" s="5">
        <f>Sheet4!E525</f>
        <v>12</v>
      </c>
      <c r="L525" s="5"/>
      <c r="M525" s="4"/>
    </row>
    <row r="526" spans="1:13" x14ac:dyDescent="0.25">
      <c r="A526" t="s">
        <v>2685</v>
      </c>
      <c r="B526" t="s">
        <v>505</v>
      </c>
      <c r="C526" s="25">
        <v>2799</v>
      </c>
      <c r="D526" s="28">
        <v>2799</v>
      </c>
      <c r="E526" s="2" t="str">
        <f t="shared" si="18"/>
        <v>Same</v>
      </c>
      <c r="F526" s="6" t="s">
        <v>1918</v>
      </c>
      <c r="G526" s="3">
        <v>31.5</v>
      </c>
      <c r="H526" s="2" t="s">
        <v>512</v>
      </c>
      <c r="I526" s="4">
        <f>[1]Sheet1!I526</f>
        <v>3482</v>
      </c>
      <c r="J526" s="3" t="str">
        <f t="shared" si="17"/>
        <v>2799_A1C1.webp</v>
      </c>
      <c r="K526" s="5">
        <f>Sheet4!E526</f>
        <v>24</v>
      </c>
      <c r="L526" s="5" t="s">
        <v>5278</v>
      </c>
      <c r="M526" s="4"/>
    </row>
    <row r="527" spans="1:13" x14ac:dyDescent="0.25">
      <c r="A527" t="s">
        <v>2685</v>
      </c>
      <c r="B527" t="s">
        <v>3150</v>
      </c>
      <c r="C527" s="25">
        <v>2800</v>
      </c>
      <c r="D527" s="28">
        <v>2800</v>
      </c>
      <c r="E527" s="2" t="str">
        <f t="shared" si="18"/>
        <v>Same</v>
      </c>
      <c r="F527" s="6" t="s">
        <v>1913</v>
      </c>
      <c r="G527" s="3">
        <v>27.95</v>
      </c>
      <c r="H527" s="2" t="s">
        <v>519</v>
      </c>
      <c r="I527" s="4">
        <f>[1]Sheet1!I527</f>
        <v>1418</v>
      </c>
      <c r="J527" s="3" t="str">
        <f t="shared" si="17"/>
        <v>2800_A1C1.webp</v>
      </c>
      <c r="K527" s="5">
        <f>Sheet4!E527</f>
        <v>12</v>
      </c>
      <c r="L527" s="5"/>
      <c r="M527" s="4"/>
    </row>
    <row r="528" spans="1:13" x14ac:dyDescent="0.25">
      <c r="A528" t="s">
        <v>2685</v>
      </c>
      <c r="B528" t="s">
        <v>3150</v>
      </c>
      <c r="C528" s="25">
        <v>2802</v>
      </c>
      <c r="D528" s="28">
        <v>2802</v>
      </c>
      <c r="E528" s="2" t="str">
        <f t="shared" si="18"/>
        <v>Same</v>
      </c>
      <c r="F528" s="6" t="s">
        <v>1913</v>
      </c>
      <c r="G528" s="3">
        <v>31.5</v>
      </c>
      <c r="H528" s="2" t="s">
        <v>520</v>
      </c>
      <c r="I528" s="4">
        <f>[1]Sheet1!I528</f>
        <v>1894</v>
      </c>
      <c r="J528" s="3" t="str">
        <f t="shared" si="17"/>
        <v>2802_A1C1.webp</v>
      </c>
      <c r="K528" s="5">
        <f>Sheet4!E528</f>
        <v>12</v>
      </c>
      <c r="L528" s="5"/>
      <c r="M528" s="4"/>
    </row>
    <row r="529" spans="1:13" x14ac:dyDescent="0.25">
      <c r="A529" t="s">
        <v>3242</v>
      </c>
      <c r="B529" t="s">
        <v>3243</v>
      </c>
      <c r="C529" s="25">
        <v>2803</v>
      </c>
      <c r="D529" s="28">
        <v>2803</v>
      </c>
      <c r="E529" s="2" t="str">
        <f t="shared" si="18"/>
        <v>Same</v>
      </c>
      <c r="F529" s="6" t="s">
        <v>1900</v>
      </c>
      <c r="G529" s="3">
        <v>43.95</v>
      </c>
      <c r="H529" s="2" t="s">
        <v>521</v>
      </c>
      <c r="I529" s="4">
        <f>[1]Sheet1!I529</f>
        <v>87</v>
      </c>
      <c r="J529" s="3" t="str">
        <f t="shared" si="17"/>
        <v>2803_A1C1.webp</v>
      </c>
      <c r="K529" s="5">
        <f>Sheet4!E529</f>
        <v>24</v>
      </c>
      <c r="L529" s="5"/>
      <c r="M529" s="4"/>
    </row>
    <row r="530" spans="1:13" x14ac:dyDescent="0.25">
      <c r="A530" t="s">
        <v>2685</v>
      </c>
      <c r="B530" t="s">
        <v>3150</v>
      </c>
      <c r="C530" s="25">
        <v>2804</v>
      </c>
      <c r="D530" s="28">
        <v>2804</v>
      </c>
      <c r="E530" s="2" t="str">
        <f t="shared" si="18"/>
        <v>Same</v>
      </c>
      <c r="F530" s="6" t="s">
        <v>1913</v>
      </c>
      <c r="G530" s="3">
        <v>27.95</v>
      </c>
      <c r="H530" s="2" t="s">
        <v>522</v>
      </c>
      <c r="I530" s="4">
        <f>[1]Sheet1!I530</f>
        <v>0</v>
      </c>
      <c r="J530" s="3" t="str">
        <f t="shared" si="17"/>
        <v>2804_A1C1.webp</v>
      </c>
      <c r="K530" s="5">
        <f>Sheet4!E530</f>
        <v>12</v>
      </c>
      <c r="L530" s="5"/>
      <c r="M530" s="4"/>
    </row>
    <row r="531" spans="1:13" x14ac:dyDescent="0.25">
      <c r="A531" t="s">
        <v>2685</v>
      </c>
      <c r="B531" t="s">
        <v>3150</v>
      </c>
      <c r="C531" s="25">
        <v>2806</v>
      </c>
      <c r="D531" s="28">
        <v>2806</v>
      </c>
      <c r="E531" s="2" t="str">
        <f t="shared" si="18"/>
        <v>Same</v>
      </c>
      <c r="F531" s="6" t="s">
        <v>1913</v>
      </c>
      <c r="G531" s="3">
        <v>22.5</v>
      </c>
      <c r="H531" s="2" t="s">
        <v>523</v>
      </c>
      <c r="I531" s="4">
        <f>[1]Sheet1!I531</f>
        <v>311</v>
      </c>
      <c r="J531" s="3" t="str">
        <f t="shared" si="17"/>
        <v>2806_A1C1.webp</v>
      </c>
      <c r="K531" s="5">
        <f>Sheet4!E531</f>
        <v>12</v>
      </c>
      <c r="L531" s="5"/>
      <c r="M531" s="4"/>
    </row>
    <row r="532" spans="1:13" x14ac:dyDescent="0.25">
      <c r="A532" t="s">
        <v>2685</v>
      </c>
      <c r="B532" t="s">
        <v>3150</v>
      </c>
      <c r="C532" s="25">
        <v>2807</v>
      </c>
      <c r="D532" s="28">
        <v>2807</v>
      </c>
      <c r="E532" s="2" t="str">
        <f t="shared" si="18"/>
        <v>Same</v>
      </c>
      <c r="F532" s="6" t="s">
        <v>1913</v>
      </c>
      <c r="G532" s="3">
        <v>22.5</v>
      </c>
      <c r="H532" s="2" t="s">
        <v>524</v>
      </c>
      <c r="I532" s="4">
        <f>[1]Sheet1!I532</f>
        <v>1245</v>
      </c>
      <c r="J532" s="3" t="str">
        <f t="shared" si="17"/>
        <v>2807_A1C1.webp</v>
      </c>
      <c r="K532" s="5">
        <f>Sheet4!E532</f>
        <v>12</v>
      </c>
      <c r="L532" s="5"/>
      <c r="M532" s="4"/>
    </row>
    <row r="533" spans="1:13" x14ac:dyDescent="0.25">
      <c r="A533" t="s">
        <v>2685</v>
      </c>
      <c r="B533" t="s">
        <v>3150</v>
      </c>
      <c r="C533" s="25">
        <v>2808</v>
      </c>
      <c r="D533" s="28">
        <v>2808</v>
      </c>
      <c r="E533" s="2" t="str">
        <f t="shared" si="18"/>
        <v>Same</v>
      </c>
      <c r="F533" s="6" t="s">
        <v>1913</v>
      </c>
      <c r="G533" s="3">
        <v>22.5</v>
      </c>
      <c r="H533" s="2" t="s">
        <v>525</v>
      </c>
      <c r="I533" s="4">
        <f>[1]Sheet1!I533</f>
        <v>0</v>
      </c>
      <c r="J533" s="3" t="str">
        <f t="shared" si="17"/>
        <v>2808_A1C1.webp</v>
      </c>
      <c r="K533" s="5">
        <f>Sheet4!E533</f>
        <v>12</v>
      </c>
      <c r="L533" s="5"/>
      <c r="M533" s="4"/>
    </row>
    <row r="534" spans="1:13" x14ac:dyDescent="0.25">
      <c r="A534" t="s">
        <v>2685</v>
      </c>
      <c r="B534" t="s">
        <v>3150</v>
      </c>
      <c r="C534" s="25">
        <v>2809</v>
      </c>
      <c r="D534" s="28">
        <v>2809</v>
      </c>
      <c r="E534" s="2" t="str">
        <f t="shared" si="18"/>
        <v>Same</v>
      </c>
      <c r="F534" s="6" t="s">
        <v>1913</v>
      </c>
      <c r="G534" s="3">
        <v>22.5</v>
      </c>
      <c r="H534" s="2" t="s">
        <v>526</v>
      </c>
      <c r="I534" s="4">
        <f>[1]Sheet1!I534</f>
        <v>0</v>
      </c>
      <c r="J534" s="3" t="str">
        <f t="shared" si="17"/>
        <v>2809_A1C1.webp</v>
      </c>
      <c r="K534" s="5">
        <f>Sheet4!E534</f>
        <v>12</v>
      </c>
      <c r="L534" s="5"/>
      <c r="M534" s="4"/>
    </row>
    <row r="535" spans="1:13" x14ac:dyDescent="0.25">
      <c r="A535" t="s">
        <v>2685</v>
      </c>
      <c r="B535" t="s">
        <v>3150</v>
      </c>
      <c r="C535" s="25">
        <v>2820</v>
      </c>
      <c r="D535" s="28">
        <v>2820</v>
      </c>
      <c r="E535" s="2" t="str">
        <f t="shared" si="18"/>
        <v>Same</v>
      </c>
      <c r="F535" s="6" t="s">
        <v>1913</v>
      </c>
      <c r="G535" s="3">
        <v>22.5</v>
      </c>
      <c r="H535" s="2" t="s">
        <v>527</v>
      </c>
      <c r="I535" s="4">
        <f>[1]Sheet1!I535</f>
        <v>91</v>
      </c>
      <c r="J535" s="3" t="str">
        <f t="shared" si="17"/>
        <v>2820_A1C1.webp</v>
      </c>
      <c r="K535" s="5">
        <f>Sheet4!E535</f>
        <v>12</v>
      </c>
      <c r="L535" s="5"/>
      <c r="M535" s="4"/>
    </row>
    <row r="536" spans="1:13" x14ac:dyDescent="0.25">
      <c r="A536" t="s">
        <v>3242</v>
      </c>
      <c r="B536" t="s">
        <v>3243</v>
      </c>
      <c r="C536" s="25">
        <v>2821</v>
      </c>
      <c r="D536" s="28">
        <v>2821</v>
      </c>
      <c r="E536" s="2" t="str">
        <f t="shared" si="18"/>
        <v>Same</v>
      </c>
      <c r="F536" s="6" t="s">
        <v>1877</v>
      </c>
      <c r="G536" s="3">
        <v>37.5</v>
      </c>
      <c r="H536" s="2" t="s">
        <v>528</v>
      </c>
      <c r="I536" s="4">
        <f>[1]Sheet1!I536</f>
        <v>2284</v>
      </c>
      <c r="J536" s="3" t="str">
        <f t="shared" si="17"/>
        <v>2821_A1C1.webp</v>
      </c>
      <c r="K536" s="5">
        <f>Sheet4!E536</f>
        <v>12</v>
      </c>
      <c r="L536" s="5"/>
      <c r="M536" s="4"/>
    </row>
    <row r="537" spans="1:13" x14ac:dyDescent="0.25">
      <c r="A537" t="s">
        <v>3242</v>
      </c>
      <c r="B537" t="s">
        <v>3243</v>
      </c>
      <c r="C537" s="25">
        <v>2822</v>
      </c>
      <c r="D537" s="28">
        <v>2822</v>
      </c>
      <c r="E537" s="2" t="str">
        <f t="shared" si="18"/>
        <v>Same</v>
      </c>
      <c r="F537" s="6" t="s">
        <v>1877</v>
      </c>
      <c r="G537" s="3">
        <v>37.5</v>
      </c>
      <c r="H537" s="2" t="s">
        <v>529</v>
      </c>
      <c r="I537" s="4">
        <f>[1]Sheet1!I537</f>
        <v>40</v>
      </c>
      <c r="J537" s="3" t="str">
        <f t="shared" si="17"/>
        <v>2822_A1C1.webp</v>
      </c>
      <c r="K537" s="5">
        <f>Sheet4!E537</f>
        <v>12</v>
      </c>
      <c r="L537" s="5"/>
      <c r="M537" s="4"/>
    </row>
    <row r="538" spans="1:13" x14ac:dyDescent="0.25">
      <c r="A538" t="s">
        <v>3258</v>
      </c>
      <c r="B538" t="s">
        <v>3259</v>
      </c>
      <c r="C538" s="25">
        <v>2823</v>
      </c>
      <c r="D538" s="28">
        <v>2823</v>
      </c>
      <c r="E538" s="2" t="str">
        <f t="shared" si="18"/>
        <v>Same</v>
      </c>
      <c r="F538" s="6" t="s">
        <v>1921</v>
      </c>
      <c r="G538" s="3">
        <v>19.350000000000001</v>
      </c>
      <c r="H538" s="2" t="s">
        <v>530</v>
      </c>
      <c r="I538" s="4">
        <f>[1]Sheet1!I538</f>
        <v>81</v>
      </c>
      <c r="J538" s="3" t="str">
        <f t="shared" si="17"/>
        <v>2823_A1C1.webp</v>
      </c>
      <c r="K538" s="5">
        <f>Sheet4!E538</f>
        <v>12</v>
      </c>
      <c r="L538" s="5"/>
      <c r="M538" s="4"/>
    </row>
    <row r="539" spans="1:13" x14ac:dyDescent="0.25">
      <c r="A539" t="s">
        <v>2685</v>
      </c>
      <c r="B539" t="s">
        <v>3150</v>
      </c>
      <c r="C539" s="25">
        <v>2824</v>
      </c>
      <c r="D539" s="28">
        <v>2824</v>
      </c>
      <c r="E539" s="2" t="str">
        <f t="shared" si="18"/>
        <v>Same</v>
      </c>
      <c r="F539" s="6" t="s">
        <v>1913</v>
      </c>
      <c r="G539" s="3">
        <v>31.5</v>
      </c>
      <c r="H539" s="2" t="s">
        <v>480</v>
      </c>
      <c r="I539" s="4">
        <f>[1]Sheet1!I539</f>
        <v>942</v>
      </c>
      <c r="J539" s="3" t="str">
        <f t="shared" si="17"/>
        <v>2824_A1C1.webp</v>
      </c>
      <c r="K539" s="5">
        <f>Sheet4!E539</f>
        <v>12</v>
      </c>
      <c r="L539" s="5"/>
      <c r="M539" s="4"/>
    </row>
    <row r="540" spans="1:13" x14ac:dyDescent="0.25">
      <c r="A540" t="s">
        <v>3242</v>
      </c>
      <c r="B540" t="s">
        <v>3243</v>
      </c>
      <c r="C540" s="25">
        <v>2825</v>
      </c>
      <c r="D540" s="28">
        <v>2825</v>
      </c>
      <c r="E540" s="2" t="str">
        <f t="shared" si="18"/>
        <v>Same</v>
      </c>
      <c r="F540" s="6" t="s">
        <v>1900</v>
      </c>
      <c r="G540" s="3">
        <v>43.95</v>
      </c>
      <c r="H540" s="2" t="s">
        <v>531</v>
      </c>
      <c r="I540" s="4">
        <f>[1]Sheet1!I540</f>
        <v>180</v>
      </c>
      <c r="J540" s="3" t="str">
        <f t="shared" si="17"/>
        <v>2825_A1C1.webp</v>
      </c>
      <c r="K540" s="5">
        <f>Sheet4!E540</f>
        <v>24</v>
      </c>
      <c r="L540" s="5"/>
      <c r="M540" s="4"/>
    </row>
    <row r="541" spans="1:13" x14ac:dyDescent="0.25">
      <c r="A541" t="s">
        <v>3242</v>
      </c>
      <c r="B541" t="s">
        <v>3243</v>
      </c>
      <c r="C541" s="25">
        <v>2826</v>
      </c>
      <c r="D541" s="28">
        <v>2826</v>
      </c>
      <c r="E541" s="2" t="str">
        <f t="shared" si="18"/>
        <v>Same</v>
      </c>
      <c r="F541" s="6" t="s">
        <v>1900</v>
      </c>
      <c r="G541" s="3">
        <v>43.95</v>
      </c>
      <c r="H541" s="2" t="s">
        <v>532</v>
      </c>
      <c r="I541" s="4">
        <f>[1]Sheet1!I541</f>
        <v>1095</v>
      </c>
      <c r="J541" s="3" t="str">
        <f t="shared" si="17"/>
        <v>2826_A1C1.webp</v>
      </c>
      <c r="K541" s="5">
        <f>Sheet4!E541</f>
        <v>24</v>
      </c>
      <c r="L541" s="5"/>
      <c r="M541" s="4"/>
    </row>
    <row r="542" spans="1:13" x14ac:dyDescent="0.25">
      <c r="A542" t="s">
        <v>2685</v>
      </c>
      <c r="B542" t="s">
        <v>3150</v>
      </c>
      <c r="C542" s="25">
        <v>2828</v>
      </c>
      <c r="D542" s="28">
        <v>2828</v>
      </c>
      <c r="E542" s="2" t="str">
        <f t="shared" si="18"/>
        <v>Same</v>
      </c>
      <c r="F542" s="6" t="s">
        <v>1913</v>
      </c>
      <c r="G542" s="3">
        <v>22.5</v>
      </c>
      <c r="H542" s="2" t="s">
        <v>533</v>
      </c>
      <c r="I542" s="4">
        <f>[1]Sheet1!I542</f>
        <v>181</v>
      </c>
      <c r="J542" s="3" t="str">
        <f t="shared" si="17"/>
        <v>2828_A1C1.webp</v>
      </c>
      <c r="K542" s="5">
        <f>Sheet4!E542</f>
        <v>12</v>
      </c>
      <c r="L542" s="5"/>
      <c r="M542" s="4"/>
    </row>
    <row r="543" spans="1:13" x14ac:dyDescent="0.25">
      <c r="A543" t="s">
        <v>2944</v>
      </c>
      <c r="B543" t="s">
        <v>3040</v>
      </c>
      <c r="C543" s="25">
        <v>2829</v>
      </c>
      <c r="D543" s="28">
        <v>2829</v>
      </c>
      <c r="E543" s="2" t="str">
        <f t="shared" si="18"/>
        <v>Same</v>
      </c>
      <c r="F543" s="6" t="s">
        <v>1897</v>
      </c>
      <c r="G543" s="3">
        <v>52.75</v>
      </c>
      <c r="H543" s="2" t="s">
        <v>534</v>
      </c>
      <c r="I543" s="4">
        <f>[1]Sheet1!I543</f>
        <v>154</v>
      </c>
      <c r="J543" s="3" t="str">
        <f t="shared" si="17"/>
        <v>2829_A1C1.webp</v>
      </c>
      <c r="K543" s="5">
        <f>Sheet4!E543</f>
        <v>6</v>
      </c>
      <c r="L543" s="5"/>
      <c r="M543" s="4"/>
    </row>
    <row r="544" spans="1:13" x14ac:dyDescent="0.25">
      <c r="A544" t="s">
        <v>2685</v>
      </c>
      <c r="B544" t="s">
        <v>5264</v>
      </c>
      <c r="C544" s="25">
        <v>2830</v>
      </c>
      <c r="D544" s="28">
        <v>2830</v>
      </c>
      <c r="E544" s="2" t="str">
        <f t="shared" si="18"/>
        <v>Same</v>
      </c>
      <c r="F544" s="6" t="s">
        <v>1913</v>
      </c>
      <c r="H544" s="2" t="s">
        <v>535</v>
      </c>
      <c r="I544" s="4">
        <f>[1]Sheet1!I544</f>
        <v>0</v>
      </c>
      <c r="J544" s="3" t="str">
        <f t="shared" si="17"/>
        <v>2830_A1C1.webp</v>
      </c>
      <c r="K544" s="5">
        <f>Sheet4!E544</f>
        <v>240</v>
      </c>
      <c r="L544" s="5"/>
      <c r="M544" s="4"/>
    </row>
    <row r="545" spans="1:13" x14ac:dyDescent="0.25">
      <c r="A545" t="s">
        <v>3242</v>
      </c>
      <c r="B545" t="s">
        <v>3243</v>
      </c>
      <c r="C545" s="25">
        <v>2832</v>
      </c>
      <c r="D545" s="28">
        <v>2832</v>
      </c>
      <c r="E545" s="2" t="str">
        <f t="shared" si="18"/>
        <v>Same</v>
      </c>
      <c r="F545" s="6" t="s">
        <v>1900</v>
      </c>
      <c r="G545" s="3">
        <v>51.95</v>
      </c>
      <c r="H545" s="2" t="s">
        <v>536</v>
      </c>
      <c r="I545" s="4">
        <f>[1]Sheet1!I545</f>
        <v>0</v>
      </c>
      <c r="J545" s="3" t="str">
        <f t="shared" si="17"/>
        <v>2832_A1C1.webp</v>
      </c>
      <c r="K545" s="5">
        <f>Sheet4!E545</f>
        <v>24</v>
      </c>
      <c r="L545" s="5"/>
      <c r="M545" s="4"/>
    </row>
    <row r="546" spans="1:13" x14ac:dyDescent="0.25">
      <c r="A546" t="s">
        <v>3242</v>
      </c>
      <c r="B546" t="s">
        <v>3243</v>
      </c>
      <c r="C546" s="25">
        <v>2833</v>
      </c>
      <c r="D546" s="28">
        <v>2833</v>
      </c>
      <c r="E546" s="2" t="str">
        <f t="shared" si="18"/>
        <v>Same</v>
      </c>
      <c r="F546" s="6" t="s">
        <v>1879</v>
      </c>
      <c r="G546" s="3">
        <v>38.5</v>
      </c>
      <c r="H546" s="2" t="s">
        <v>537</v>
      </c>
      <c r="I546" s="4">
        <f>[1]Sheet1!I546</f>
        <v>1069</v>
      </c>
      <c r="J546" s="3" t="str">
        <f t="shared" si="17"/>
        <v>2833_A1C1.webp</v>
      </c>
      <c r="K546" s="5">
        <f>Sheet4!E546</f>
        <v>12</v>
      </c>
      <c r="L546" s="5"/>
      <c r="M546" s="4"/>
    </row>
    <row r="547" spans="1:13" x14ac:dyDescent="0.25">
      <c r="A547" t="s">
        <v>2944</v>
      </c>
      <c r="B547" t="s">
        <v>3048</v>
      </c>
      <c r="C547" s="25">
        <v>2834</v>
      </c>
      <c r="D547" s="28">
        <v>2834</v>
      </c>
      <c r="E547" s="2" t="str">
        <f t="shared" si="18"/>
        <v>Same</v>
      </c>
      <c r="F547" s="6" t="s">
        <v>1910</v>
      </c>
      <c r="G547" s="3">
        <v>91.95</v>
      </c>
      <c r="H547" s="2" t="s">
        <v>538</v>
      </c>
      <c r="I547" s="4">
        <f>[1]Sheet1!I547</f>
        <v>0</v>
      </c>
      <c r="J547" s="3" t="str">
        <f t="shared" si="17"/>
        <v>2834_A1C1.webp</v>
      </c>
      <c r="K547" s="5">
        <f>Sheet4!E547</f>
        <v>20</v>
      </c>
      <c r="L547" s="5"/>
      <c r="M547" s="4"/>
    </row>
    <row r="548" spans="1:13" x14ac:dyDescent="0.25">
      <c r="A548" t="s">
        <v>2944</v>
      </c>
      <c r="B548" t="s">
        <v>3048</v>
      </c>
      <c r="C548" s="25">
        <v>2835</v>
      </c>
      <c r="D548" s="28">
        <v>2835</v>
      </c>
      <c r="E548" s="2" t="str">
        <f t="shared" si="18"/>
        <v>Same</v>
      </c>
      <c r="F548" s="6" t="s">
        <v>1907</v>
      </c>
      <c r="G548" s="3">
        <v>90.95</v>
      </c>
      <c r="H548" s="2" t="s">
        <v>539</v>
      </c>
      <c r="I548" s="4">
        <f>[1]Sheet1!I548</f>
        <v>0</v>
      </c>
      <c r="J548" s="3" t="str">
        <f t="shared" si="17"/>
        <v>2835_A1C1.webp</v>
      </c>
      <c r="K548" s="5">
        <f>Sheet4!E548</f>
        <v>8</v>
      </c>
      <c r="L548" s="5"/>
      <c r="M548" s="4"/>
    </row>
    <row r="549" spans="1:13" x14ac:dyDescent="0.25">
      <c r="A549" t="s">
        <v>2944</v>
      </c>
      <c r="B549" t="s">
        <v>2945</v>
      </c>
      <c r="C549" s="25">
        <v>2836</v>
      </c>
      <c r="D549" s="28">
        <v>2836</v>
      </c>
      <c r="E549" s="2" t="str">
        <f t="shared" si="18"/>
        <v>Same</v>
      </c>
      <c r="F549" s="6" t="s">
        <v>1866</v>
      </c>
      <c r="G549" s="3">
        <v>20.65</v>
      </c>
      <c r="H549" s="2" t="s">
        <v>540</v>
      </c>
      <c r="I549" s="4">
        <f>[1]Sheet1!I549</f>
        <v>0</v>
      </c>
      <c r="J549" s="3" t="str">
        <f t="shared" si="17"/>
        <v>2836_A1C1.webp</v>
      </c>
      <c r="K549" s="5">
        <f>Sheet4!E549</f>
        <v>12</v>
      </c>
      <c r="L549" s="5"/>
      <c r="M549" s="4"/>
    </row>
    <row r="550" spans="1:13" x14ac:dyDescent="0.25">
      <c r="A550" t="s">
        <v>2944</v>
      </c>
      <c r="B550" t="s">
        <v>2945</v>
      </c>
      <c r="C550" s="25">
        <v>2837</v>
      </c>
      <c r="D550" s="28">
        <v>2837</v>
      </c>
      <c r="E550" s="2" t="str">
        <f t="shared" si="18"/>
        <v>Same</v>
      </c>
      <c r="F550" s="6" t="s">
        <v>1866</v>
      </c>
      <c r="G550" s="3">
        <v>20.65</v>
      </c>
      <c r="H550" s="2" t="s">
        <v>541</v>
      </c>
      <c r="I550" s="4">
        <f>[1]Sheet1!I550</f>
        <v>140</v>
      </c>
      <c r="J550" s="3" t="str">
        <f t="shared" si="17"/>
        <v>2837_A1C1.webp</v>
      </c>
      <c r="K550" s="5">
        <f>Sheet4!E550</f>
        <v>12</v>
      </c>
      <c r="L550" s="5"/>
      <c r="M550" s="4"/>
    </row>
    <row r="551" spans="1:13" x14ac:dyDescent="0.25">
      <c r="A551" t="s">
        <v>2944</v>
      </c>
      <c r="B551" t="s">
        <v>3282</v>
      </c>
      <c r="C551" s="25">
        <v>2838</v>
      </c>
      <c r="D551" s="28">
        <v>2838</v>
      </c>
      <c r="E551" s="2" t="str">
        <f t="shared" si="18"/>
        <v>Same</v>
      </c>
      <c r="F551" s="6" t="s">
        <v>1866</v>
      </c>
      <c r="G551" s="3">
        <v>20.65</v>
      </c>
      <c r="H551" s="2" t="s">
        <v>542</v>
      </c>
      <c r="I551" s="4">
        <f>[1]Sheet1!I551</f>
        <v>23</v>
      </c>
      <c r="J551" s="3" t="str">
        <f t="shared" si="17"/>
        <v>2838_A1C1.webp</v>
      </c>
      <c r="K551" s="5">
        <f>Sheet4!E551</f>
        <v>12</v>
      </c>
      <c r="L551" s="5"/>
      <c r="M551" s="4"/>
    </row>
    <row r="552" spans="1:13" x14ac:dyDescent="0.25">
      <c r="A552" t="s">
        <v>3242</v>
      </c>
      <c r="B552" t="s">
        <v>3243</v>
      </c>
      <c r="C552" s="25">
        <v>2839</v>
      </c>
      <c r="D552" s="28">
        <v>2839</v>
      </c>
      <c r="E552" s="2" t="str">
        <f t="shared" si="18"/>
        <v>Same</v>
      </c>
      <c r="F552" s="6" t="s">
        <v>1879</v>
      </c>
      <c r="G552" s="3">
        <v>28.5</v>
      </c>
      <c r="H552" s="2" t="s">
        <v>543</v>
      </c>
      <c r="I552" s="4">
        <f>[1]Sheet1!I552</f>
        <v>0</v>
      </c>
      <c r="J552" s="3" t="str">
        <f t="shared" si="17"/>
        <v>2839_A1C1.webp</v>
      </c>
      <c r="K552" s="5">
        <f>Sheet4!E552</f>
        <v>12</v>
      </c>
      <c r="L552" s="5"/>
      <c r="M552" s="4"/>
    </row>
    <row r="553" spans="1:13" x14ac:dyDescent="0.25">
      <c r="A553" t="s">
        <v>3242</v>
      </c>
      <c r="B553" t="s">
        <v>3243</v>
      </c>
      <c r="C553" s="25">
        <v>2840</v>
      </c>
      <c r="D553" s="28">
        <v>2840</v>
      </c>
      <c r="E553" s="2" t="str">
        <f t="shared" si="18"/>
        <v>Same</v>
      </c>
      <c r="F553" s="6" t="s">
        <v>1855</v>
      </c>
      <c r="G553" s="3">
        <v>56.95</v>
      </c>
      <c r="H553" s="2" t="s">
        <v>544</v>
      </c>
      <c r="I553" s="4">
        <f>[1]Sheet1!I553</f>
        <v>863</v>
      </c>
      <c r="J553" s="3" t="str">
        <f t="shared" si="17"/>
        <v>2840_A1C1.webp</v>
      </c>
      <c r="K553" s="5">
        <f>Sheet4!E553</f>
        <v>24</v>
      </c>
      <c r="L553" s="5"/>
      <c r="M553" s="4"/>
    </row>
    <row r="554" spans="1:13" x14ac:dyDescent="0.25">
      <c r="A554" t="s">
        <v>3242</v>
      </c>
      <c r="B554" t="s">
        <v>3243</v>
      </c>
      <c r="C554" s="25">
        <v>2841</v>
      </c>
      <c r="D554" s="28">
        <v>2841</v>
      </c>
      <c r="E554" s="2" t="str">
        <f t="shared" si="18"/>
        <v>Same</v>
      </c>
      <c r="F554" s="6" t="s">
        <v>1855</v>
      </c>
      <c r="G554" s="3">
        <v>56.95</v>
      </c>
      <c r="H554" s="2" t="s">
        <v>545</v>
      </c>
      <c r="I554" s="4">
        <f>[1]Sheet1!I554</f>
        <v>213</v>
      </c>
      <c r="J554" s="3" t="str">
        <f t="shared" si="17"/>
        <v>2841_A1C1.webp</v>
      </c>
      <c r="K554" s="5">
        <f>Sheet4!E554</f>
        <v>24</v>
      </c>
      <c r="L554" s="5"/>
      <c r="M554" s="4"/>
    </row>
    <row r="555" spans="1:13" x14ac:dyDescent="0.25">
      <c r="A555" t="s">
        <v>3242</v>
      </c>
      <c r="B555" t="s">
        <v>3243</v>
      </c>
      <c r="C555" s="25">
        <v>2842</v>
      </c>
      <c r="D555" s="28">
        <v>2842</v>
      </c>
      <c r="E555" s="2" t="str">
        <f t="shared" si="18"/>
        <v>Same</v>
      </c>
      <c r="F555" s="6" t="s">
        <v>1855</v>
      </c>
      <c r="G555" s="3">
        <v>56.95</v>
      </c>
      <c r="H555" s="2" t="s">
        <v>546</v>
      </c>
      <c r="I555" s="4">
        <f>[1]Sheet1!I555</f>
        <v>92</v>
      </c>
      <c r="J555" s="3" t="str">
        <f t="shared" si="17"/>
        <v>2842_A1C1.webp</v>
      </c>
      <c r="K555" s="5">
        <f>Sheet4!E555</f>
        <v>24</v>
      </c>
      <c r="L555" s="5"/>
      <c r="M555" s="4"/>
    </row>
    <row r="556" spans="1:13" x14ac:dyDescent="0.25">
      <c r="A556" t="s">
        <v>2514</v>
      </c>
      <c r="B556" t="s">
        <v>3291</v>
      </c>
      <c r="C556" s="25">
        <v>2843</v>
      </c>
      <c r="D556" s="28">
        <v>2843</v>
      </c>
      <c r="E556" s="2" t="str">
        <f t="shared" si="18"/>
        <v>Same</v>
      </c>
      <c r="F556" s="6" t="s">
        <v>1839</v>
      </c>
      <c r="G556" s="3">
        <v>29.99</v>
      </c>
      <c r="H556" s="2" t="s">
        <v>547</v>
      </c>
      <c r="I556" s="4">
        <f>[1]Sheet1!I556</f>
        <v>27</v>
      </c>
      <c r="J556" s="3" t="str">
        <f t="shared" si="17"/>
        <v>2843_A1C1.webp</v>
      </c>
      <c r="K556" s="5">
        <f>Sheet4!E556</f>
        <v>12</v>
      </c>
      <c r="L556" s="5"/>
      <c r="M556" s="4"/>
    </row>
    <row r="557" spans="1:13" x14ac:dyDescent="0.25">
      <c r="A557" t="s">
        <v>2514</v>
      </c>
      <c r="B557" t="s">
        <v>3291</v>
      </c>
      <c r="C557" s="25">
        <v>2844</v>
      </c>
      <c r="D557" s="28">
        <v>2844</v>
      </c>
      <c r="E557" s="2" t="str">
        <f t="shared" si="18"/>
        <v>Same</v>
      </c>
      <c r="F557" s="6" t="s">
        <v>1839</v>
      </c>
      <c r="G557" s="3">
        <v>33.5</v>
      </c>
      <c r="H557" s="2" t="s">
        <v>548</v>
      </c>
      <c r="I557" s="4">
        <f>[1]Sheet1!I557</f>
        <v>102</v>
      </c>
      <c r="J557" s="3" t="str">
        <f t="shared" si="17"/>
        <v>2844_A1C1.webp</v>
      </c>
      <c r="K557" s="5">
        <f>Sheet4!E557</f>
        <v>12</v>
      </c>
      <c r="L557" s="5"/>
      <c r="M557" s="4"/>
    </row>
    <row r="558" spans="1:13" x14ac:dyDescent="0.25">
      <c r="A558" t="s">
        <v>2514</v>
      </c>
      <c r="B558" t="s">
        <v>3296</v>
      </c>
      <c r="C558" s="25">
        <v>2845</v>
      </c>
      <c r="D558" s="28">
        <v>2845</v>
      </c>
      <c r="E558" s="2" t="str">
        <f t="shared" si="18"/>
        <v>Same</v>
      </c>
      <c r="F558" s="6" t="s">
        <v>1902</v>
      </c>
      <c r="G558" s="3">
        <v>26.5</v>
      </c>
      <c r="H558" s="2" t="s">
        <v>549</v>
      </c>
      <c r="I558" s="4">
        <f>[1]Sheet1!I558</f>
        <v>366</v>
      </c>
      <c r="J558" s="3" t="str">
        <f t="shared" si="17"/>
        <v>2845_A1C1.webp</v>
      </c>
      <c r="K558" s="5">
        <f>Sheet4!E558</f>
        <v>24</v>
      </c>
      <c r="L558" s="5"/>
      <c r="M558" s="4"/>
    </row>
    <row r="559" spans="1:13" x14ac:dyDescent="0.25">
      <c r="A559" t="s">
        <v>2514</v>
      </c>
      <c r="B559" t="s">
        <v>3291</v>
      </c>
      <c r="C559" s="25">
        <v>2846</v>
      </c>
      <c r="D559" s="28">
        <v>2846</v>
      </c>
      <c r="E559" s="2" t="str">
        <f t="shared" si="18"/>
        <v>Same</v>
      </c>
      <c r="F559" s="6" t="s">
        <v>1839</v>
      </c>
      <c r="G559" s="3">
        <v>29.95</v>
      </c>
      <c r="H559" s="2" t="s">
        <v>550</v>
      </c>
      <c r="I559" s="4">
        <f>[1]Sheet1!I559</f>
        <v>35</v>
      </c>
      <c r="J559" s="3" t="str">
        <f t="shared" si="17"/>
        <v>2846_A1C1.webp</v>
      </c>
      <c r="K559" s="5">
        <f>Sheet4!E559</f>
        <v>12</v>
      </c>
      <c r="L559" s="5"/>
      <c r="M559" s="4"/>
    </row>
    <row r="560" spans="1:13" x14ac:dyDescent="0.25">
      <c r="A560" t="s">
        <v>2514</v>
      </c>
      <c r="B560" t="s">
        <v>3291</v>
      </c>
      <c r="C560" s="25">
        <v>2847</v>
      </c>
      <c r="D560" s="28">
        <v>2847</v>
      </c>
      <c r="E560" s="2" t="str">
        <f t="shared" si="18"/>
        <v>Same</v>
      </c>
      <c r="F560" s="6" t="s">
        <v>1839</v>
      </c>
      <c r="G560" s="3">
        <v>35.950000000000003</v>
      </c>
      <c r="H560" s="2" t="s">
        <v>551</v>
      </c>
      <c r="I560" s="4">
        <f>[1]Sheet1!I560</f>
        <v>81</v>
      </c>
      <c r="J560" s="3" t="str">
        <f t="shared" si="17"/>
        <v>2847_A1C1.webp</v>
      </c>
      <c r="K560" s="5">
        <f>Sheet4!E560</f>
        <v>12</v>
      </c>
      <c r="L560" s="5"/>
      <c r="M560" s="4"/>
    </row>
    <row r="561" spans="1:13" x14ac:dyDescent="0.25">
      <c r="A561" t="s">
        <v>2514</v>
      </c>
      <c r="B561" t="s">
        <v>3291</v>
      </c>
      <c r="C561" s="25">
        <v>2848</v>
      </c>
      <c r="D561" s="28">
        <v>2848</v>
      </c>
      <c r="E561" s="2" t="str">
        <f t="shared" si="18"/>
        <v>Same</v>
      </c>
      <c r="F561" s="6" t="s">
        <v>1839</v>
      </c>
      <c r="G561" s="3">
        <v>24.35</v>
      </c>
      <c r="H561" s="2" t="s">
        <v>552</v>
      </c>
      <c r="I561" s="4">
        <f>[1]Sheet1!I561</f>
        <v>14</v>
      </c>
      <c r="J561" s="3" t="str">
        <f t="shared" si="17"/>
        <v>2848_A1C1.webp</v>
      </c>
      <c r="K561" s="5">
        <f>Sheet4!E561</f>
        <v>12</v>
      </c>
      <c r="L561" s="5"/>
      <c r="M561" s="4"/>
    </row>
    <row r="562" spans="1:13" x14ac:dyDescent="0.25">
      <c r="A562" t="s">
        <v>2514</v>
      </c>
      <c r="B562" t="s">
        <v>3291</v>
      </c>
      <c r="C562" s="25">
        <v>2849</v>
      </c>
      <c r="D562" s="28">
        <v>2849</v>
      </c>
      <c r="E562" s="2" t="str">
        <f t="shared" si="18"/>
        <v>Same</v>
      </c>
      <c r="F562" s="6" t="s">
        <v>1839</v>
      </c>
      <c r="G562" s="3">
        <v>33.5</v>
      </c>
      <c r="H562" s="2" t="s">
        <v>553</v>
      </c>
      <c r="I562" s="4">
        <f>[1]Sheet1!I562</f>
        <v>124</v>
      </c>
      <c r="J562" s="3" t="str">
        <f t="shared" si="17"/>
        <v>2849_A1C1.webp</v>
      </c>
      <c r="K562" s="5">
        <f>Sheet4!E562</f>
        <v>12</v>
      </c>
      <c r="L562" s="5"/>
      <c r="M562" s="4"/>
    </row>
    <row r="563" spans="1:13" x14ac:dyDescent="0.25">
      <c r="A563" t="s">
        <v>2514</v>
      </c>
      <c r="B563" t="s">
        <v>3291</v>
      </c>
      <c r="C563" s="25">
        <v>2850</v>
      </c>
      <c r="D563" s="28">
        <v>2850</v>
      </c>
      <c r="E563" s="2" t="str">
        <f t="shared" si="18"/>
        <v>Same</v>
      </c>
      <c r="F563" s="6" t="s">
        <v>1839</v>
      </c>
      <c r="G563" s="3">
        <v>54.5</v>
      </c>
      <c r="H563" s="2" t="s">
        <v>554</v>
      </c>
      <c r="I563" s="4">
        <f>[1]Sheet1!I563</f>
        <v>115</v>
      </c>
      <c r="J563" s="3" t="str">
        <f t="shared" si="17"/>
        <v>2850_A1C1.webp</v>
      </c>
      <c r="K563" s="5">
        <f>Sheet4!E563</f>
        <v>12</v>
      </c>
      <c r="L563" s="5"/>
      <c r="M563" s="4"/>
    </row>
    <row r="564" spans="1:13" x14ac:dyDescent="0.25">
      <c r="A564" t="s">
        <v>2514</v>
      </c>
      <c r="B564" t="s">
        <v>3309</v>
      </c>
      <c r="C564" s="25">
        <v>2851</v>
      </c>
      <c r="D564" s="28">
        <v>2851</v>
      </c>
      <c r="E564" s="2" t="str">
        <f t="shared" si="18"/>
        <v>Same</v>
      </c>
      <c r="F564" s="6" t="s">
        <v>1922</v>
      </c>
      <c r="G564" s="3">
        <v>15.25</v>
      </c>
      <c r="H564" s="2" t="s">
        <v>555</v>
      </c>
      <c r="I564" s="4">
        <f>[1]Sheet1!I564</f>
        <v>577</v>
      </c>
      <c r="J564" s="3" t="str">
        <f t="shared" si="17"/>
        <v>2851_A1C1.webp</v>
      </c>
      <c r="K564" s="5">
        <f>Sheet4!E564</f>
        <v>12</v>
      </c>
      <c r="L564" s="5"/>
      <c r="M564" s="4"/>
    </row>
    <row r="565" spans="1:13" x14ac:dyDescent="0.25">
      <c r="A565" t="s">
        <v>2514</v>
      </c>
      <c r="B565" t="s">
        <v>3309</v>
      </c>
      <c r="C565" s="25">
        <v>2852</v>
      </c>
      <c r="D565" s="28">
        <v>2852</v>
      </c>
      <c r="E565" s="2" t="str">
        <f t="shared" si="18"/>
        <v>Same</v>
      </c>
      <c r="F565" s="6" t="s">
        <v>1923</v>
      </c>
      <c r="G565" s="3">
        <v>23.5</v>
      </c>
      <c r="H565" s="2" t="s">
        <v>556</v>
      </c>
      <c r="I565" s="4">
        <f>[1]Sheet1!I565</f>
        <v>470</v>
      </c>
      <c r="J565" s="3" t="str">
        <f t="shared" si="17"/>
        <v>2852_A1C1.webp</v>
      </c>
      <c r="K565" s="5">
        <f>Sheet4!E565</f>
        <v>12</v>
      </c>
      <c r="L565" s="5"/>
      <c r="M565" s="4"/>
    </row>
    <row r="566" spans="1:13" x14ac:dyDescent="0.25">
      <c r="A566" t="s">
        <v>2514</v>
      </c>
      <c r="B566" t="s">
        <v>3309</v>
      </c>
      <c r="C566" s="25">
        <v>2853</v>
      </c>
      <c r="D566" s="28">
        <v>2853</v>
      </c>
      <c r="E566" s="2" t="str">
        <f t="shared" si="18"/>
        <v>Same</v>
      </c>
      <c r="F566" s="6" t="s">
        <v>1852</v>
      </c>
      <c r="G566" s="3">
        <v>41.95</v>
      </c>
      <c r="H566" s="2" t="s">
        <v>557</v>
      </c>
      <c r="I566" s="4">
        <f>[1]Sheet1!I566</f>
        <v>83</v>
      </c>
      <c r="J566" s="3" t="str">
        <f t="shared" si="17"/>
        <v>2853_A1C1.webp</v>
      </c>
      <c r="K566" s="5">
        <f>Sheet4!E566</f>
        <v>6</v>
      </c>
      <c r="L566" s="5"/>
      <c r="M566" s="4"/>
    </row>
    <row r="567" spans="1:13" x14ac:dyDescent="0.25">
      <c r="A567" t="s">
        <v>2514</v>
      </c>
      <c r="B567" t="s">
        <v>3296</v>
      </c>
      <c r="C567" s="25">
        <v>2854</v>
      </c>
      <c r="D567" s="28">
        <v>2854</v>
      </c>
      <c r="E567" s="2" t="str">
        <f t="shared" si="18"/>
        <v>Same</v>
      </c>
      <c r="F567" s="6" t="s">
        <v>1866</v>
      </c>
      <c r="G567" s="3">
        <v>33.950000000000003</v>
      </c>
      <c r="H567" s="2" t="s">
        <v>558</v>
      </c>
      <c r="I567" s="4">
        <f>[1]Sheet1!I567</f>
        <v>7</v>
      </c>
      <c r="J567" s="3" t="str">
        <f t="shared" si="17"/>
        <v>2854_A1C1.webp</v>
      </c>
      <c r="K567" s="5">
        <f>Sheet4!E567</f>
        <v>24</v>
      </c>
      <c r="L567" s="5"/>
      <c r="M567" s="4"/>
    </row>
    <row r="568" spans="1:13" x14ac:dyDescent="0.25">
      <c r="A568" t="s">
        <v>3315</v>
      </c>
      <c r="B568" t="s">
        <v>3316</v>
      </c>
      <c r="C568" s="25">
        <v>2856</v>
      </c>
      <c r="D568" s="28">
        <v>2856</v>
      </c>
      <c r="E568" s="2" t="str">
        <f t="shared" si="18"/>
        <v>Same</v>
      </c>
      <c r="F568" s="6" t="s">
        <v>1869</v>
      </c>
      <c r="G568" s="3">
        <v>54.95</v>
      </c>
      <c r="H568" s="2" t="s">
        <v>559</v>
      </c>
      <c r="I568" s="4">
        <f>[1]Sheet1!I568</f>
        <v>270</v>
      </c>
      <c r="J568" s="3" t="str">
        <f t="shared" si="17"/>
        <v>2856_A1C1.webp</v>
      </c>
      <c r="K568" s="5">
        <f>Sheet4!E568</f>
        <v>12</v>
      </c>
      <c r="L568" s="5"/>
      <c r="M568" s="4"/>
    </row>
    <row r="569" spans="1:13" x14ac:dyDescent="0.25">
      <c r="A569" t="s">
        <v>2514</v>
      </c>
      <c r="B569" t="s">
        <v>3309</v>
      </c>
      <c r="C569" s="25">
        <v>2857</v>
      </c>
      <c r="D569" s="28">
        <v>2857</v>
      </c>
      <c r="E569" s="2" t="str">
        <f t="shared" si="18"/>
        <v>Same</v>
      </c>
      <c r="F569" s="6" t="s">
        <v>1922</v>
      </c>
      <c r="G569" s="3">
        <v>16.95</v>
      </c>
      <c r="H569" s="2" t="s">
        <v>560</v>
      </c>
      <c r="I569" s="4">
        <f>[1]Sheet1!I569</f>
        <v>187</v>
      </c>
      <c r="J569" s="3" t="str">
        <f t="shared" si="17"/>
        <v>2857_A1C1.webp</v>
      </c>
      <c r="K569" s="5">
        <f>Sheet4!E569</f>
        <v>12</v>
      </c>
      <c r="L569" s="5"/>
      <c r="M569" s="4"/>
    </row>
    <row r="570" spans="1:13" x14ac:dyDescent="0.25">
      <c r="A570" t="s">
        <v>2514</v>
      </c>
      <c r="B570" t="s">
        <v>3309</v>
      </c>
      <c r="C570" s="25">
        <v>2858</v>
      </c>
      <c r="D570" s="28">
        <v>2858</v>
      </c>
      <c r="E570" s="2" t="str">
        <f t="shared" si="18"/>
        <v>Same</v>
      </c>
      <c r="F570" s="6" t="s">
        <v>1923</v>
      </c>
      <c r="G570" s="3">
        <v>26.25</v>
      </c>
      <c r="H570" s="2" t="s">
        <v>561</v>
      </c>
      <c r="I570" s="4">
        <f>[1]Sheet1!I570</f>
        <v>108</v>
      </c>
      <c r="J570" s="3" t="str">
        <f t="shared" si="17"/>
        <v>2858_A1C1.webp</v>
      </c>
      <c r="K570" s="5">
        <f>Sheet4!E570</f>
        <v>12</v>
      </c>
      <c r="L570" s="5"/>
      <c r="M570" s="4"/>
    </row>
    <row r="571" spans="1:13" x14ac:dyDescent="0.25">
      <c r="A571" t="s">
        <v>2671</v>
      </c>
      <c r="B571" t="s">
        <v>2514</v>
      </c>
      <c r="C571" s="25">
        <v>2860</v>
      </c>
      <c r="D571" s="28">
        <v>2860</v>
      </c>
      <c r="E571" s="2" t="str">
        <f t="shared" si="18"/>
        <v>Same</v>
      </c>
      <c r="F571" s="6" t="s">
        <v>1866</v>
      </c>
      <c r="G571" s="3">
        <v>128.94999999999999</v>
      </c>
      <c r="H571" s="2" t="s">
        <v>562</v>
      </c>
      <c r="I571" s="4">
        <f>[1]Sheet1!I571</f>
        <v>329</v>
      </c>
      <c r="J571" s="3" t="str">
        <f t="shared" si="17"/>
        <v>2860_A1C1.webp</v>
      </c>
      <c r="K571" s="5">
        <f>Sheet4!E571</f>
        <v>72</v>
      </c>
      <c r="L571" s="5"/>
      <c r="M571" s="4"/>
    </row>
    <row r="572" spans="1:13" x14ac:dyDescent="0.25">
      <c r="A572" t="s">
        <v>2514</v>
      </c>
      <c r="B572" t="s">
        <v>3309</v>
      </c>
      <c r="C572" s="25">
        <v>2861</v>
      </c>
      <c r="D572" s="28">
        <v>2861</v>
      </c>
      <c r="E572" s="2" t="str">
        <f t="shared" si="18"/>
        <v>Same</v>
      </c>
      <c r="F572" s="6" t="s">
        <v>1922</v>
      </c>
      <c r="G572" s="3">
        <v>18.75</v>
      </c>
      <c r="H572" s="2" t="s">
        <v>563</v>
      </c>
      <c r="I572" s="4">
        <f>[1]Sheet1!I572</f>
        <v>8</v>
      </c>
      <c r="J572" s="3" t="str">
        <f t="shared" si="17"/>
        <v>2861_A1C1.webp</v>
      </c>
      <c r="K572" s="5">
        <f>Sheet4!E572</f>
        <v>12</v>
      </c>
      <c r="L572" s="5"/>
      <c r="M572" s="4"/>
    </row>
    <row r="573" spans="1:13" x14ac:dyDescent="0.25">
      <c r="A573" t="s">
        <v>2514</v>
      </c>
      <c r="B573" t="s">
        <v>3309</v>
      </c>
      <c r="C573" s="25">
        <v>2862</v>
      </c>
      <c r="D573" s="28">
        <v>2862</v>
      </c>
      <c r="E573" s="2" t="str">
        <f t="shared" si="18"/>
        <v>Same</v>
      </c>
      <c r="F573" s="6" t="s">
        <v>1923</v>
      </c>
      <c r="G573" s="3">
        <v>31.25</v>
      </c>
      <c r="H573" s="2" t="s">
        <v>564</v>
      </c>
      <c r="I573" s="4">
        <f>[1]Sheet1!I573</f>
        <v>23</v>
      </c>
      <c r="J573" s="3" t="str">
        <f t="shared" si="17"/>
        <v>2862_A1C1.webp</v>
      </c>
      <c r="K573" s="5">
        <f>Sheet4!E573</f>
        <v>12</v>
      </c>
      <c r="L573" s="5"/>
      <c r="M573" s="4"/>
    </row>
    <row r="574" spans="1:13" x14ac:dyDescent="0.25">
      <c r="A574" t="s">
        <v>2514</v>
      </c>
      <c r="B574" t="s">
        <v>3332</v>
      </c>
      <c r="C574" s="25">
        <v>2863</v>
      </c>
      <c r="D574" s="28">
        <v>2863</v>
      </c>
      <c r="E574" s="2" t="str">
        <f t="shared" si="18"/>
        <v>Same</v>
      </c>
      <c r="F574" s="6" t="s">
        <v>1881</v>
      </c>
      <c r="G574" s="3">
        <v>68.5</v>
      </c>
      <c r="H574" s="2" t="s">
        <v>565</v>
      </c>
      <c r="I574" s="4">
        <f>[1]Sheet1!I574</f>
        <v>21</v>
      </c>
      <c r="J574" s="3" t="str">
        <f t="shared" si="17"/>
        <v>2863_A1C1.webp</v>
      </c>
      <c r="K574" s="5">
        <f>Sheet4!E574</f>
        <v>12</v>
      </c>
      <c r="L574" s="5"/>
      <c r="M574" s="4"/>
    </row>
    <row r="575" spans="1:13" x14ac:dyDescent="0.25">
      <c r="A575" t="s">
        <v>2514</v>
      </c>
      <c r="B575" t="s">
        <v>3309</v>
      </c>
      <c r="C575" s="25">
        <v>2865</v>
      </c>
      <c r="D575" s="28">
        <v>2865</v>
      </c>
      <c r="E575" s="2" t="str">
        <f t="shared" si="18"/>
        <v>Same</v>
      </c>
      <c r="F575" s="6" t="s">
        <v>1923</v>
      </c>
      <c r="G575" s="3">
        <v>32.5</v>
      </c>
      <c r="H575" s="2" t="s">
        <v>566</v>
      </c>
      <c r="I575" s="4">
        <f>[1]Sheet1!I575</f>
        <v>39</v>
      </c>
      <c r="J575" s="3" t="str">
        <f t="shared" si="17"/>
        <v>2865_A1C1.webp</v>
      </c>
      <c r="K575" s="5">
        <f>Sheet4!E575</f>
        <v>12</v>
      </c>
      <c r="L575" s="5"/>
      <c r="M575" s="4"/>
    </row>
    <row r="576" spans="1:13" x14ac:dyDescent="0.25">
      <c r="A576" t="s">
        <v>2514</v>
      </c>
      <c r="B576" t="s">
        <v>3309</v>
      </c>
      <c r="C576" s="25">
        <v>2866</v>
      </c>
      <c r="D576" s="28">
        <v>2866</v>
      </c>
      <c r="E576" s="2" t="str">
        <f t="shared" si="18"/>
        <v>Same</v>
      </c>
      <c r="F576" s="6" t="s">
        <v>1922</v>
      </c>
      <c r="G576" s="3">
        <v>19.95</v>
      </c>
      <c r="H576" s="2" t="s">
        <v>567</v>
      </c>
      <c r="I576" s="4">
        <f>[1]Sheet1!I576</f>
        <v>0</v>
      </c>
      <c r="J576" s="3" t="str">
        <f t="shared" si="17"/>
        <v>2866_A1C1.webp</v>
      </c>
      <c r="K576" s="5">
        <f>Sheet4!E576</f>
        <v>12</v>
      </c>
      <c r="L576" s="5"/>
      <c r="M576" s="4"/>
    </row>
    <row r="577" spans="1:13" x14ac:dyDescent="0.25">
      <c r="A577" t="s">
        <v>2593</v>
      </c>
      <c r="B577" t="s">
        <v>3339</v>
      </c>
      <c r="C577" s="25">
        <v>2868</v>
      </c>
      <c r="D577" s="28">
        <v>2868</v>
      </c>
      <c r="E577" s="2" t="str">
        <f t="shared" si="18"/>
        <v>Same</v>
      </c>
      <c r="F577" s="6" t="s">
        <v>1923</v>
      </c>
      <c r="G577" s="3">
        <v>32.5</v>
      </c>
      <c r="H577" s="2" t="s">
        <v>568</v>
      </c>
      <c r="I577" s="4">
        <f>[1]Sheet1!I577</f>
        <v>0</v>
      </c>
      <c r="J577" s="3" t="str">
        <f t="shared" si="17"/>
        <v>2868_A1C1.webp</v>
      </c>
      <c r="K577" s="5">
        <f>Sheet4!E577</f>
        <v>12</v>
      </c>
      <c r="L577" s="5"/>
      <c r="M577" s="4"/>
    </row>
    <row r="578" spans="1:13" x14ac:dyDescent="0.25">
      <c r="A578" t="s">
        <v>2593</v>
      </c>
      <c r="B578" t="s">
        <v>3339</v>
      </c>
      <c r="C578" s="25">
        <v>2870</v>
      </c>
      <c r="D578" s="28">
        <v>2870</v>
      </c>
      <c r="E578" s="2" t="str">
        <f t="shared" si="18"/>
        <v>Same</v>
      </c>
      <c r="F578" s="6" t="s">
        <v>1923</v>
      </c>
      <c r="G578" s="3">
        <v>33.5</v>
      </c>
      <c r="H578" s="2" t="s">
        <v>569</v>
      </c>
      <c r="I578" s="4">
        <f>[1]Sheet1!I578</f>
        <v>837</v>
      </c>
      <c r="J578" s="3" t="str">
        <f t="shared" ref="J578:J641" si="19">C578 &amp; "_A1C1.webp"</f>
        <v>2870_A1C1.webp</v>
      </c>
      <c r="K578" s="5">
        <f>Sheet4!E578</f>
        <v>12</v>
      </c>
      <c r="L578" s="5"/>
      <c r="M578" s="4"/>
    </row>
    <row r="579" spans="1:13" x14ac:dyDescent="0.25">
      <c r="A579" t="s">
        <v>2514</v>
      </c>
      <c r="B579" t="s">
        <v>3332</v>
      </c>
      <c r="C579" s="25">
        <v>2871</v>
      </c>
      <c r="D579" s="28">
        <v>2871</v>
      </c>
      <c r="E579" s="2" t="str">
        <f t="shared" si="18"/>
        <v>Same</v>
      </c>
      <c r="F579" s="6" t="s">
        <v>1874</v>
      </c>
      <c r="G579" s="3">
        <v>40.950000000000003</v>
      </c>
      <c r="H579" s="2" t="s">
        <v>570</v>
      </c>
      <c r="I579" s="4">
        <f>[1]Sheet1!I579</f>
        <v>75</v>
      </c>
      <c r="J579" s="3" t="str">
        <f t="shared" si="19"/>
        <v>2871_A1C1.webp</v>
      </c>
      <c r="K579" s="5">
        <f>Sheet4!E579</f>
        <v>12</v>
      </c>
      <c r="L579" s="5"/>
      <c r="M579" s="4"/>
    </row>
    <row r="580" spans="1:13" x14ac:dyDescent="0.25">
      <c r="A580" t="s">
        <v>2593</v>
      </c>
      <c r="B580" t="s">
        <v>3339</v>
      </c>
      <c r="C580" s="25">
        <v>2872</v>
      </c>
      <c r="D580" s="28">
        <v>2872</v>
      </c>
      <c r="E580" s="2" t="str">
        <f t="shared" si="18"/>
        <v>Same</v>
      </c>
      <c r="F580" s="6" t="s">
        <v>1879</v>
      </c>
      <c r="G580" s="3">
        <v>38.5</v>
      </c>
      <c r="H580" s="2" t="s">
        <v>571</v>
      </c>
      <c r="I580" s="4">
        <f>[1]Sheet1!I580</f>
        <v>516</v>
      </c>
      <c r="J580" s="3" t="str">
        <f t="shared" si="19"/>
        <v>2872_A1C1.webp</v>
      </c>
      <c r="K580" s="5">
        <f>Sheet4!E580</f>
        <v>12</v>
      </c>
      <c r="L580" s="5"/>
      <c r="M580" s="4"/>
    </row>
    <row r="581" spans="1:13" x14ac:dyDescent="0.25">
      <c r="A581" t="s">
        <v>2593</v>
      </c>
      <c r="B581" t="s">
        <v>3339</v>
      </c>
      <c r="C581" s="25">
        <v>2873</v>
      </c>
      <c r="D581" s="28">
        <v>2873</v>
      </c>
      <c r="E581" s="2" t="str">
        <f t="shared" si="18"/>
        <v>Same</v>
      </c>
      <c r="F581" s="6" t="s">
        <v>1866</v>
      </c>
      <c r="G581" s="3">
        <v>26.95</v>
      </c>
      <c r="H581" s="2" t="s">
        <v>572</v>
      </c>
      <c r="I581" s="4">
        <f>[1]Sheet1!I581</f>
        <v>0</v>
      </c>
      <c r="J581" s="3" t="str">
        <f t="shared" si="19"/>
        <v>2873_A1C1.webp</v>
      </c>
      <c r="K581" s="5">
        <f>Sheet4!E581</f>
        <v>12</v>
      </c>
      <c r="L581" s="5"/>
      <c r="M581" s="4"/>
    </row>
    <row r="582" spans="1:13" x14ac:dyDescent="0.25">
      <c r="A582" t="s">
        <v>2514</v>
      </c>
      <c r="B582" t="s">
        <v>3332</v>
      </c>
      <c r="C582" s="25">
        <v>2874</v>
      </c>
      <c r="D582" s="28">
        <v>2874</v>
      </c>
      <c r="E582" s="2" t="str">
        <f t="shared" ref="E582:E645" si="20">IF(C582=D582, "Same","New")</f>
        <v>Same</v>
      </c>
      <c r="F582" s="6" t="s">
        <v>1866</v>
      </c>
      <c r="G582" s="3">
        <v>21.5</v>
      </c>
      <c r="H582" s="2" t="s">
        <v>573</v>
      </c>
      <c r="I582" s="4">
        <f>[1]Sheet1!I582</f>
        <v>6259</v>
      </c>
      <c r="J582" s="3" t="str">
        <f t="shared" si="19"/>
        <v>2874_A1C1.webp</v>
      </c>
      <c r="K582" s="5">
        <f>Sheet4!E582</f>
        <v>12</v>
      </c>
      <c r="L582" s="5"/>
      <c r="M582" s="4"/>
    </row>
    <row r="583" spans="1:13" x14ac:dyDescent="0.25">
      <c r="A583" t="s">
        <v>2593</v>
      </c>
      <c r="B583" t="s">
        <v>3339</v>
      </c>
      <c r="C583" s="25">
        <v>2876</v>
      </c>
      <c r="D583" s="28">
        <v>2876</v>
      </c>
      <c r="E583" s="2" t="str">
        <f t="shared" si="20"/>
        <v>Same</v>
      </c>
      <c r="F583" s="6" t="s">
        <v>1866</v>
      </c>
      <c r="G583" s="3">
        <v>46.75</v>
      </c>
      <c r="H583" s="2" t="s">
        <v>574</v>
      </c>
      <c r="I583" s="4">
        <f>[1]Sheet1!I583</f>
        <v>1869</v>
      </c>
      <c r="J583" s="3" t="str">
        <f t="shared" si="19"/>
        <v>2876_A1C1.webp</v>
      </c>
      <c r="K583" s="5">
        <f>Sheet4!E583</f>
        <v>12</v>
      </c>
      <c r="L583" s="5"/>
      <c r="M583" s="4"/>
    </row>
    <row r="584" spans="1:13" x14ac:dyDescent="0.25">
      <c r="A584" t="s">
        <v>2633</v>
      </c>
      <c r="B584" t="s">
        <v>3354</v>
      </c>
      <c r="C584" s="25">
        <v>2877</v>
      </c>
      <c r="D584" s="28">
        <v>2877</v>
      </c>
      <c r="E584" s="2" t="str">
        <f t="shared" si="20"/>
        <v>Same</v>
      </c>
      <c r="F584" s="6" t="s">
        <v>1866</v>
      </c>
      <c r="G584" s="3">
        <v>27.95</v>
      </c>
      <c r="H584" s="2" t="s">
        <v>575</v>
      </c>
      <c r="I584" s="4">
        <f>[1]Sheet1!I584</f>
        <v>11</v>
      </c>
      <c r="J584" s="3" t="str">
        <f t="shared" si="19"/>
        <v>2877_A1C1.webp</v>
      </c>
      <c r="K584" s="5">
        <f>Sheet4!E584</f>
        <v>24</v>
      </c>
      <c r="L584" s="5"/>
      <c r="M584" s="4"/>
    </row>
    <row r="585" spans="1:13" x14ac:dyDescent="0.25">
      <c r="A585" t="s">
        <v>2633</v>
      </c>
      <c r="B585" t="s">
        <v>3354</v>
      </c>
      <c r="C585" s="25">
        <v>2878</v>
      </c>
      <c r="D585" s="28">
        <v>2878</v>
      </c>
      <c r="E585" s="2" t="str">
        <f t="shared" si="20"/>
        <v>Same</v>
      </c>
      <c r="F585" s="6" t="s">
        <v>1866</v>
      </c>
      <c r="G585" s="3">
        <v>27.95</v>
      </c>
      <c r="H585" s="2" t="s">
        <v>576</v>
      </c>
      <c r="I585" s="4">
        <f>[1]Sheet1!I585</f>
        <v>43</v>
      </c>
      <c r="J585" s="3" t="str">
        <f t="shared" si="19"/>
        <v>2878_A1C1.webp</v>
      </c>
      <c r="K585" s="5">
        <f>Sheet4!E585</f>
        <v>24</v>
      </c>
      <c r="L585" s="5"/>
      <c r="M585" s="4"/>
    </row>
    <row r="586" spans="1:13" x14ac:dyDescent="0.25">
      <c r="A586" t="s">
        <v>2518</v>
      </c>
      <c r="B586" t="s">
        <v>3357</v>
      </c>
      <c r="C586" s="25">
        <v>2879</v>
      </c>
      <c r="D586" s="28">
        <v>2879</v>
      </c>
      <c r="E586" s="2" t="str">
        <f t="shared" si="20"/>
        <v>Same</v>
      </c>
      <c r="F586" s="6" t="s">
        <v>1849</v>
      </c>
      <c r="G586" s="3">
        <v>15.35</v>
      </c>
      <c r="H586" s="2" t="s">
        <v>577</v>
      </c>
      <c r="I586" s="4">
        <f>[1]Sheet1!I586</f>
        <v>802</v>
      </c>
      <c r="J586" s="3" t="str">
        <f t="shared" si="19"/>
        <v>2879_A1C1.webp</v>
      </c>
      <c r="K586" s="5">
        <f>Sheet4!E586</f>
        <v>12</v>
      </c>
      <c r="L586" s="5"/>
      <c r="M586" s="4"/>
    </row>
    <row r="587" spans="1:13" x14ac:dyDescent="0.25">
      <c r="A587" t="s">
        <v>2518</v>
      </c>
      <c r="B587" t="s">
        <v>3357</v>
      </c>
      <c r="C587" s="25">
        <v>2880</v>
      </c>
      <c r="D587" s="28">
        <v>2880</v>
      </c>
      <c r="E587" s="2" t="str">
        <f t="shared" si="20"/>
        <v>Same</v>
      </c>
      <c r="F587" s="6" t="s">
        <v>1849</v>
      </c>
      <c r="G587" s="3">
        <v>23.5</v>
      </c>
      <c r="H587" s="2" t="s">
        <v>578</v>
      </c>
      <c r="I587" s="4">
        <f>[1]Sheet1!I587</f>
        <v>187</v>
      </c>
      <c r="J587" s="3" t="str">
        <f t="shared" si="19"/>
        <v>2880_A1C1.webp</v>
      </c>
      <c r="K587" s="5">
        <f>Sheet4!E587</f>
        <v>12</v>
      </c>
      <c r="L587" s="5"/>
      <c r="M587" s="4"/>
    </row>
    <row r="588" spans="1:13" x14ac:dyDescent="0.25">
      <c r="A588" t="s">
        <v>2633</v>
      </c>
      <c r="B588" t="s">
        <v>3362</v>
      </c>
      <c r="C588" s="25">
        <v>2882</v>
      </c>
      <c r="D588" s="28">
        <v>2882</v>
      </c>
      <c r="E588" s="2" t="str">
        <f t="shared" si="20"/>
        <v>Same</v>
      </c>
      <c r="F588" s="6" t="s">
        <v>1869</v>
      </c>
      <c r="G588" s="3">
        <v>23.95</v>
      </c>
      <c r="H588" s="2" t="s">
        <v>579</v>
      </c>
      <c r="I588" s="4">
        <f>[1]Sheet1!I588</f>
        <v>40</v>
      </c>
      <c r="J588" s="3" t="str">
        <f t="shared" si="19"/>
        <v>2882_A1C1.webp</v>
      </c>
      <c r="K588" s="5">
        <f>Sheet4!E588</f>
        <v>12</v>
      </c>
      <c r="L588" s="5"/>
      <c r="M588" s="4"/>
    </row>
    <row r="589" spans="1:13" x14ac:dyDescent="0.25">
      <c r="A589" t="s">
        <v>3365</v>
      </c>
      <c r="B589" t="s">
        <v>3366</v>
      </c>
      <c r="C589" s="25">
        <v>2883</v>
      </c>
      <c r="D589" s="28">
        <v>2883</v>
      </c>
      <c r="E589" s="2" t="str">
        <f t="shared" si="20"/>
        <v>Same</v>
      </c>
      <c r="F589" s="6" t="s">
        <v>1873</v>
      </c>
      <c r="G589" s="3">
        <v>72.5</v>
      </c>
      <c r="H589" s="2" t="s">
        <v>580</v>
      </c>
      <c r="I589" s="4">
        <f>[1]Sheet1!I589</f>
        <v>30</v>
      </c>
      <c r="J589" s="3" t="str">
        <f t="shared" si="19"/>
        <v>2883_A1C1.webp</v>
      </c>
      <c r="K589" s="5">
        <f>Sheet4!E589</f>
        <v>12</v>
      </c>
      <c r="L589" s="5"/>
      <c r="M589" s="4"/>
    </row>
    <row r="590" spans="1:13" x14ac:dyDescent="0.25">
      <c r="A590" t="s">
        <v>2633</v>
      </c>
      <c r="B590" t="s">
        <v>3362</v>
      </c>
      <c r="C590" s="25">
        <v>2885</v>
      </c>
      <c r="D590" s="28">
        <v>2885</v>
      </c>
      <c r="E590" s="2" t="str">
        <f t="shared" si="20"/>
        <v>Same</v>
      </c>
      <c r="F590" s="6" t="s">
        <v>1869</v>
      </c>
      <c r="G590" s="3">
        <v>24.5</v>
      </c>
      <c r="H590" s="2" t="s">
        <v>581</v>
      </c>
      <c r="I590" s="4">
        <f>[1]Sheet1!I590</f>
        <v>0</v>
      </c>
      <c r="J590" s="3" t="str">
        <f t="shared" si="19"/>
        <v>2885_A1C1.webp</v>
      </c>
      <c r="K590" s="5">
        <f>Sheet4!E590</f>
        <v>12</v>
      </c>
      <c r="L590" s="5"/>
      <c r="M590" s="4"/>
    </row>
    <row r="591" spans="1:13" x14ac:dyDescent="0.25">
      <c r="A591" t="s">
        <v>2633</v>
      </c>
      <c r="B591" t="s">
        <v>3362</v>
      </c>
      <c r="C591" s="25">
        <v>2886</v>
      </c>
      <c r="D591" s="28">
        <v>2886</v>
      </c>
      <c r="E591" s="2" t="str">
        <f t="shared" si="20"/>
        <v>Same</v>
      </c>
      <c r="F591" s="6" t="s">
        <v>1869</v>
      </c>
      <c r="G591" s="3">
        <v>24.5</v>
      </c>
      <c r="H591" s="2" t="s">
        <v>582</v>
      </c>
      <c r="I591" s="4">
        <f>[1]Sheet1!I591</f>
        <v>60</v>
      </c>
      <c r="J591" s="3" t="str">
        <f t="shared" si="19"/>
        <v>2886_A1C1.webp</v>
      </c>
      <c r="K591" s="5">
        <f>Sheet4!E591</f>
        <v>12</v>
      </c>
      <c r="L591" s="5"/>
      <c r="M591" s="4"/>
    </row>
    <row r="592" spans="1:13" x14ac:dyDescent="0.25">
      <c r="A592" t="s">
        <v>2633</v>
      </c>
      <c r="B592" t="s">
        <v>3362</v>
      </c>
      <c r="C592" s="25">
        <v>2887</v>
      </c>
      <c r="D592" s="28">
        <v>2887</v>
      </c>
      <c r="E592" s="2" t="str">
        <f t="shared" si="20"/>
        <v>Same</v>
      </c>
      <c r="F592" s="6" t="s">
        <v>1869</v>
      </c>
      <c r="G592" s="3">
        <v>24.5</v>
      </c>
      <c r="H592" s="2" t="s">
        <v>583</v>
      </c>
      <c r="I592" s="4">
        <f>[1]Sheet1!I592</f>
        <v>119</v>
      </c>
      <c r="J592" s="3" t="str">
        <f t="shared" si="19"/>
        <v>2887_A1C1.webp</v>
      </c>
      <c r="K592" s="5">
        <f>Sheet4!E592</f>
        <v>12</v>
      </c>
      <c r="L592" s="5"/>
      <c r="M592" s="4"/>
    </row>
    <row r="593" spans="1:13" x14ac:dyDescent="0.25">
      <c r="A593" t="s">
        <v>2633</v>
      </c>
      <c r="B593" t="s">
        <v>3362</v>
      </c>
      <c r="C593" s="25">
        <v>2888</v>
      </c>
      <c r="D593" s="28">
        <v>2888</v>
      </c>
      <c r="E593" s="2" t="str">
        <f t="shared" si="20"/>
        <v>Same</v>
      </c>
      <c r="F593" s="6" t="s">
        <v>1869</v>
      </c>
      <c r="G593" s="3">
        <v>24.5</v>
      </c>
      <c r="H593" s="2" t="s">
        <v>584</v>
      </c>
      <c r="I593" s="4">
        <f>[1]Sheet1!I593</f>
        <v>141</v>
      </c>
      <c r="J593" s="3" t="str">
        <f t="shared" si="19"/>
        <v>2888_A1C1.webp</v>
      </c>
      <c r="K593" s="5">
        <f>Sheet4!E593</f>
        <v>12</v>
      </c>
      <c r="L593" s="5"/>
      <c r="M593" s="4"/>
    </row>
    <row r="594" spans="1:13" x14ac:dyDescent="0.25">
      <c r="A594" t="s">
        <v>2633</v>
      </c>
      <c r="B594" t="s">
        <v>3375</v>
      </c>
      <c r="C594" s="25">
        <v>2889</v>
      </c>
      <c r="D594" s="28">
        <v>2889</v>
      </c>
      <c r="E594" s="2" t="str">
        <f t="shared" si="20"/>
        <v>Same</v>
      </c>
      <c r="F594" s="6" t="s">
        <v>1918</v>
      </c>
      <c r="G594" s="3">
        <v>29.95</v>
      </c>
      <c r="H594" s="2" t="s">
        <v>585</v>
      </c>
      <c r="I594" s="4">
        <f>[1]Sheet1!I594</f>
        <v>855</v>
      </c>
      <c r="J594" s="3" t="str">
        <f t="shared" si="19"/>
        <v>2889_A1C1.webp</v>
      </c>
      <c r="K594" s="5">
        <f>Sheet4!E594</f>
        <v>12</v>
      </c>
      <c r="L594" s="5"/>
      <c r="M594" s="4"/>
    </row>
    <row r="595" spans="1:13" x14ac:dyDescent="0.25">
      <c r="A595" t="s">
        <v>2633</v>
      </c>
      <c r="B595" t="s">
        <v>3375</v>
      </c>
      <c r="C595" s="25">
        <v>2890</v>
      </c>
      <c r="D595" s="28">
        <v>2890</v>
      </c>
      <c r="E595" s="2" t="str">
        <f t="shared" si="20"/>
        <v>Same</v>
      </c>
      <c r="F595" s="6" t="s">
        <v>1918</v>
      </c>
      <c r="G595" s="3">
        <v>29.95</v>
      </c>
      <c r="H595" s="2" t="s">
        <v>586</v>
      </c>
      <c r="I595" s="4">
        <f>[1]Sheet1!I595</f>
        <v>208</v>
      </c>
      <c r="J595" s="3" t="str">
        <f t="shared" si="19"/>
        <v>2890_A1C1.webp</v>
      </c>
      <c r="K595" s="5">
        <f>Sheet4!E595</f>
        <v>12</v>
      </c>
      <c r="L595" s="5"/>
      <c r="M595" s="4"/>
    </row>
    <row r="596" spans="1:13" x14ac:dyDescent="0.25">
      <c r="A596" t="s">
        <v>2633</v>
      </c>
      <c r="B596" t="s">
        <v>3375</v>
      </c>
      <c r="C596" s="25">
        <v>2891</v>
      </c>
      <c r="D596" s="28">
        <v>2891</v>
      </c>
      <c r="E596" s="2" t="str">
        <f t="shared" si="20"/>
        <v>Same</v>
      </c>
      <c r="F596" s="6" t="s">
        <v>1918</v>
      </c>
      <c r="G596" s="3">
        <v>29.95</v>
      </c>
      <c r="H596" s="2" t="s">
        <v>587</v>
      </c>
      <c r="I596" s="4">
        <f>[1]Sheet1!I596</f>
        <v>584</v>
      </c>
      <c r="J596" s="3" t="str">
        <f t="shared" si="19"/>
        <v>2891_A1C1.webp</v>
      </c>
      <c r="K596" s="5">
        <f>Sheet4!E596</f>
        <v>12</v>
      </c>
      <c r="L596" s="5"/>
      <c r="M596" s="4"/>
    </row>
    <row r="597" spans="1:13" x14ac:dyDescent="0.25">
      <c r="A597" t="s">
        <v>2633</v>
      </c>
      <c r="B597" t="s">
        <v>3375</v>
      </c>
      <c r="C597" s="25">
        <v>2892</v>
      </c>
      <c r="D597" s="28">
        <v>2892</v>
      </c>
      <c r="E597" s="2" t="str">
        <f t="shared" si="20"/>
        <v>Same</v>
      </c>
      <c r="F597" s="6" t="s">
        <v>1918</v>
      </c>
      <c r="G597" s="3">
        <v>29.95</v>
      </c>
      <c r="H597" s="2" t="s">
        <v>588</v>
      </c>
      <c r="I597" s="4">
        <f>[1]Sheet1!I597</f>
        <v>0</v>
      </c>
      <c r="J597" s="3" t="str">
        <f t="shared" si="19"/>
        <v>2892_A1C1.webp</v>
      </c>
      <c r="K597" s="5">
        <f>Sheet4!E597</f>
        <v>12</v>
      </c>
      <c r="L597" s="5"/>
      <c r="M597" s="4"/>
    </row>
    <row r="598" spans="1:13" x14ac:dyDescent="0.25">
      <c r="A598" t="s">
        <v>3380</v>
      </c>
      <c r="B598" t="s">
        <v>3381</v>
      </c>
      <c r="C598" s="25">
        <v>2893</v>
      </c>
      <c r="D598" s="28">
        <v>2893</v>
      </c>
      <c r="E598" s="2" t="str">
        <f t="shared" si="20"/>
        <v>Same</v>
      </c>
      <c r="F598" s="6" t="s">
        <v>1924</v>
      </c>
      <c r="G598">
        <v>12.95</v>
      </c>
      <c r="H598" s="2" t="s">
        <v>589</v>
      </c>
      <c r="I598" s="4">
        <f>[1]Sheet1!I598</f>
        <v>0</v>
      </c>
      <c r="J598" s="3" t="str">
        <f t="shared" si="19"/>
        <v>2893_A1C1.webp</v>
      </c>
      <c r="K598" s="5">
        <f>Sheet4!E598</f>
        <v>20</v>
      </c>
      <c r="L598" s="5"/>
      <c r="M598" s="4"/>
    </row>
    <row r="599" spans="1:13" x14ac:dyDescent="0.25">
      <c r="A599" t="s">
        <v>2633</v>
      </c>
      <c r="B599" t="s">
        <v>3362</v>
      </c>
      <c r="C599" s="25">
        <v>2894</v>
      </c>
      <c r="D599" s="28">
        <v>2894</v>
      </c>
      <c r="E599" s="2" t="str">
        <f t="shared" si="20"/>
        <v>Same</v>
      </c>
      <c r="F599" s="6" t="s">
        <v>1913</v>
      </c>
      <c r="G599" s="3">
        <v>21.95</v>
      </c>
      <c r="H599" s="2" t="s">
        <v>590</v>
      </c>
      <c r="I599" s="4">
        <f>[1]Sheet1!I599</f>
        <v>153</v>
      </c>
      <c r="J599" s="3" t="str">
        <f t="shared" si="19"/>
        <v>2894_A1C1.webp</v>
      </c>
      <c r="K599" s="5">
        <f>Sheet4!E599</f>
        <v>12</v>
      </c>
      <c r="L599" s="5"/>
      <c r="M599" s="4"/>
    </row>
    <row r="600" spans="1:13" x14ac:dyDescent="0.25">
      <c r="A600" t="s">
        <v>2514</v>
      </c>
      <c r="B600" t="s">
        <v>3309</v>
      </c>
      <c r="C600" s="25">
        <v>2895</v>
      </c>
      <c r="D600" s="28">
        <v>2895</v>
      </c>
      <c r="E600" s="2" t="str">
        <f t="shared" si="20"/>
        <v>Same</v>
      </c>
      <c r="F600" s="6" t="s">
        <v>1874</v>
      </c>
      <c r="G600" s="3">
        <v>18.75</v>
      </c>
      <c r="H600" s="2" t="s">
        <v>591</v>
      </c>
      <c r="I600" s="4">
        <f>[1]Sheet1!I600</f>
        <v>31</v>
      </c>
      <c r="J600" s="3" t="str">
        <f t="shared" si="19"/>
        <v>2895_A1C1.webp</v>
      </c>
      <c r="K600" s="5">
        <f>Sheet4!E600</f>
        <v>12</v>
      </c>
      <c r="L600" s="5"/>
      <c r="M600" s="4"/>
    </row>
    <row r="601" spans="1:13" x14ac:dyDescent="0.25">
      <c r="A601" t="s">
        <v>3386</v>
      </c>
      <c r="B601" t="s">
        <v>3387</v>
      </c>
      <c r="C601" s="25">
        <v>2896</v>
      </c>
      <c r="D601" s="28">
        <v>2896</v>
      </c>
      <c r="E601" s="2" t="str">
        <f t="shared" si="20"/>
        <v>Same</v>
      </c>
      <c r="F601" s="6" t="s">
        <v>1845</v>
      </c>
      <c r="G601" s="3">
        <v>58.5</v>
      </c>
      <c r="H601" s="2" t="s">
        <v>592</v>
      </c>
      <c r="I601" s="4">
        <f>[1]Sheet1!I601</f>
        <v>79</v>
      </c>
      <c r="J601" s="3" t="str">
        <f t="shared" si="19"/>
        <v>2896_A1C1.webp</v>
      </c>
      <c r="K601" s="5">
        <f>Sheet4!E601</f>
        <v>10</v>
      </c>
      <c r="L601" s="5"/>
      <c r="M601" s="4"/>
    </row>
    <row r="602" spans="1:13" x14ac:dyDescent="0.25">
      <c r="A602" t="s">
        <v>3380</v>
      </c>
      <c r="B602" t="s">
        <v>3381</v>
      </c>
      <c r="C602" s="25">
        <v>2897</v>
      </c>
      <c r="D602" s="28">
        <v>2897</v>
      </c>
      <c r="E602" s="2" t="str">
        <f t="shared" si="20"/>
        <v>Same</v>
      </c>
      <c r="F602" s="6" t="s">
        <v>1874</v>
      </c>
      <c r="G602" s="3">
        <v>17.95</v>
      </c>
      <c r="H602" s="2" t="s">
        <v>593</v>
      </c>
      <c r="I602" s="4">
        <f>[1]Sheet1!I602</f>
        <v>248</v>
      </c>
      <c r="J602" s="3" t="str">
        <f t="shared" si="19"/>
        <v>2897_A1C1.webp</v>
      </c>
      <c r="K602" s="5">
        <f>Sheet4!E602</f>
        <v>12</v>
      </c>
      <c r="L602" s="5"/>
      <c r="M602" s="4"/>
    </row>
    <row r="603" spans="1:13" x14ac:dyDescent="0.25">
      <c r="A603" t="s">
        <v>2518</v>
      </c>
      <c r="B603" t="s">
        <v>3392</v>
      </c>
      <c r="C603" s="25">
        <v>2899</v>
      </c>
      <c r="D603" s="28">
        <v>2899</v>
      </c>
      <c r="E603" s="2" t="str">
        <f t="shared" si="20"/>
        <v>Same</v>
      </c>
      <c r="F603" s="6" t="s">
        <v>1849</v>
      </c>
      <c r="G603" s="3">
        <v>17.95</v>
      </c>
      <c r="H603" s="2" t="s">
        <v>594</v>
      </c>
      <c r="I603" s="4">
        <f>[1]Sheet1!I603</f>
        <v>4</v>
      </c>
      <c r="J603" s="3" t="str">
        <f t="shared" si="19"/>
        <v>2899_A1C1.webp</v>
      </c>
      <c r="K603" s="5">
        <f>Sheet4!E603</f>
        <v>12</v>
      </c>
      <c r="L603" s="5"/>
      <c r="M603" s="4"/>
    </row>
    <row r="604" spans="1:13" x14ac:dyDescent="0.25">
      <c r="A604" t="s">
        <v>2518</v>
      </c>
      <c r="B604" t="s">
        <v>3392</v>
      </c>
      <c r="C604" s="25">
        <v>2900</v>
      </c>
      <c r="D604" s="28">
        <v>2900</v>
      </c>
      <c r="E604" s="2" t="str">
        <f t="shared" si="20"/>
        <v>Same</v>
      </c>
      <c r="F604" s="6" t="s">
        <v>1849</v>
      </c>
      <c r="G604" s="3">
        <v>20.5</v>
      </c>
      <c r="H604" s="2" t="s">
        <v>595</v>
      </c>
      <c r="I604" s="4">
        <f>[1]Sheet1!I604</f>
        <v>662</v>
      </c>
      <c r="J604" s="3" t="str">
        <f t="shared" si="19"/>
        <v>2900_A1C1.webp</v>
      </c>
      <c r="K604" s="5">
        <f>Sheet4!E604</f>
        <v>12</v>
      </c>
      <c r="L604" s="5"/>
      <c r="M604" s="4"/>
    </row>
    <row r="605" spans="1:13" x14ac:dyDescent="0.25">
      <c r="A605" t="s">
        <v>2518</v>
      </c>
      <c r="B605" t="s">
        <v>3392</v>
      </c>
      <c r="C605" s="25">
        <v>2901</v>
      </c>
      <c r="D605" s="28">
        <v>2901</v>
      </c>
      <c r="E605" s="2" t="str">
        <f t="shared" si="20"/>
        <v>Same</v>
      </c>
      <c r="F605" s="6" t="s">
        <v>1849</v>
      </c>
      <c r="G605" s="3">
        <v>17.95</v>
      </c>
      <c r="H605" s="2" t="s">
        <v>596</v>
      </c>
      <c r="I605" s="4">
        <f>[1]Sheet1!I605</f>
        <v>3524</v>
      </c>
      <c r="J605" s="3" t="str">
        <f t="shared" si="19"/>
        <v>2901_A1C1.webp</v>
      </c>
      <c r="K605" s="5">
        <f>Sheet4!E605</f>
        <v>12</v>
      </c>
      <c r="L605" s="5"/>
      <c r="M605" s="4"/>
    </row>
    <row r="606" spans="1:13" x14ac:dyDescent="0.25">
      <c r="A606" t="s">
        <v>2518</v>
      </c>
      <c r="B606" t="s">
        <v>3392</v>
      </c>
      <c r="C606" s="25">
        <v>2902</v>
      </c>
      <c r="D606" s="28">
        <v>2902</v>
      </c>
      <c r="E606" s="2" t="str">
        <f t="shared" si="20"/>
        <v>Same</v>
      </c>
      <c r="F606" s="6" t="s">
        <v>1849</v>
      </c>
      <c r="G606" s="3">
        <v>17.95</v>
      </c>
      <c r="H606" s="2" t="s">
        <v>597</v>
      </c>
      <c r="I606" s="4">
        <f>[1]Sheet1!I606</f>
        <v>705</v>
      </c>
      <c r="J606" s="3" t="str">
        <f t="shared" si="19"/>
        <v>2902_A1C1.webp</v>
      </c>
      <c r="K606" s="5">
        <f>Sheet4!E606</f>
        <v>12</v>
      </c>
      <c r="L606" s="5"/>
      <c r="M606" s="4"/>
    </row>
    <row r="607" spans="1:13" x14ac:dyDescent="0.25">
      <c r="A607" t="s">
        <v>2518</v>
      </c>
      <c r="B607" t="s">
        <v>3392</v>
      </c>
      <c r="C607" s="25">
        <v>2903</v>
      </c>
      <c r="D607" s="28">
        <v>2903</v>
      </c>
      <c r="E607" s="2" t="str">
        <f t="shared" si="20"/>
        <v>Same</v>
      </c>
      <c r="F607" s="6" t="s">
        <v>1849</v>
      </c>
      <c r="G607" s="3">
        <v>17.95</v>
      </c>
      <c r="H607" s="2" t="s">
        <v>598</v>
      </c>
      <c r="I607" s="4">
        <f>[1]Sheet1!I607</f>
        <v>606</v>
      </c>
      <c r="J607" s="3" t="str">
        <f t="shared" si="19"/>
        <v>2903_A1C1.webp</v>
      </c>
      <c r="K607" s="5">
        <f>Sheet4!E607</f>
        <v>12</v>
      </c>
      <c r="L607" s="5"/>
      <c r="M607" s="4"/>
    </row>
    <row r="608" spans="1:13" x14ac:dyDescent="0.25">
      <c r="A608" t="s">
        <v>2518</v>
      </c>
      <c r="B608" t="s">
        <v>3392</v>
      </c>
      <c r="C608" s="25">
        <v>2904</v>
      </c>
      <c r="D608" s="28">
        <v>2904</v>
      </c>
      <c r="E608" s="2" t="str">
        <f t="shared" si="20"/>
        <v>Same</v>
      </c>
      <c r="F608" s="6" t="s">
        <v>1849</v>
      </c>
      <c r="G608" s="3">
        <v>17.95</v>
      </c>
      <c r="H608" s="2" t="s">
        <v>599</v>
      </c>
      <c r="I608" s="4">
        <f>[1]Sheet1!I608</f>
        <v>1025</v>
      </c>
      <c r="J608" s="3" t="str">
        <f t="shared" si="19"/>
        <v>2904_A1C1.webp</v>
      </c>
      <c r="K608" s="5">
        <f>Sheet4!E608</f>
        <v>12</v>
      </c>
      <c r="L608" s="5"/>
      <c r="M608" s="4"/>
    </row>
    <row r="609" spans="1:13" x14ac:dyDescent="0.25">
      <c r="A609" t="s">
        <v>2633</v>
      </c>
      <c r="B609" t="s">
        <v>3354</v>
      </c>
      <c r="C609" s="25">
        <v>2905</v>
      </c>
      <c r="D609" s="28">
        <v>2905</v>
      </c>
      <c r="E609" s="2" t="str">
        <f t="shared" si="20"/>
        <v>Same</v>
      </c>
      <c r="F609" s="6" t="s">
        <v>1859</v>
      </c>
      <c r="G609" s="3">
        <v>35.35</v>
      </c>
      <c r="H609" s="2" t="s">
        <v>600</v>
      </c>
      <c r="I609" s="4">
        <f>[1]Sheet1!I609</f>
        <v>62</v>
      </c>
      <c r="J609" s="3" t="str">
        <f t="shared" si="19"/>
        <v>2905_A1C1.webp</v>
      </c>
      <c r="K609" s="5">
        <f>Sheet4!E609</f>
        <v>12</v>
      </c>
      <c r="L609" s="5"/>
      <c r="M609" s="4"/>
    </row>
    <row r="610" spans="1:13" x14ac:dyDescent="0.25">
      <c r="A610" t="s">
        <v>2518</v>
      </c>
      <c r="B610" t="s">
        <v>3404</v>
      </c>
      <c r="C610" s="25">
        <v>2906</v>
      </c>
      <c r="D610" s="28">
        <v>2906</v>
      </c>
      <c r="E610" s="2" t="str">
        <f t="shared" si="20"/>
        <v>Same</v>
      </c>
      <c r="F610" s="6" t="s">
        <v>1849</v>
      </c>
      <c r="G610" s="3">
        <v>15.95</v>
      </c>
      <c r="H610" s="2" t="s">
        <v>601</v>
      </c>
      <c r="I610" s="4">
        <f>[1]Sheet1!I610</f>
        <v>188</v>
      </c>
      <c r="J610" s="3" t="str">
        <f t="shared" si="19"/>
        <v>2906_A1C1.webp</v>
      </c>
      <c r="K610" s="5">
        <f>Sheet4!E610</f>
        <v>12</v>
      </c>
      <c r="L610" s="5"/>
      <c r="M610" s="4"/>
    </row>
    <row r="611" spans="1:13" x14ac:dyDescent="0.25">
      <c r="A611" t="s">
        <v>2518</v>
      </c>
      <c r="B611" t="s">
        <v>3404</v>
      </c>
      <c r="C611" s="25">
        <v>2907</v>
      </c>
      <c r="D611" s="28">
        <v>2907</v>
      </c>
      <c r="E611" s="2" t="str">
        <f t="shared" si="20"/>
        <v>Same</v>
      </c>
      <c r="F611" s="6" t="s">
        <v>1849</v>
      </c>
      <c r="G611" s="3">
        <v>15.25</v>
      </c>
      <c r="H611" s="2" t="s">
        <v>602</v>
      </c>
      <c r="I611" s="4">
        <f>[1]Sheet1!I611</f>
        <v>174</v>
      </c>
      <c r="J611" s="3" t="str">
        <f t="shared" si="19"/>
        <v>2907_A1C1.webp</v>
      </c>
      <c r="K611" s="5">
        <f>Sheet4!E611</f>
        <v>12</v>
      </c>
      <c r="L611" s="5"/>
      <c r="M611" s="4"/>
    </row>
    <row r="612" spans="1:13" x14ac:dyDescent="0.25">
      <c r="A612" t="s">
        <v>2518</v>
      </c>
      <c r="B612" t="s">
        <v>3407</v>
      </c>
      <c r="C612" s="25">
        <v>2915</v>
      </c>
      <c r="D612" s="28">
        <v>2915</v>
      </c>
      <c r="E612" s="2" t="str">
        <f t="shared" si="20"/>
        <v>Same</v>
      </c>
      <c r="F612" s="6" t="s">
        <v>1849</v>
      </c>
      <c r="G612" s="3">
        <v>15.95</v>
      </c>
      <c r="H612" s="2" t="s">
        <v>603</v>
      </c>
      <c r="I612" s="4">
        <f>[1]Sheet1!I612</f>
        <v>104</v>
      </c>
      <c r="J612" s="3" t="str">
        <f t="shared" si="19"/>
        <v>2915_A1C1.webp</v>
      </c>
      <c r="K612" s="5">
        <f>Sheet4!E612</f>
        <v>12</v>
      </c>
      <c r="L612" s="5"/>
      <c r="M612" s="4"/>
    </row>
    <row r="613" spans="1:13" x14ac:dyDescent="0.25">
      <c r="A613" t="s">
        <v>2518</v>
      </c>
      <c r="B613" t="s">
        <v>3407</v>
      </c>
      <c r="C613" s="25">
        <v>2916</v>
      </c>
      <c r="D613" s="28">
        <v>2916</v>
      </c>
      <c r="E613" s="2" t="str">
        <f t="shared" si="20"/>
        <v>Same</v>
      </c>
      <c r="F613" s="6" t="s">
        <v>1849</v>
      </c>
      <c r="G613" s="3">
        <v>17.95</v>
      </c>
      <c r="H613" s="2" t="s">
        <v>604</v>
      </c>
      <c r="I613" s="4">
        <f>[1]Sheet1!I613</f>
        <v>482</v>
      </c>
      <c r="J613" s="3" t="str">
        <f t="shared" si="19"/>
        <v>2916_A1C1.webp</v>
      </c>
      <c r="K613" s="5">
        <f>Sheet4!E613</f>
        <v>12</v>
      </c>
      <c r="L613" s="5"/>
      <c r="M613" s="4"/>
    </row>
    <row r="614" spans="1:13" x14ac:dyDescent="0.25">
      <c r="A614" t="s">
        <v>3380</v>
      </c>
      <c r="B614" t="s">
        <v>3381</v>
      </c>
      <c r="C614" s="25">
        <v>2917</v>
      </c>
      <c r="D614" s="28">
        <v>2917</v>
      </c>
      <c r="E614" s="2" t="str">
        <f t="shared" si="20"/>
        <v>Same</v>
      </c>
      <c r="F614" s="6" t="s">
        <v>1925</v>
      </c>
      <c r="G614">
        <v>14.5</v>
      </c>
      <c r="H614" s="2" t="s">
        <v>605</v>
      </c>
      <c r="I614" s="4">
        <f>[1]Sheet1!I614</f>
        <v>136</v>
      </c>
      <c r="J614" s="3" t="str">
        <f t="shared" si="19"/>
        <v>2917_A1C1.webp</v>
      </c>
      <c r="K614" s="5">
        <f>Sheet4!E614</f>
        <v>20</v>
      </c>
      <c r="L614" s="5"/>
      <c r="M614" s="4"/>
    </row>
    <row r="615" spans="1:13" x14ac:dyDescent="0.25">
      <c r="A615" t="s">
        <v>3380</v>
      </c>
      <c r="B615" t="s">
        <v>3381</v>
      </c>
      <c r="C615" s="25">
        <v>2918</v>
      </c>
      <c r="D615" s="28">
        <v>2918</v>
      </c>
      <c r="E615" s="2" t="str">
        <f t="shared" si="20"/>
        <v>Same</v>
      </c>
      <c r="F615" s="6" t="s">
        <v>1924</v>
      </c>
      <c r="G615">
        <v>12.95</v>
      </c>
      <c r="H615" s="2" t="s">
        <v>606</v>
      </c>
      <c r="I615" s="4">
        <f>[1]Sheet1!I615</f>
        <v>206</v>
      </c>
      <c r="J615" s="3" t="str">
        <f t="shared" si="19"/>
        <v>2918_A1C1.webp</v>
      </c>
      <c r="K615" s="5">
        <f>Sheet4!E615</f>
        <v>20</v>
      </c>
      <c r="L615" s="5"/>
      <c r="M615" s="4"/>
    </row>
    <row r="616" spans="1:13" x14ac:dyDescent="0.25">
      <c r="A616" t="s">
        <v>3380</v>
      </c>
      <c r="B616" t="s">
        <v>3381</v>
      </c>
      <c r="C616" s="25">
        <v>2919</v>
      </c>
      <c r="D616" s="28">
        <v>2919</v>
      </c>
      <c r="E616" s="2" t="str">
        <f t="shared" si="20"/>
        <v>Same</v>
      </c>
      <c r="F616" s="6" t="s">
        <v>1924</v>
      </c>
      <c r="G616">
        <v>12.95</v>
      </c>
      <c r="H616" s="2" t="s">
        <v>607</v>
      </c>
      <c r="I616" s="4">
        <f>[1]Sheet1!I616</f>
        <v>127</v>
      </c>
      <c r="J616" s="3" t="str">
        <f t="shared" si="19"/>
        <v>2919_A1C1.webp</v>
      </c>
      <c r="K616" s="5">
        <f>Sheet4!E616</f>
        <v>20</v>
      </c>
      <c r="L616" s="5"/>
      <c r="M616" s="4"/>
    </row>
    <row r="617" spans="1:13" x14ac:dyDescent="0.25">
      <c r="A617" t="s">
        <v>3380</v>
      </c>
      <c r="B617" t="s">
        <v>3381</v>
      </c>
      <c r="C617" s="25">
        <v>2920</v>
      </c>
      <c r="D617" s="28">
        <v>2920</v>
      </c>
      <c r="E617" s="2" t="str">
        <f t="shared" si="20"/>
        <v>Same</v>
      </c>
      <c r="F617" s="6" t="s">
        <v>1924</v>
      </c>
      <c r="G617">
        <v>12.95</v>
      </c>
      <c r="H617" s="2" t="s">
        <v>608</v>
      </c>
      <c r="I617" s="4">
        <f>[1]Sheet1!I617</f>
        <v>768</v>
      </c>
      <c r="J617" s="3" t="str">
        <f t="shared" si="19"/>
        <v>2920_A1C1.webp</v>
      </c>
      <c r="K617" s="5">
        <f>Sheet4!E617</f>
        <v>20</v>
      </c>
      <c r="L617" s="5"/>
      <c r="M617" s="4"/>
    </row>
    <row r="618" spans="1:13" x14ac:dyDescent="0.25">
      <c r="A618" t="s">
        <v>3380</v>
      </c>
      <c r="B618" t="s">
        <v>3381</v>
      </c>
      <c r="C618" s="25">
        <v>2921</v>
      </c>
      <c r="D618" s="28">
        <v>2921</v>
      </c>
      <c r="E618" s="2" t="str">
        <f t="shared" si="20"/>
        <v>Same</v>
      </c>
      <c r="F618" s="6" t="s">
        <v>1924</v>
      </c>
      <c r="G618">
        <v>12.95</v>
      </c>
      <c r="H618" s="2" t="s">
        <v>609</v>
      </c>
      <c r="I618" s="4">
        <f>[1]Sheet1!I618</f>
        <v>930</v>
      </c>
      <c r="J618" s="3" t="str">
        <f t="shared" si="19"/>
        <v>2921_A1C1.webp</v>
      </c>
      <c r="K618" s="5">
        <f>Sheet4!E618</f>
        <v>20</v>
      </c>
      <c r="L618" s="5"/>
      <c r="M618" s="4"/>
    </row>
    <row r="619" spans="1:13" x14ac:dyDescent="0.25">
      <c r="A619" t="s">
        <v>3380</v>
      </c>
      <c r="B619" t="s">
        <v>3381</v>
      </c>
      <c r="C619" s="25">
        <v>2922</v>
      </c>
      <c r="D619" s="28">
        <v>2922</v>
      </c>
      <c r="E619" s="2" t="str">
        <f t="shared" si="20"/>
        <v>Same</v>
      </c>
      <c r="F619" s="6" t="s">
        <v>1924</v>
      </c>
      <c r="G619">
        <v>12.95</v>
      </c>
      <c r="H619" s="2" t="s">
        <v>610</v>
      </c>
      <c r="I619" s="4">
        <f>[1]Sheet1!I619</f>
        <v>773</v>
      </c>
      <c r="J619" s="3" t="str">
        <f t="shared" si="19"/>
        <v>2922_A1C1.webp</v>
      </c>
      <c r="K619" s="5">
        <f>Sheet4!E619</f>
        <v>20</v>
      </c>
      <c r="L619" s="5"/>
      <c r="M619" s="4"/>
    </row>
    <row r="620" spans="1:13" x14ac:dyDescent="0.25">
      <c r="A620" t="s">
        <v>3380</v>
      </c>
      <c r="B620" t="s">
        <v>3381</v>
      </c>
      <c r="C620" s="25">
        <v>2923</v>
      </c>
      <c r="D620" s="28">
        <v>2923</v>
      </c>
      <c r="E620" s="2" t="str">
        <f t="shared" si="20"/>
        <v>Same</v>
      </c>
      <c r="F620" s="6" t="s">
        <v>1924</v>
      </c>
      <c r="G620">
        <v>12.95</v>
      </c>
      <c r="H620" s="2" t="s">
        <v>611</v>
      </c>
      <c r="I620" s="4">
        <f>[1]Sheet1!I620</f>
        <v>406</v>
      </c>
      <c r="J620" s="3" t="str">
        <f t="shared" si="19"/>
        <v>2923_A1C1.webp</v>
      </c>
      <c r="K620" s="5">
        <f>Sheet4!E620</f>
        <v>20</v>
      </c>
      <c r="L620" s="5"/>
      <c r="M620" s="4"/>
    </row>
    <row r="621" spans="1:13" x14ac:dyDescent="0.25">
      <c r="A621" t="s">
        <v>3380</v>
      </c>
      <c r="B621" t="s">
        <v>3381</v>
      </c>
      <c r="C621" s="25">
        <v>2924</v>
      </c>
      <c r="D621" s="28">
        <v>2924</v>
      </c>
      <c r="E621" s="2" t="str">
        <f t="shared" si="20"/>
        <v>Same</v>
      </c>
      <c r="F621" s="6" t="s">
        <v>1924</v>
      </c>
      <c r="G621">
        <v>12.95</v>
      </c>
      <c r="H621" s="2" t="s">
        <v>612</v>
      </c>
      <c r="I621" s="4">
        <f>[1]Sheet1!I621</f>
        <v>345</v>
      </c>
      <c r="J621" s="3" t="str">
        <f t="shared" si="19"/>
        <v>2924_A1C1.webp</v>
      </c>
      <c r="K621" s="5">
        <f>Sheet4!E621</f>
        <v>20</v>
      </c>
      <c r="L621" s="5"/>
      <c r="M621" s="4"/>
    </row>
    <row r="622" spans="1:13" x14ac:dyDescent="0.25">
      <c r="A622" t="s">
        <v>3380</v>
      </c>
      <c r="B622" t="s">
        <v>3381</v>
      </c>
      <c r="C622" s="25">
        <v>2925</v>
      </c>
      <c r="D622" s="28">
        <v>2925</v>
      </c>
      <c r="E622" s="2" t="str">
        <f t="shared" si="20"/>
        <v>Same</v>
      </c>
      <c r="F622" s="6" t="s">
        <v>1924</v>
      </c>
      <c r="G622">
        <v>12.95</v>
      </c>
      <c r="H622" s="2" t="s">
        <v>613</v>
      </c>
      <c r="I622" s="4">
        <f>[1]Sheet1!I622</f>
        <v>762</v>
      </c>
      <c r="J622" s="3" t="str">
        <f t="shared" si="19"/>
        <v>2925_A1C1.webp</v>
      </c>
      <c r="K622" s="5">
        <f>Sheet4!E622</f>
        <v>20</v>
      </c>
      <c r="L622" s="5"/>
      <c r="M622" s="4"/>
    </row>
    <row r="623" spans="1:13" x14ac:dyDescent="0.25">
      <c r="A623" t="s">
        <v>3380</v>
      </c>
      <c r="B623" t="s">
        <v>3381</v>
      </c>
      <c r="C623" s="25">
        <v>2926</v>
      </c>
      <c r="D623" s="28">
        <v>2926</v>
      </c>
      <c r="E623" s="2" t="str">
        <f t="shared" si="20"/>
        <v>Same</v>
      </c>
      <c r="F623" s="6" t="s">
        <v>1924</v>
      </c>
      <c r="G623">
        <v>12.95</v>
      </c>
      <c r="H623" s="2" t="s">
        <v>614</v>
      </c>
      <c r="I623" s="4">
        <f>[1]Sheet1!I623</f>
        <v>169</v>
      </c>
      <c r="J623" s="3" t="str">
        <f t="shared" si="19"/>
        <v>2926_A1C1.webp</v>
      </c>
      <c r="K623" s="5">
        <f>Sheet4!E623</f>
        <v>20</v>
      </c>
      <c r="L623" s="5"/>
      <c r="M623" s="4"/>
    </row>
    <row r="624" spans="1:13" x14ac:dyDescent="0.25">
      <c r="A624" t="s">
        <v>3380</v>
      </c>
      <c r="B624" t="s">
        <v>3381</v>
      </c>
      <c r="C624" s="25">
        <v>2927</v>
      </c>
      <c r="D624" s="28">
        <v>2927</v>
      </c>
      <c r="E624" s="2" t="str">
        <f t="shared" si="20"/>
        <v>Same</v>
      </c>
      <c r="F624" s="6" t="s">
        <v>1924</v>
      </c>
      <c r="G624">
        <v>12.95</v>
      </c>
      <c r="H624" s="2" t="s">
        <v>615</v>
      </c>
      <c r="I624" s="4">
        <f>[1]Sheet1!I624</f>
        <v>447</v>
      </c>
      <c r="J624" s="3" t="str">
        <f t="shared" si="19"/>
        <v>2927_A1C1.webp</v>
      </c>
      <c r="K624" s="5">
        <f>Sheet4!E624</f>
        <v>20</v>
      </c>
      <c r="L624" s="5"/>
      <c r="M624" s="4"/>
    </row>
    <row r="625" spans="1:13" x14ac:dyDescent="0.25">
      <c r="A625" t="s">
        <v>3380</v>
      </c>
      <c r="B625" t="s">
        <v>3381</v>
      </c>
      <c r="C625" s="25">
        <v>2928</v>
      </c>
      <c r="D625" s="28">
        <v>2928</v>
      </c>
      <c r="E625" s="2" t="str">
        <f t="shared" si="20"/>
        <v>Same</v>
      </c>
      <c r="F625" s="6" t="s">
        <v>1924</v>
      </c>
      <c r="G625">
        <v>12.95</v>
      </c>
      <c r="H625" s="2" t="s">
        <v>616</v>
      </c>
      <c r="I625" s="4">
        <f>[1]Sheet1!I625</f>
        <v>1411</v>
      </c>
      <c r="J625" s="3" t="str">
        <f t="shared" si="19"/>
        <v>2928_A1C1.webp</v>
      </c>
      <c r="K625" s="5">
        <f>Sheet4!E625</f>
        <v>20</v>
      </c>
      <c r="L625" s="5"/>
      <c r="M625" s="4"/>
    </row>
    <row r="626" spans="1:13" x14ac:dyDescent="0.25">
      <c r="A626" t="s">
        <v>3380</v>
      </c>
      <c r="B626" t="s">
        <v>3381</v>
      </c>
      <c r="C626" s="25">
        <v>2929</v>
      </c>
      <c r="D626" s="28">
        <v>2929</v>
      </c>
      <c r="E626" s="2" t="str">
        <f t="shared" si="20"/>
        <v>Same</v>
      </c>
      <c r="F626" s="6" t="s">
        <v>1925</v>
      </c>
      <c r="G626">
        <v>14.5</v>
      </c>
      <c r="H626" s="2" t="s">
        <v>617</v>
      </c>
      <c r="I626" s="4">
        <f>[1]Sheet1!I626</f>
        <v>151</v>
      </c>
      <c r="J626" s="3" t="str">
        <f t="shared" si="19"/>
        <v>2929_A1C1.webp</v>
      </c>
      <c r="K626" s="5">
        <f>Sheet4!E626</f>
        <v>20</v>
      </c>
      <c r="L626" s="5"/>
      <c r="M626" s="4"/>
    </row>
    <row r="627" spans="1:13" x14ac:dyDescent="0.25">
      <c r="A627" t="s">
        <v>3380</v>
      </c>
      <c r="B627" t="s">
        <v>3381</v>
      </c>
      <c r="C627" s="25">
        <v>2930</v>
      </c>
      <c r="D627" s="28">
        <v>2930</v>
      </c>
      <c r="E627" s="2" t="str">
        <f t="shared" si="20"/>
        <v>Same</v>
      </c>
      <c r="F627" s="6" t="s">
        <v>1924</v>
      </c>
      <c r="G627">
        <v>12.95</v>
      </c>
      <c r="H627" s="2" t="s">
        <v>618</v>
      </c>
      <c r="I627" s="4">
        <f>[1]Sheet1!I627</f>
        <v>923</v>
      </c>
      <c r="J627" s="3" t="str">
        <f t="shared" si="19"/>
        <v>2930_A1C1.webp</v>
      </c>
      <c r="K627" s="5">
        <f>Sheet4!E627</f>
        <v>20</v>
      </c>
      <c r="L627" s="5"/>
      <c r="M627" s="4"/>
    </row>
    <row r="628" spans="1:13" x14ac:dyDescent="0.25">
      <c r="A628" t="s">
        <v>3380</v>
      </c>
      <c r="B628" t="s">
        <v>3381</v>
      </c>
      <c r="C628" s="25">
        <v>2931</v>
      </c>
      <c r="D628" s="28">
        <v>2931</v>
      </c>
      <c r="E628" s="2" t="str">
        <f t="shared" si="20"/>
        <v>Same</v>
      </c>
      <c r="F628" s="6" t="s">
        <v>1849</v>
      </c>
      <c r="G628" s="3">
        <v>28.5</v>
      </c>
      <c r="H628" s="2" t="s">
        <v>619</v>
      </c>
      <c r="I628" s="4">
        <f>[1]Sheet1!I628</f>
        <v>855</v>
      </c>
      <c r="J628" s="3" t="str">
        <f t="shared" si="19"/>
        <v>2931_A1C1.webp</v>
      </c>
      <c r="K628" s="5">
        <f>Sheet4!E628</f>
        <v>20</v>
      </c>
      <c r="L628" s="5"/>
      <c r="M628" s="4"/>
    </row>
    <row r="629" spans="1:13" x14ac:dyDescent="0.25">
      <c r="A629" t="s">
        <v>3380</v>
      </c>
      <c r="B629" t="s">
        <v>3381</v>
      </c>
      <c r="C629" s="25">
        <v>2932</v>
      </c>
      <c r="D629" s="28">
        <v>2932</v>
      </c>
      <c r="E629" s="2" t="str">
        <f t="shared" si="20"/>
        <v>Same</v>
      </c>
      <c r="F629" s="6" t="s">
        <v>1849</v>
      </c>
      <c r="G629" s="3">
        <v>28.5</v>
      </c>
      <c r="H629" s="2" t="s">
        <v>620</v>
      </c>
      <c r="I629" s="4">
        <f>[1]Sheet1!I629</f>
        <v>207</v>
      </c>
      <c r="J629" s="3" t="str">
        <f t="shared" si="19"/>
        <v>2932_A1C1.webp</v>
      </c>
      <c r="K629" s="5">
        <f>Sheet4!E629</f>
        <v>20</v>
      </c>
      <c r="L629" s="5"/>
      <c r="M629" s="4"/>
    </row>
    <row r="630" spans="1:13" x14ac:dyDescent="0.25">
      <c r="A630" t="s">
        <v>3380</v>
      </c>
      <c r="B630" t="s">
        <v>3381</v>
      </c>
      <c r="C630" s="25">
        <v>2933</v>
      </c>
      <c r="D630" s="28">
        <v>2933</v>
      </c>
      <c r="E630" s="2" t="str">
        <f t="shared" si="20"/>
        <v>Same</v>
      </c>
      <c r="F630" s="6" t="s">
        <v>1849</v>
      </c>
      <c r="G630" s="3">
        <v>28.5</v>
      </c>
      <c r="H630" s="2" t="s">
        <v>621</v>
      </c>
      <c r="I630" s="4">
        <f>[1]Sheet1!I630</f>
        <v>289</v>
      </c>
      <c r="J630" s="3" t="str">
        <f t="shared" si="19"/>
        <v>2933_A1C1.webp</v>
      </c>
      <c r="K630" s="5">
        <f>Sheet4!E630</f>
        <v>20</v>
      </c>
      <c r="L630" s="5"/>
      <c r="M630" s="4"/>
    </row>
    <row r="631" spans="1:13" x14ac:dyDescent="0.25">
      <c r="A631" t="s">
        <v>3380</v>
      </c>
      <c r="B631" t="s">
        <v>3381</v>
      </c>
      <c r="C631" s="25">
        <v>2934</v>
      </c>
      <c r="D631" s="28">
        <v>2934</v>
      </c>
      <c r="E631" s="2" t="str">
        <f t="shared" si="20"/>
        <v>Same</v>
      </c>
      <c r="F631" s="6" t="s">
        <v>1849</v>
      </c>
      <c r="G631" s="3">
        <v>28.5</v>
      </c>
      <c r="H631" s="2" t="s">
        <v>622</v>
      </c>
      <c r="I631" s="4">
        <f>[1]Sheet1!I631</f>
        <v>228</v>
      </c>
      <c r="J631" s="3" t="str">
        <f t="shared" si="19"/>
        <v>2934_A1C1.webp</v>
      </c>
      <c r="K631" s="5">
        <f>Sheet4!E631</f>
        <v>20</v>
      </c>
      <c r="L631" s="5"/>
      <c r="M631" s="4"/>
    </row>
    <row r="632" spans="1:13" x14ac:dyDescent="0.25">
      <c r="A632" t="s">
        <v>2618</v>
      </c>
      <c r="B632" t="s">
        <v>3427</v>
      </c>
      <c r="C632" s="25">
        <v>2935</v>
      </c>
      <c r="D632" s="28">
        <v>2935</v>
      </c>
      <c r="E632" s="2" t="str">
        <f t="shared" si="20"/>
        <v>Same</v>
      </c>
      <c r="F632" s="6" t="s">
        <v>1839</v>
      </c>
      <c r="G632">
        <v>9.5</v>
      </c>
      <c r="H632" s="2" t="s">
        <v>623</v>
      </c>
      <c r="I632" s="4">
        <f>[1]Sheet1!I632</f>
        <v>41</v>
      </c>
      <c r="J632" s="3" t="str">
        <f t="shared" si="19"/>
        <v>2935_A1C1.webp</v>
      </c>
      <c r="K632" s="5">
        <f>Sheet4!E632</f>
        <v>12</v>
      </c>
      <c r="L632" s="5"/>
      <c r="M632" s="4"/>
    </row>
    <row r="633" spans="1:13" x14ac:dyDescent="0.25">
      <c r="A633" t="s">
        <v>2618</v>
      </c>
      <c r="B633" t="s">
        <v>3427</v>
      </c>
      <c r="C633" s="25">
        <v>2936</v>
      </c>
      <c r="D633" s="28">
        <v>2936</v>
      </c>
      <c r="E633" s="2" t="str">
        <f t="shared" si="20"/>
        <v>Same</v>
      </c>
      <c r="F633" s="6" t="s">
        <v>1839</v>
      </c>
      <c r="G633">
        <v>9.5</v>
      </c>
      <c r="H633" s="2" t="s">
        <v>624</v>
      </c>
      <c r="I633" s="4">
        <f>[1]Sheet1!I633</f>
        <v>52</v>
      </c>
      <c r="J633" s="3" t="str">
        <f t="shared" si="19"/>
        <v>2936_A1C1.webp</v>
      </c>
      <c r="K633" s="5">
        <f>Sheet4!E633</f>
        <v>12</v>
      </c>
      <c r="L633" s="5"/>
      <c r="M633" s="4"/>
    </row>
    <row r="634" spans="1:13" x14ac:dyDescent="0.25">
      <c r="A634" t="s">
        <v>3386</v>
      </c>
      <c r="B634" t="s">
        <v>3387</v>
      </c>
      <c r="C634" s="25">
        <v>2938</v>
      </c>
      <c r="D634" s="28">
        <v>2938</v>
      </c>
      <c r="E634" s="2" t="str">
        <f t="shared" si="20"/>
        <v>Same</v>
      </c>
      <c r="F634" s="6" t="s">
        <v>1926</v>
      </c>
      <c r="G634" s="3">
        <v>48.95</v>
      </c>
      <c r="H634" s="2" t="s">
        <v>625</v>
      </c>
      <c r="I634" s="4">
        <f>[1]Sheet1!I634</f>
        <v>141</v>
      </c>
      <c r="J634" s="3" t="str">
        <f t="shared" si="19"/>
        <v>2938_A1C1.webp</v>
      </c>
      <c r="K634" s="5">
        <f>Sheet4!E634</f>
        <v>15</v>
      </c>
      <c r="L634" s="5"/>
      <c r="M634" s="4"/>
    </row>
    <row r="635" spans="1:13" x14ac:dyDescent="0.25">
      <c r="A635" t="s">
        <v>3386</v>
      </c>
      <c r="B635" t="s">
        <v>3387</v>
      </c>
      <c r="C635" s="25">
        <v>2939</v>
      </c>
      <c r="D635" s="28">
        <v>2939</v>
      </c>
      <c r="E635" s="2" t="str">
        <f t="shared" si="20"/>
        <v>Same</v>
      </c>
      <c r="F635" s="6" t="s">
        <v>1849</v>
      </c>
      <c r="G635" s="3">
        <v>40.950000000000003</v>
      </c>
      <c r="H635" s="2" t="s">
        <v>626</v>
      </c>
      <c r="I635" s="4">
        <f>[1]Sheet1!I635</f>
        <v>763</v>
      </c>
      <c r="J635" s="3" t="str">
        <f t="shared" si="19"/>
        <v>2939_A1C1.webp</v>
      </c>
      <c r="K635" s="5">
        <f>Sheet4!E635</f>
        <v>10</v>
      </c>
      <c r="L635" s="5"/>
      <c r="M635" s="4"/>
    </row>
    <row r="636" spans="1:13" x14ac:dyDescent="0.25">
      <c r="A636" t="s">
        <v>3386</v>
      </c>
      <c r="B636" t="s">
        <v>3387</v>
      </c>
      <c r="C636" s="25">
        <v>2940</v>
      </c>
      <c r="D636" s="28">
        <v>2940</v>
      </c>
      <c r="E636" s="2" t="str">
        <f t="shared" si="20"/>
        <v>Same</v>
      </c>
      <c r="F636" s="6" t="s">
        <v>1927</v>
      </c>
      <c r="G636" s="3">
        <v>31.95</v>
      </c>
      <c r="H636" s="2" t="s">
        <v>627</v>
      </c>
      <c r="I636" s="4">
        <f>[1]Sheet1!I636</f>
        <v>354</v>
      </c>
      <c r="J636" s="3" t="str">
        <f t="shared" si="19"/>
        <v>2940_A1C1.webp</v>
      </c>
      <c r="K636" s="5">
        <f>Sheet4!E636</f>
        <v>20</v>
      </c>
      <c r="L636" s="5"/>
      <c r="M636" s="4"/>
    </row>
    <row r="637" spans="1:13" x14ac:dyDescent="0.25">
      <c r="A637" t="s">
        <v>3386</v>
      </c>
      <c r="B637" t="s">
        <v>3387</v>
      </c>
      <c r="C637" s="25">
        <v>2941</v>
      </c>
      <c r="D637" s="28">
        <v>2941</v>
      </c>
      <c r="E637" s="2" t="str">
        <f t="shared" si="20"/>
        <v>Same</v>
      </c>
      <c r="F637" s="6" t="s">
        <v>1928</v>
      </c>
      <c r="G637" s="3">
        <v>34.950000000000003</v>
      </c>
      <c r="H637" s="2" t="s">
        <v>628</v>
      </c>
      <c r="I637" s="4">
        <f>[1]Sheet1!I637</f>
        <v>38</v>
      </c>
      <c r="J637" s="3" t="str">
        <f t="shared" si="19"/>
        <v>2941_A1C1.webp</v>
      </c>
      <c r="K637" s="5">
        <f>Sheet4!E637</f>
        <v>12</v>
      </c>
      <c r="L637" s="5"/>
      <c r="M637" s="4"/>
    </row>
    <row r="638" spans="1:13" x14ac:dyDescent="0.25">
      <c r="A638" t="s">
        <v>3386</v>
      </c>
      <c r="B638" t="s">
        <v>3387</v>
      </c>
      <c r="C638" s="25">
        <v>2942</v>
      </c>
      <c r="D638" s="28">
        <v>2942</v>
      </c>
      <c r="E638" s="2" t="str">
        <f t="shared" si="20"/>
        <v>Same</v>
      </c>
      <c r="F638" s="6" t="s">
        <v>1929</v>
      </c>
      <c r="G638" s="3">
        <v>40.5</v>
      </c>
      <c r="H638" s="2" t="s">
        <v>629</v>
      </c>
      <c r="I638" s="4">
        <f>[1]Sheet1!I638</f>
        <v>225</v>
      </c>
      <c r="J638" s="3" t="str">
        <f t="shared" si="19"/>
        <v>2942_A1C1.webp</v>
      </c>
      <c r="K638" s="5">
        <f>Sheet4!E638</f>
        <v>10</v>
      </c>
      <c r="L638" s="5"/>
      <c r="M638" s="4"/>
    </row>
    <row r="639" spans="1:13" x14ac:dyDescent="0.25">
      <c r="A639" t="s">
        <v>2618</v>
      </c>
      <c r="B639" t="s">
        <v>3427</v>
      </c>
      <c r="C639" s="25">
        <v>2943</v>
      </c>
      <c r="D639" s="28">
        <v>2943</v>
      </c>
      <c r="E639" s="2" t="str">
        <f t="shared" si="20"/>
        <v>Same</v>
      </c>
      <c r="F639" s="6" t="s">
        <v>1839</v>
      </c>
      <c r="G639">
        <v>9.5</v>
      </c>
      <c r="H639" s="2" t="s">
        <v>630</v>
      </c>
      <c r="I639" s="4">
        <f>[1]Sheet1!I639</f>
        <v>57</v>
      </c>
      <c r="J639" s="3" t="str">
        <f t="shared" si="19"/>
        <v>2943_A1C1.webp</v>
      </c>
      <c r="K639" s="5">
        <f>Sheet4!E639</f>
        <v>12</v>
      </c>
      <c r="L639" s="5"/>
      <c r="M639" s="4"/>
    </row>
    <row r="640" spans="1:13" x14ac:dyDescent="0.25">
      <c r="A640" t="s">
        <v>2618</v>
      </c>
      <c r="B640" t="s">
        <v>3427</v>
      </c>
      <c r="C640" s="25">
        <v>2944</v>
      </c>
      <c r="D640" s="28">
        <v>2944</v>
      </c>
      <c r="E640" s="2" t="str">
        <f t="shared" si="20"/>
        <v>Same</v>
      </c>
      <c r="F640" s="6" t="s">
        <v>1839</v>
      </c>
      <c r="G640">
        <v>9.5</v>
      </c>
      <c r="H640" s="2" t="s">
        <v>631</v>
      </c>
      <c r="I640" s="4">
        <f>[1]Sheet1!I640</f>
        <v>52</v>
      </c>
      <c r="J640" s="3" t="str">
        <f t="shared" si="19"/>
        <v>2944_A1C1.webp</v>
      </c>
      <c r="K640" s="5">
        <f>Sheet4!E640</f>
        <v>12</v>
      </c>
      <c r="L640" s="5"/>
      <c r="M640" s="4"/>
    </row>
    <row r="641" spans="1:13" x14ac:dyDescent="0.25">
      <c r="A641" t="s">
        <v>3386</v>
      </c>
      <c r="B641" t="s">
        <v>3387</v>
      </c>
      <c r="C641" s="25">
        <v>2945</v>
      </c>
      <c r="D641" s="28">
        <v>2945</v>
      </c>
      <c r="E641" s="2" t="str">
        <f t="shared" si="20"/>
        <v>Same</v>
      </c>
      <c r="F641" s="6" t="s">
        <v>1882</v>
      </c>
      <c r="G641" s="3">
        <v>40.5</v>
      </c>
      <c r="H641" s="2" t="s">
        <v>632</v>
      </c>
      <c r="I641" s="4">
        <f>[1]Sheet1!I641</f>
        <v>85</v>
      </c>
      <c r="J641" s="3" t="str">
        <f t="shared" si="19"/>
        <v>2945_A1C1.webp</v>
      </c>
      <c r="K641" s="5">
        <f>Sheet4!E641</f>
        <v>12</v>
      </c>
      <c r="L641" s="5"/>
      <c r="M641" s="4"/>
    </row>
    <row r="642" spans="1:13" x14ac:dyDescent="0.25">
      <c r="A642" t="s">
        <v>3386</v>
      </c>
      <c r="B642" t="s">
        <v>3387</v>
      </c>
      <c r="C642" s="25">
        <v>2947</v>
      </c>
      <c r="D642" s="28">
        <v>2947</v>
      </c>
      <c r="E642" s="2" t="str">
        <f t="shared" si="20"/>
        <v>Same</v>
      </c>
      <c r="F642" s="6" t="s">
        <v>1870</v>
      </c>
      <c r="G642">
        <v>15.35</v>
      </c>
      <c r="H642" s="2" t="s">
        <v>633</v>
      </c>
      <c r="I642" s="4">
        <f>[1]Sheet1!I642</f>
        <v>1183</v>
      </c>
      <c r="J642" s="3" t="str">
        <f t="shared" ref="J642:J705" si="21">C642 &amp; "_A1C1.webp"</f>
        <v>2947_A1C1.webp</v>
      </c>
      <c r="K642" s="5">
        <f>Sheet4!E642</f>
        <v>20</v>
      </c>
      <c r="L642" s="5"/>
      <c r="M642" s="4"/>
    </row>
    <row r="643" spans="1:13" x14ac:dyDescent="0.25">
      <c r="A643" t="s">
        <v>2618</v>
      </c>
      <c r="B643" t="s">
        <v>3427</v>
      </c>
      <c r="C643" s="25">
        <v>2949</v>
      </c>
      <c r="D643" s="28">
        <v>2949</v>
      </c>
      <c r="E643" s="2" t="str">
        <f t="shared" si="20"/>
        <v>Same</v>
      </c>
      <c r="F643" s="6" t="s">
        <v>1839</v>
      </c>
      <c r="G643">
        <v>9.5</v>
      </c>
      <c r="H643" s="2" t="s">
        <v>634</v>
      </c>
      <c r="I643" s="4">
        <f>[1]Sheet1!I643</f>
        <v>29</v>
      </c>
      <c r="J643" s="3" t="str">
        <f t="shared" si="21"/>
        <v>2949_A1C1.webp</v>
      </c>
      <c r="K643" s="5">
        <f>Sheet4!E643</f>
        <v>12</v>
      </c>
      <c r="L643" s="5"/>
      <c r="M643" s="4"/>
    </row>
    <row r="644" spans="1:13" x14ac:dyDescent="0.25">
      <c r="A644" t="s">
        <v>2518</v>
      </c>
      <c r="B644" t="s">
        <v>3392</v>
      </c>
      <c r="C644" s="25">
        <v>2950</v>
      </c>
      <c r="D644" s="28">
        <v>2950</v>
      </c>
      <c r="E644" s="2" t="str">
        <f t="shared" si="20"/>
        <v>Same</v>
      </c>
      <c r="F644" s="6" t="s">
        <v>1879</v>
      </c>
      <c r="G644" s="3">
        <v>26.95</v>
      </c>
      <c r="H644" s="2" t="s">
        <v>635</v>
      </c>
      <c r="I644" s="4">
        <f>[1]Sheet1!I644</f>
        <v>0</v>
      </c>
      <c r="J644" s="3" t="str">
        <f t="shared" si="21"/>
        <v>2950_A1C1.webp</v>
      </c>
      <c r="K644" s="5">
        <f>Sheet4!E644</f>
        <v>12</v>
      </c>
      <c r="L644" s="5"/>
      <c r="M644" s="4"/>
    </row>
    <row r="645" spans="1:13" x14ac:dyDescent="0.25">
      <c r="A645" t="s">
        <v>2633</v>
      </c>
      <c r="B645" t="s">
        <v>3375</v>
      </c>
      <c r="C645" s="25">
        <v>2952</v>
      </c>
      <c r="D645" s="28">
        <v>2951</v>
      </c>
      <c r="E645" s="2" t="str">
        <f t="shared" si="20"/>
        <v>New</v>
      </c>
      <c r="F645" s="2" t="s">
        <v>5389</v>
      </c>
      <c r="H645" s="2" t="s">
        <v>5390</v>
      </c>
      <c r="I645" s="4">
        <f>[1]Sheet1!I645</f>
        <v>0</v>
      </c>
      <c r="J645" s="3" t="str">
        <f t="shared" si="21"/>
        <v>2952_A1C1.webp</v>
      </c>
      <c r="K645" s="5">
        <f>Sheet4!E645</f>
        <v>20</v>
      </c>
      <c r="L645" s="5" t="s">
        <v>5278</v>
      </c>
      <c r="M645" s="4"/>
    </row>
    <row r="646" spans="1:13" x14ac:dyDescent="0.25">
      <c r="A646" t="s">
        <v>2593</v>
      </c>
      <c r="B646" t="s">
        <v>3446</v>
      </c>
      <c r="C646" s="25">
        <v>2954</v>
      </c>
      <c r="D646" s="28">
        <v>2952</v>
      </c>
      <c r="E646" s="2" t="str">
        <f t="shared" ref="E646:E709" si="22">IF(C646=D646, "Same","New")</f>
        <v>New</v>
      </c>
      <c r="F646" s="6" t="s">
        <v>1910</v>
      </c>
      <c r="G646" s="3">
        <v>67.95</v>
      </c>
      <c r="H646" s="2" t="s">
        <v>636</v>
      </c>
      <c r="I646" s="4">
        <f>[1]Sheet1!I646</f>
        <v>70</v>
      </c>
      <c r="J646" s="3" t="str">
        <f t="shared" si="21"/>
        <v>2954_A1C1.webp</v>
      </c>
      <c r="K646" s="5">
        <f>Sheet4!E646</f>
        <v>6</v>
      </c>
      <c r="L646" s="5"/>
      <c r="M646" s="4"/>
    </row>
    <row r="647" spans="1:13" x14ac:dyDescent="0.25">
      <c r="A647" t="s">
        <v>3242</v>
      </c>
      <c r="B647" t="s">
        <v>3451</v>
      </c>
      <c r="C647" s="25">
        <v>2962</v>
      </c>
      <c r="D647" s="28">
        <v>2954</v>
      </c>
      <c r="E647" s="2" t="str">
        <f t="shared" si="22"/>
        <v>New</v>
      </c>
      <c r="F647" s="6" t="s">
        <v>1910</v>
      </c>
      <c r="G647" s="3">
        <v>54.95</v>
      </c>
      <c r="H647" s="2" t="s">
        <v>637</v>
      </c>
      <c r="I647" s="4">
        <f>[1]Sheet1!I647</f>
        <v>67</v>
      </c>
      <c r="J647" s="3" t="str">
        <f t="shared" si="21"/>
        <v>2962_A1C1.webp</v>
      </c>
      <c r="K647" s="5">
        <f>Sheet4!E647</f>
        <v>12</v>
      </c>
      <c r="L647" s="5"/>
      <c r="M647" s="4"/>
    </row>
    <row r="648" spans="1:13" x14ac:dyDescent="0.25">
      <c r="A648" t="s">
        <v>3386</v>
      </c>
      <c r="B648" t="s">
        <v>3387</v>
      </c>
      <c r="C648" s="25">
        <v>2967</v>
      </c>
      <c r="D648" s="28">
        <v>2962</v>
      </c>
      <c r="E648" s="2" t="str">
        <f t="shared" si="22"/>
        <v>New</v>
      </c>
      <c r="F648" s="6" t="s">
        <v>1930</v>
      </c>
      <c r="G648">
        <v>15.35</v>
      </c>
      <c r="H648" s="2" t="s">
        <v>638</v>
      </c>
      <c r="I648" s="4">
        <f>[1]Sheet1!I648</f>
        <v>41</v>
      </c>
      <c r="J648" s="3" t="str">
        <f t="shared" si="21"/>
        <v>2967_A1C1.webp</v>
      </c>
      <c r="K648" s="5">
        <f>Sheet4!E648</f>
        <v>12</v>
      </c>
      <c r="L648" s="5"/>
      <c r="M648" s="4"/>
    </row>
    <row r="649" spans="1:13" x14ac:dyDescent="0.25">
      <c r="A649" t="s">
        <v>3315</v>
      </c>
      <c r="B649" t="s">
        <v>3455</v>
      </c>
      <c r="C649" s="25">
        <v>2971</v>
      </c>
      <c r="D649" s="28">
        <v>2967</v>
      </c>
      <c r="E649" s="2" t="str">
        <f t="shared" si="22"/>
        <v>New</v>
      </c>
      <c r="F649" s="6" t="s">
        <v>1849</v>
      </c>
      <c r="G649" s="3">
        <v>38.950000000000003</v>
      </c>
      <c r="H649" s="2" t="s">
        <v>639</v>
      </c>
      <c r="I649" s="4">
        <f>[1]Sheet1!I649</f>
        <v>432</v>
      </c>
      <c r="J649" s="3" t="str">
        <f t="shared" si="21"/>
        <v>2971_A1C1.webp</v>
      </c>
      <c r="K649" s="5">
        <f>Sheet4!E649</f>
        <v>20</v>
      </c>
      <c r="L649" s="5"/>
      <c r="M649" s="4"/>
    </row>
    <row r="650" spans="1:13" x14ac:dyDescent="0.25">
      <c r="A650" t="s">
        <v>3315</v>
      </c>
      <c r="B650" t="s">
        <v>3455</v>
      </c>
      <c r="C650" s="25">
        <v>2972</v>
      </c>
      <c r="D650" s="28">
        <v>2971</v>
      </c>
      <c r="E650" s="2" t="str">
        <f t="shared" si="22"/>
        <v>New</v>
      </c>
      <c r="F650" s="6" t="s">
        <v>1849</v>
      </c>
      <c r="G650" s="3">
        <v>38.950000000000003</v>
      </c>
      <c r="H650" s="2" t="s">
        <v>640</v>
      </c>
      <c r="I650" s="4">
        <f>[1]Sheet1!I650</f>
        <v>879</v>
      </c>
      <c r="J650" s="3" t="str">
        <f t="shared" si="21"/>
        <v>2972_A1C1.webp</v>
      </c>
      <c r="K650" s="5">
        <f>Sheet4!E650</f>
        <v>24</v>
      </c>
      <c r="L650" s="5"/>
      <c r="M650" s="4"/>
    </row>
    <row r="651" spans="1:13" x14ac:dyDescent="0.25">
      <c r="A651" t="s">
        <v>3315</v>
      </c>
      <c r="B651" t="s">
        <v>3455</v>
      </c>
      <c r="C651" s="25">
        <v>2973</v>
      </c>
      <c r="D651" s="28">
        <v>2972</v>
      </c>
      <c r="E651" s="2" t="str">
        <f t="shared" si="22"/>
        <v>New</v>
      </c>
      <c r="F651" s="6" t="s">
        <v>1869</v>
      </c>
      <c r="G651">
        <v>23.5</v>
      </c>
      <c r="H651" s="2" t="s">
        <v>641</v>
      </c>
      <c r="I651" s="4">
        <f>[1]Sheet1!I651</f>
        <v>1981</v>
      </c>
      <c r="J651" s="3" t="str">
        <f t="shared" si="21"/>
        <v>2973_A1C1.webp</v>
      </c>
      <c r="K651" s="5">
        <f>Sheet4!E651</f>
        <v>24</v>
      </c>
      <c r="L651" s="5"/>
      <c r="M651" s="4"/>
    </row>
    <row r="652" spans="1:13" x14ac:dyDescent="0.25">
      <c r="A652" t="s">
        <v>2518</v>
      </c>
      <c r="B652" t="s">
        <v>3459</v>
      </c>
      <c r="C652" s="25">
        <v>2976</v>
      </c>
      <c r="D652" s="28">
        <v>2973</v>
      </c>
      <c r="E652" s="2" t="str">
        <f t="shared" si="22"/>
        <v>New</v>
      </c>
      <c r="F652" s="6" t="s">
        <v>1876</v>
      </c>
      <c r="G652" s="3">
        <v>13.5</v>
      </c>
      <c r="H652" s="2" t="s">
        <v>642</v>
      </c>
      <c r="I652" s="4">
        <f>[1]Sheet1!I652</f>
        <v>3099</v>
      </c>
      <c r="J652" s="3" t="str">
        <f t="shared" si="21"/>
        <v>2976_A1C1.webp</v>
      </c>
      <c r="K652" s="5">
        <f>Sheet4!E652</f>
        <v>25</v>
      </c>
      <c r="L652" s="5"/>
      <c r="M652" s="4"/>
    </row>
    <row r="653" spans="1:13" x14ac:dyDescent="0.25">
      <c r="A653" t="s">
        <v>3242</v>
      </c>
      <c r="B653" t="s">
        <v>3451</v>
      </c>
      <c r="C653" s="25">
        <v>2980</v>
      </c>
      <c r="D653" s="28">
        <v>2976</v>
      </c>
      <c r="E653" s="2" t="str">
        <f t="shared" si="22"/>
        <v>New</v>
      </c>
      <c r="F653" s="6" t="s">
        <v>1910</v>
      </c>
      <c r="G653" s="3">
        <v>65.95</v>
      </c>
      <c r="H653" s="2" t="s">
        <v>643</v>
      </c>
      <c r="I653" s="4">
        <f>[1]Sheet1!I653</f>
        <v>71</v>
      </c>
      <c r="J653" s="3" t="str">
        <f t="shared" si="21"/>
        <v>2980_A1C1.webp</v>
      </c>
      <c r="K653" s="5">
        <f>Sheet4!E653</f>
        <v>12</v>
      </c>
      <c r="L653" s="5"/>
      <c r="M653" s="4"/>
    </row>
    <row r="654" spans="1:13" x14ac:dyDescent="0.25">
      <c r="A654" t="s">
        <v>3242</v>
      </c>
      <c r="B654" t="s">
        <v>3451</v>
      </c>
      <c r="C654" s="25">
        <v>2982</v>
      </c>
      <c r="D654" s="28">
        <v>2980</v>
      </c>
      <c r="E654" s="2" t="str">
        <f t="shared" si="22"/>
        <v>New</v>
      </c>
      <c r="F654" s="6" t="s">
        <v>1910</v>
      </c>
      <c r="G654" s="3">
        <v>63.95</v>
      </c>
      <c r="H654" s="2" t="s">
        <v>644</v>
      </c>
      <c r="I654" s="4">
        <f>[1]Sheet1!I654</f>
        <v>531</v>
      </c>
      <c r="J654" s="3" t="str">
        <f t="shared" si="21"/>
        <v>2982_A1C1.webp</v>
      </c>
      <c r="K654" s="5">
        <f>Sheet4!E654</f>
        <v>12</v>
      </c>
      <c r="L654" s="5"/>
      <c r="M654" s="4"/>
    </row>
    <row r="655" spans="1:13" x14ac:dyDescent="0.25">
      <c r="A655" t="s">
        <v>2593</v>
      </c>
      <c r="B655" t="s">
        <v>3446</v>
      </c>
      <c r="C655" s="25">
        <v>2983</v>
      </c>
      <c r="D655" s="28">
        <v>2982</v>
      </c>
      <c r="E655" s="2" t="str">
        <f t="shared" si="22"/>
        <v>New</v>
      </c>
      <c r="F655" s="6" t="s">
        <v>1910</v>
      </c>
      <c r="G655" s="3">
        <v>57.95</v>
      </c>
      <c r="H655" s="2" t="s">
        <v>645</v>
      </c>
      <c r="I655" s="4">
        <f>[1]Sheet1!I655</f>
        <v>0</v>
      </c>
      <c r="J655" s="3" t="str">
        <f t="shared" si="21"/>
        <v>2983_A1C1.webp</v>
      </c>
      <c r="K655" s="5">
        <f>Sheet4!E655</f>
        <v>12</v>
      </c>
      <c r="L655" s="5"/>
      <c r="M655" s="4"/>
    </row>
    <row r="656" spans="1:13" x14ac:dyDescent="0.25">
      <c r="A656" t="s">
        <v>2593</v>
      </c>
      <c r="B656" t="s">
        <v>3446</v>
      </c>
      <c r="C656" s="25">
        <v>2984</v>
      </c>
      <c r="D656" s="28">
        <v>2983</v>
      </c>
      <c r="E656" s="2" t="str">
        <f t="shared" si="22"/>
        <v>New</v>
      </c>
      <c r="F656" s="6" t="s">
        <v>1910</v>
      </c>
      <c r="G656" s="3">
        <v>52.95</v>
      </c>
      <c r="H656" s="2" t="s">
        <v>646</v>
      </c>
      <c r="I656" s="4">
        <f>[1]Sheet1!I656</f>
        <v>39</v>
      </c>
      <c r="J656" s="3" t="str">
        <f t="shared" si="21"/>
        <v>2984_A1C1.webp</v>
      </c>
      <c r="K656" s="5">
        <f>Sheet4!E656</f>
        <v>12</v>
      </c>
      <c r="L656" s="5"/>
      <c r="M656" s="4"/>
    </row>
    <row r="657" spans="1:13" x14ac:dyDescent="0.25">
      <c r="A657" t="s">
        <v>3242</v>
      </c>
      <c r="B657" t="s">
        <v>3451</v>
      </c>
      <c r="C657" s="25">
        <v>2985</v>
      </c>
      <c r="D657" s="28">
        <v>2984</v>
      </c>
      <c r="E657" s="2" t="str">
        <f t="shared" si="22"/>
        <v>New</v>
      </c>
      <c r="F657" s="6" t="s">
        <v>1910</v>
      </c>
      <c r="G657" s="3">
        <v>65.95</v>
      </c>
      <c r="H657" s="2" t="s">
        <v>647</v>
      </c>
      <c r="I657" s="4">
        <f>[1]Sheet1!I657</f>
        <v>21</v>
      </c>
      <c r="J657" s="3" t="str">
        <f t="shared" si="21"/>
        <v>2985_A1C1.webp</v>
      </c>
      <c r="K657" s="5">
        <f>Sheet4!E657</f>
        <v>12</v>
      </c>
      <c r="L657" s="5"/>
      <c r="M657" s="4"/>
    </row>
    <row r="658" spans="1:13" x14ac:dyDescent="0.25">
      <c r="A658" t="s">
        <v>2593</v>
      </c>
      <c r="B658" t="s">
        <v>3446</v>
      </c>
      <c r="C658" s="25">
        <v>2986</v>
      </c>
      <c r="D658" s="28">
        <v>2985</v>
      </c>
      <c r="E658" s="2" t="str">
        <f t="shared" si="22"/>
        <v>New</v>
      </c>
      <c r="F658" s="6" t="s">
        <v>1910</v>
      </c>
      <c r="G658" s="3">
        <v>73.5</v>
      </c>
      <c r="H658" s="2" t="s">
        <v>648</v>
      </c>
      <c r="I658" s="4">
        <f>[1]Sheet1!I658</f>
        <v>62</v>
      </c>
      <c r="J658" s="3" t="str">
        <f t="shared" si="21"/>
        <v>2986_A1C1.webp</v>
      </c>
      <c r="K658" s="5">
        <f>Sheet4!E658</f>
        <v>12</v>
      </c>
      <c r="L658" s="5"/>
      <c r="M658" s="4"/>
    </row>
    <row r="659" spans="1:13" x14ac:dyDescent="0.25">
      <c r="A659" t="s">
        <v>2593</v>
      </c>
      <c r="B659" t="s">
        <v>3446</v>
      </c>
      <c r="C659" s="25">
        <v>2987</v>
      </c>
      <c r="D659" s="28">
        <v>2986</v>
      </c>
      <c r="E659" s="2" t="str">
        <f t="shared" si="22"/>
        <v>New</v>
      </c>
      <c r="F659" s="6" t="s">
        <v>1910</v>
      </c>
      <c r="G659" s="3">
        <v>72.95</v>
      </c>
      <c r="H659" s="2" t="s">
        <v>649</v>
      </c>
      <c r="I659" s="4">
        <f>[1]Sheet1!I659</f>
        <v>20</v>
      </c>
      <c r="J659" s="3" t="str">
        <f t="shared" si="21"/>
        <v>2987_A1C1.webp</v>
      </c>
      <c r="K659" s="5">
        <f>Sheet4!E659</f>
        <v>12</v>
      </c>
      <c r="L659" s="5"/>
      <c r="M659" s="4"/>
    </row>
    <row r="660" spans="1:13" x14ac:dyDescent="0.25">
      <c r="A660" t="s">
        <v>2618</v>
      </c>
      <c r="B660" t="s">
        <v>3427</v>
      </c>
      <c r="C660" s="25">
        <v>2989</v>
      </c>
      <c r="D660" s="28">
        <v>2987</v>
      </c>
      <c r="E660" s="2" t="str">
        <f t="shared" si="22"/>
        <v>New</v>
      </c>
      <c r="F660" s="6" t="s">
        <v>1839</v>
      </c>
      <c r="G660">
        <v>9.5</v>
      </c>
      <c r="H660" s="2" t="s">
        <v>650</v>
      </c>
      <c r="I660" s="4">
        <f>[1]Sheet1!I660</f>
        <v>560</v>
      </c>
      <c r="J660" s="3" t="str">
        <f t="shared" si="21"/>
        <v>2989_A1C1.webp</v>
      </c>
      <c r="K660" s="5">
        <f>Sheet4!E660</f>
        <v>12</v>
      </c>
      <c r="L660" s="5"/>
      <c r="M660" s="4"/>
    </row>
    <row r="661" spans="1:13" x14ac:dyDescent="0.25">
      <c r="A661" t="s">
        <v>2518</v>
      </c>
      <c r="B661" t="s">
        <v>3480</v>
      </c>
      <c r="C661" s="25">
        <v>2990</v>
      </c>
      <c r="D661" s="28">
        <v>2989</v>
      </c>
      <c r="E661" s="2" t="str">
        <f t="shared" si="22"/>
        <v>New</v>
      </c>
      <c r="F661" s="6" t="s">
        <v>1849</v>
      </c>
      <c r="G661" s="3">
        <v>19.350000000000001</v>
      </c>
      <c r="H661" s="2" t="s">
        <v>651</v>
      </c>
      <c r="I661" s="4">
        <f>[1]Sheet1!I661</f>
        <v>0</v>
      </c>
      <c r="J661" s="3" t="str">
        <f t="shared" si="21"/>
        <v>2990_A1C1.webp</v>
      </c>
      <c r="K661" s="5">
        <f>Sheet4!E661</f>
        <v>12</v>
      </c>
      <c r="L661" s="5"/>
      <c r="M661" s="4"/>
    </row>
    <row r="662" spans="1:13" x14ac:dyDescent="0.25">
      <c r="A662" t="s">
        <v>2518</v>
      </c>
      <c r="B662" t="s">
        <v>3480</v>
      </c>
      <c r="C662" s="25">
        <v>2991</v>
      </c>
      <c r="D662" s="28">
        <v>2990</v>
      </c>
      <c r="E662" s="2" t="str">
        <f t="shared" si="22"/>
        <v>New</v>
      </c>
      <c r="F662" s="6" t="s">
        <v>1849</v>
      </c>
      <c r="G662" s="3">
        <v>19.350000000000001</v>
      </c>
      <c r="H662" s="2" t="s">
        <v>652</v>
      </c>
      <c r="I662" s="4">
        <f>[1]Sheet1!I662</f>
        <v>84</v>
      </c>
      <c r="J662" s="3" t="str">
        <f t="shared" si="21"/>
        <v>2991_A1C1.webp</v>
      </c>
      <c r="K662" s="5">
        <f>Sheet4!E662</f>
        <v>12</v>
      </c>
      <c r="L662" s="5"/>
      <c r="M662" s="4"/>
    </row>
    <row r="663" spans="1:13" x14ac:dyDescent="0.25">
      <c r="A663" t="s">
        <v>2518</v>
      </c>
      <c r="B663" t="s">
        <v>3482</v>
      </c>
      <c r="C663" s="25">
        <v>2996</v>
      </c>
      <c r="D663" s="28">
        <v>2991</v>
      </c>
      <c r="E663" s="2" t="str">
        <f t="shared" si="22"/>
        <v>New</v>
      </c>
      <c r="F663" s="6" t="s">
        <v>1877</v>
      </c>
      <c r="G663" s="3">
        <v>36.5</v>
      </c>
      <c r="H663" s="2" t="s">
        <v>653</v>
      </c>
      <c r="I663" s="4">
        <f>[1]Sheet1!I663</f>
        <v>136</v>
      </c>
      <c r="J663" s="3" t="str">
        <f t="shared" si="21"/>
        <v>2996_A1C1.webp</v>
      </c>
      <c r="K663" s="5">
        <f>Sheet4!E663</f>
        <v>12</v>
      </c>
      <c r="L663" s="5"/>
      <c r="M663" s="4"/>
    </row>
    <row r="664" spans="1:13" x14ac:dyDescent="0.25">
      <c r="A664" t="s">
        <v>2518</v>
      </c>
      <c r="B664" t="s">
        <v>3482</v>
      </c>
      <c r="C664" s="25">
        <v>2997</v>
      </c>
      <c r="D664" s="28">
        <v>2996</v>
      </c>
      <c r="E664" s="2" t="str">
        <f t="shared" si="22"/>
        <v>New</v>
      </c>
      <c r="F664" s="6" t="s">
        <v>1877</v>
      </c>
      <c r="G664" s="3">
        <v>36.5</v>
      </c>
      <c r="H664" s="2" t="s">
        <v>654</v>
      </c>
      <c r="I664" s="4">
        <f>[1]Sheet1!I664</f>
        <v>6097</v>
      </c>
      <c r="J664" s="3" t="str">
        <f t="shared" si="21"/>
        <v>2997_A1C1.webp</v>
      </c>
      <c r="K664" s="5">
        <f>Sheet4!E664</f>
        <v>12</v>
      </c>
      <c r="L664" s="5"/>
      <c r="M664" s="4"/>
    </row>
    <row r="665" spans="1:13" x14ac:dyDescent="0.25">
      <c r="A665" t="s">
        <v>3380</v>
      </c>
      <c r="B665" t="s">
        <v>3485</v>
      </c>
      <c r="C665" s="25">
        <v>2999</v>
      </c>
      <c r="D665" s="28">
        <v>2997</v>
      </c>
      <c r="E665" s="2" t="str">
        <f t="shared" si="22"/>
        <v>New</v>
      </c>
      <c r="F665" s="6" t="s">
        <v>1874</v>
      </c>
      <c r="G665" s="3">
        <v>64.5</v>
      </c>
      <c r="H665" s="2" t="s">
        <v>655</v>
      </c>
      <c r="I665" s="4">
        <f>[1]Sheet1!I665</f>
        <v>4169</v>
      </c>
      <c r="J665" s="3" t="str">
        <f t="shared" si="21"/>
        <v>2999_A1C1.webp</v>
      </c>
      <c r="K665" s="5">
        <f>Sheet4!E665</f>
        <v>12</v>
      </c>
      <c r="L665" s="5"/>
      <c r="M665" s="4"/>
    </row>
    <row r="666" spans="1:13" x14ac:dyDescent="0.25">
      <c r="A666" t="s">
        <v>2518</v>
      </c>
      <c r="B666" t="s">
        <v>2526</v>
      </c>
      <c r="C666" s="25">
        <v>3002</v>
      </c>
      <c r="D666" s="28">
        <v>2999</v>
      </c>
      <c r="E666" s="2" t="str">
        <f t="shared" si="22"/>
        <v>New</v>
      </c>
      <c r="F666" s="6" t="s">
        <v>1876</v>
      </c>
      <c r="G666" s="3">
        <v>31.95</v>
      </c>
      <c r="H666" s="2" t="s">
        <v>656</v>
      </c>
      <c r="I666" s="4">
        <f>[1]Sheet1!I666</f>
        <v>1476</v>
      </c>
      <c r="J666" s="3" t="str">
        <f t="shared" si="21"/>
        <v>3002_A1C1.webp</v>
      </c>
      <c r="K666" s="5">
        <f>Sheet4!E666</f>
        <v>12</v>
      </c>
      <c r="L666" s="5"/>
      <c r="M666" s="4"/>
    </row>
    <row r="667" spans="1:13" x14ac:dyDescent="0.25">
      <c r="A667" t="s">
        <v>2518</v>
      </c>
      <c r="B667" t="s">
        <v>2585</v>
      </c>
      <c r="C667" s="25">
        <v>3007</v>
      </c>
      <c r="D667" s="28">
        <v>3002</v>
      </c>
      <c r="E667" s="2" t="str">
        <f t="shared" si="22"/>
        <v>New</v>
      </c>
      <c r="F667" s="6" t="s">
        <v>1877</v>
      </c>
      <c r="G667" s="3">
        <v>31.95</v>
      </c>
      <c r="H667" s="2" t="s">
        <v>657</v>
      </c>
      <c r="I667" s="4">
        <f>[1]Sheet1!I667</f>
        <v>224</v>
      </c>
      <c r="J667" s="3" t="str">
        <f t="shared" si="21"/>
        <v>3007_A1C1.webp</v>
      </c>
      <c r="K667" s="5">
        <f>Sheet4!E667</f>
        <v>24</v>
      </c>
      <c r="L667" s="5"/>
      <c r="M667" s="4"/>
    </row>
    <row r="668" spans="1:13" x14ac:dyDescent="0.25">
      <c r="A668" t="s">
        <v>2518</v>
      </c>
      <c r="B668" t="s">
        <v>2585</v>
      </c>
      <c r="C668" s="25">
        <v>3009</v>
      </c>
      <c r="D668" s="28">
        <v>3011</v>
      </c>
      <c r="E668" s="2" t="str">
        <f t="shared" si="22"/>
        <v>New</v>
      </c>
      <c r="F668" s="6" t="s">
        <v>1877</v>
      </c>
      <c r="G668" s="3">
        <v>31.95</v>
      </c>
      <c r="H668" s="2" t="s">
        <v>658</v>
      </c>
      <c r="I668" s="4">
        <f>[1]Sheet1!I668</f>
        <v>60</v>
      </c>
      <c r="J668" s="3" t="str">
        <f t="shared" si="21"/>
        <v>3009_A1C1.webp</v>
      </c>
      <c r="K668" s="5">
        <f>Sheet4!E668</f>
        <v>20</v>
      </c>
      <c r="L668" s="5"/>
      <c r="M668" s="4"/>
    </row>
    <row r="669" spans="1:13" x14ac:dyDescent="0.25">
      <c r="A669" t="s">
        <v>2207</v>
      </c>
      <c r="B669" t="s">
        <v>5264</v>
      </c>
      <c r="C669" s="25">
        <v>3039</v>
      </c>
      <c r="D669" s="28">
        <v>3039</v>
      </c>
      <c r="E669" s="2" t="str">
        <f t="shared" si="22"/>
        <v>Same</v>
      </c>
      <c r="F669" s="6" t="s">
        <v>1932</v>
      </c>
      <c r="H669" s="2" t="s">
        <v>659</v>
      </c>
      <c r="I669" s="4">
        <f>[1]Sheet1!I669</f>
        <v>0</v>
      </c>
      <c r="J669" s="3" t="str">
        <f t="shared" si="21"/>
        <v>3039_A1C1.webp</v>
      </c>
      <c r="K669" s="5">
        <f>Sheet4!E669</f>
        <v>372</v>
      </c>
      <c r="L669" s="5"/>
      <c r="M669" s="4"/>
    </row>
    <row r="670" spans="1:13" x14ac:dyDescent="0.25">
      <c r="A670" t="s">
        <v>2207</v>
      </c>
      <c r="B670" t="s">
        <v>3494</v>
      </c>
      <c r="C670" s="25">
        <v>3047</v>
      </c>
      <c r="D670" s="28">
        <v>3047</v>
      </c>
      <c r="E670" s="2" t="str">
        <f t="shared" si="22"/>
        <v>Same</v>
      </c>
      <c r="F670" s="6" t="s">
        <v>1896</v>
      </c>
      <c r="G670" s="3">
        <v>23.95</v>
      </c>
      <c r="H670" s="2" t="s">
        <v>660</v>
      </c>
      <c r="I670" s="4">
        <f>[1]Sheet1!I670</f>
        <v>41</v>
      </c>
      <c r="J670" s="3" t="str">
        <f t="shared" si="21"/>
        <v>3047_A1C1.webp</v>
      </c>
      <c r="K670" s="5">
        <f>Sheet4!E670</f>
        <v>6</v>
      </c>
      <c r="L670" s="5"/>
      <c r="M670" s="4"/>
    </row>
    <row r="671" spans="1:13" x14ac:dyDescent="0.25">
      <c r="A671" t="s">
        <v>2207</v>
      </c>
      <c r="B671" t="s">
        <v>3494</v>
      </c>
      <c r="C671" s="25">
        <v>3049</v>
      </c>
      <c r="D671" s="28">
        <v>3049</v>
      </c>
      <c r="E671" s="2" t="str">
        <f t="shared" si="22"/>
        <v>Same</v>
      </c>
      <c r="F671" s="6" t="s">
        <v>1932</v>
      </c>
      <c r="G671" s="3">
        <v>29.5</v>
      </c>
      <c r="H671" s="2" t="s">
        <v>661</v>
      </c>
      <c r="I671" s="4">
        <f>[1]Sheet1!I671</f>
        <v>51</v>
      </c>
      <c r="J671" s="3" t="str">
        <f t="shared" si="21"/>
        <v>3049_A1C1.webp</v>
      </c>
      <c r="K671" s="5">
        <f>Sheet4!E671</f>
        <v>12</v>
      </c>
      <c r="L671" s="5"/>
      <c r="M671" s="4"/>
    </row>
    <row r="672" spans="1:13" x14ac:dyDescent="0.25">
      <c r="A672" t="s">
        <v>2207</v>
      </c>
      <c r="B672" t="s">
        <v>3494</v>
      </c>
      <c r="C672" s="25">
        <v>3051</v>
      </c>
      <c r="D672" s="28">
        <v>3051</v>
      </c>
      <c r="E672" s="2" t="str">
        <f t="shared" si="22"/>
        <v>Same</v>
      </c>
      <c r="F672" s="6" t="s">
        <v>1851</v>
      </c>
      <c r="G672" s="3">
        <v>52.5</v>
      </c>
      <c r="H672" s="2" t="s">
        <v>662</v>
      </c>
      <c r="I672" s="4">
        <f>[1]Sheet1!I672</f>
        <v>2088</v>
      </c>
      <c r="J672" s="3" t="str">
        <f t="shared" si="21"/>
        <v>3051_A1C1.webp</v>
      </c>
      <c r="K672" s="5">
        <f>Sheet4!E672</f>
        <v>6</v>
      </c>
      <c r="L672" s="5"/>
      <c r="M672" s="4"/>
    </row>
    <row r="673" spans="1:13" x14ac:dyDescent="0.25">
      <c r="A673" t="s">
        <v>2207</v>
      </c>
      <c r="B673" t="s">
        <v>3494</v>
      </c>
      <c r="C673" s="25">
        <v>3055</v>
      </c>
      <c r="D673" s="28">
        <v>3055</v>
      </c>
      <c r="E673" s="2" t="str">
        <f t="shared" si="22"/>
        <v>Same</v>
      </c>
      <c r="F673" s="6" t="s">
        <v>1874</v>
      </c>
      <c r="G673" s="3">
        <v>19.5</v>
      </c>
      <c r="H673" s="2" t="s">
        <v>663</v>
      </c>
      <c r="I673" s="4">
        <f>[1]Sheet1!I673</f>
        <v>21</v>
      </c>
      <c r="J673" s="3" t="str">
        <f t="shared" si="21"/>
        <v>3055_A1C1.webp</v>
      </c>
      <c r="K673" s="5">
        <f>Sheet4!E673</f>
        <v>12</v>
      </c>
      <c r="L673" s="5"/>
      <c r="M673" s="4"/>
    </row>
    <row r="674" spans="1:13" x14ac:dyDescent="0.25">
      <c r="A674" t="s">
        <v>2207</v>
      </c>
      <c r="B674" t="s">
        <v>3502</v>
      </c>
      <c r="C674" s="25">
        <v>3057</v>
      </c>
      <c r="D674" s="28">
        <v>3057</v>
      </c>
      <c r="E674" s="2" t="str">
        <f t="shared" si="22"/>
        <v>Same</v>
      </c>
      <c r="F674" s="6" t="s">
        <v>1910</v>
      </c>
      <c r="G674" s="3">
        <v>31.95</v>
      </c>
      <c r="H674" s="2" t="s">
        <v>664</v>
      </c>
      <c r="I674" s="4">
        <f>[1]Sheet1!I674</f>
        <v>1078</v>
      </c>
      <c r="J674" s="3" t="str">
        <f t="shared" si="21"/>
        <v>3057_A1C1.webp</v>
      </c>
      <c r="K674" s="5">
        <f>Sheet4!E674</f>
        <v>12</v>
      </c>
      <c r="L674" s="5"/>
      <c r="M674" s="4"/>
    </row>
    <row r="675" spans="1:13" x14ac:dyDescent="0.25">
      <c r="A675" t="s">
        <v>2207</v>
      </c>
      <c r="B675" t="s">
        <v>3494</v>
      </c>
      <c r="C675" s="25">
        <v>3058</v>
      </c>
      <c r="D675" s="28">
        <v>3058</v>
      </c>
      <c r="E675" s="2" t="str">
        <f t="shared" si="22"/>
        <v>Same</v>
      </c>
      <c r="F675" s="6" t="s">
        <v>1932</v>
      </c>
      <c r="G675" s="3">
        <v>33.950000000000003</v>
      </c>
      <c r="H675" s="2" t="s">
        <v>665</v>
      </c>
      <c r="I675" s="4">
        <f>[1]Sheet1!I675</f>
        <v>357</v>
      </c>
      <c r="J675" s="3" t="str">
        <f t="shared" si="21"/>
        <v>3058_A1C1.webp</v>
      </c>
      <c r="K675" s="5">
        <f>Sheet4!E675</f>
        <v>12</v>
      </c>
      <c r="L675" s="5"/>
      <c r="M675" s="4"/>
    </row>
    <row r="676" spans="1:13" x14ac:dyDescent="0.25">
      <c r="A676" t="s">
        <v>2207</v>
      </c>
      <c r="B676" t="s">
        <v>3494</v>
      </c>
      <c r="C676" s="25">
        <v>3059</v>
      </c>
      <c r="D676" s="28">
        <v>3059</v>
      </c>
      <c r="E676" s="2" t="str">
        <f t="shared" si="22"/>
        <v>Same</v>
      </c>
      <c r="F676" s="6" t="s">
        <v>1874</v>
      </c>
      <c r="G676" s="3">
        <v>31.5</v>
      </c>
      <c r="H676" s="2" t="s">
        <v>666</v>
      </c>
      <c r="I676" s="4">
        <f>[1]Sheet1!I676</f>
        <v>318</v>
      </c>
      <c r="J676" s="3" t="str">
        <f t="shared" si="21"/>
        <v>3059_A1C1.webp</v>
      </c>
      <c r="K676" s="5">
        <f>Sheet4!E676</f>
        <v>24</v>
      </c>
      <c r="L676" s="5"/>
      <c r="M676" s="4"/>
    </row>
    <row r="677" spans="1:13" x14ac:dyDescent="0.25">
      <c r="A677" t="s">
        <v>2207</v>
      </c>
      <c r="B677" t="s">
        <v>3494</v>
      </c>
      <c r="C677" s="25">
        <v>3060</v>
      </c>
      <c r="D677" s="28">
        <v>3060</v>
      </c>
      <c r="E677" s="2" t="str">
        <f t="shared" si="22"/>
        <v>Same</v>
      </c>
      <c r="F677" s="6" t="s">
        <v>1932</v>
      </c>
      <c r="G677" s="3">
        <v>28.95</v>
      </c>
      <c r="H677" s="2" t="s">
        <v>667</v>
      </c>
      <c r="I677" s="4">
        <f>[1]Sheet1!I677</f>
        <v>9162</v>
      </c>
      <c r="J677" s="3" t="str">
        <f t="shared" si="21"/>
        <v>3060_A1C1.webp</v>
      </c>
      <c r="K677" s="5">
        <f>Sheet4!E677</f>
        <v>12</v>
      </c>
      <c r="L677" s="5"/>
      <c r="M677" s="4"/>
    </row>
    <row r="678" spans="1:13" x14ac:dyDescent="0.25">
      <c r="A678" t="s">
        <v>2207</v>
      </c>
      <c r="B678" t="s">
        <v>3494</v>
      </c>
      <c r="C678" s="25">
        <v>3061</v>
      </c>
      <c r="D678" s="28">
        <v>3061</v>
      </c>
      <c r="E678" s="2" t="str">
        <f t="shared" si="22"/>
        <v>Same</v>
      </c>
      <c r="F678" s="6" t="s">
        <v>1851</v>
      </c>
      <c r="G678" s="3">
        <v>41.95</v>
      </c>
      <c r="H678" s="2" t="s">
        <v>668</v>
      </c>
      <c r="I678" s="4">
        <f>[1]Sheet1!I678</f>
        <v>2497</v>
      </c>
      <c r="J678" s="3" t="str">
        <f t="shared" si="21"/>
        <v>3061_A1C1.webp</v>
      </c>
      <c r="K678" s="5">
        <f>Sheet4!E678</f>
        <v>6</v>
      </c>
      <c r="L678" s="5"/>
      <c r="M678" s="4"/>
    </row>
    <row r="679" spans="1:13" x14ac:dyDescent="0.25">
      <c r="A679" t="s">
        <v>2207</v>
      </c>
      <c r="B679" t="s">
        <v>3494</v>
      </c>
      <c r="C679" s="25">
        <v>3062</v>
      </c>
      <c r="D679" s="28">
        <v>3062</v>
      </c>
      <c r="E679" s="2" t="str">
        <f t="shared" si="22"/>
        <v>Same</v>
      </c>
      <c r="F679" s="6" t="s">
        <v>1874</v>
      </c>
      <c r="G679" s="3">
        <v>33.5</v>
      </c>
      <c r="H679" s="2" t="s">
        <v>669</v>
      </c>
      <c r="I679" s="4">
        <f>[1]Sheet1!I679</f>
        <v>136</v>
      </c>
      <c r="J679" s="3" t="str">
        <f t="shared" si="21"/>
        <v>3062_A1C1.webp</v>
      </c>
      <c r="K679" s="5">
        <f>Sheet4!E679</f>
        <v>24</v>
      </c>
      <c r="L679" s="5"/>
      <c r="M679" s="4"/>
    </row>
    <row r="680" spans="1:13" x14ac:dyDescent="0.25">
      <c r="A680" t="s">
        <v>2207</v>
      </c>
      <c r="B680" t="s">
        <v>3494</v>
      </c>
      <c r="C680" s="25">
        <v>3063</v>
      </c>
      <c r="D680" s="28">
        <v>3063</v>
      </c>
      <c r="E680" s="2" t="str">
        <f t="shared" si="22"/>
        <v>Same</v>
      </c>
      <c r="F680" s="6" t="s">
        <v>1932</v>
      </c>
      <c r="G680" s="3">
        <v>31.95</v>
      </c>
      <c r="H680" s="2" t="s">
        <v>670</v>
      </c>
      <c r="I680" s="4">
        <f>[1]Sheet1!I680</f>
        <v>2510</v>
      </c>
      <c r="J680" s="3" t="str">
        <f t="shared" si="21"/>
        <v>3063_A1C1.webp</v>
      </c>
      <c r="K680" s="5">
        <f>Sheet4!E680</f>
        <v>12</v>
      </c>
      <c r="L680" s="5"/>
      <c r="M680" s="4"/>
    </row>
    <row r="681" spans="1:13" x14ac:dyDescent="0.25">
      <c r="A681" t="s">
        <v>2604</v>
      </c>
      <c r="B681" t="s">
        <v>3512</v>
      </c>
      <c r="C681" s="25">
        <v>3065</v>
      </c>
      <c r="D681" s="28">
        <v>3065</v>
      </c>
      <c r="E681" s="2" t="str">
        <f t="shared" si="22"/>
        <v>Same</v>
      </c>
      <c r="F681" s="6" t="s">
        <v>1849</v>
      </c>
      <c r="G681" s="3">
        <v>22.95</v>
      </c>
      <c r="H681" s="2" t="s">
        <v>671</v>
      </c>
      <c r="I681" s="4">
        <f>[1]Sheet1!I681</f>
        <v>192</v>
      </c>
      <c r="J681" s="3" t="str">
        <f t="shared" si="21"/>
        <v>3065_A1C1.webp</v>
      </c>
      <c r="K681" s="5">
        <f>Sheet4!E681</f>
        <v>12</v>
      </c>
      <c r="L681" s="5"/>
      <c r="M681" s="4"/>
    </row>
    <row r="682" spans="1:13" x14ac:dyDescent="0.25">
      <c r="A682" t="s">
        <v>2207</v>
      </c>
      <c r="B682" t="s">
        <v>3502</v>
      </c>
      <c r="C682" s="25">
        <v>3069</v>
      </c>
      <c r="D682" s="28">
        <v>3069</v>
      </c>
      <c r="E682" s="2" t="str">
        <f t="shared" si="22"/>
        <v>Same</v>
      </c>
      <c r="F682" s="6" t="s">
        <v>1910</v>
      </c>
      <c r="G682" s="3">
        <v>29.5</v>
      </c>
      <c r="H682" s="2" t="s">
        <v>672</v>
      </c>
      <c r="I682" s="4">
        <f>[1]Sheet1!I682</f>
        <v>487</v>
      </c>
      <c r="J682" s="3" t="str">
        <f t="shared" si="21"/>
        <v>3069_A1C1.webp</v>
      </c>
      <c r="K682" s="5">
        <f>Sheet4!E682</f>
        <v>12</v>
      </c>
      <c r="L682" s="5"/>
      <c r="M682" s="4"/>
    </row>
    <row r="683" spans="1:13" x14ac:dyDescent="0.25">
      <c r="A683" t="s">
        <v>3242</v>
      </c>
      <c r="B683" t="s">
        <v>3243</v>
      </c>
      <c r="C683" s="25">
        <v>3077</v>
      </c>
      <c r="D683" s="28">
        <v>3077</v>
      </c>
      <c r="E683" s="2" t="str">
        <f t="shared" si="22"/>
        <v>Same</v>
      </c>
      <c r="F683" s="6" t="s">
        <v>1841</v>
      </c>
      <c r="G683" s="3">
        <v>68.5</v>
      </c>
      <c r="H683" s="2" t="s">
        <v>673</v>
      </c>
      <c r="I683" s="4">
        <f>[1]Sheet1!I683</f>
        <v>0</v>
      </c>
      <c r="J683" s="3" t="str">
        <f t="shared" si="21"/>
        <v>3077_A1C1.webp</v>
      </c>
      <c r="K683" s="5">
        <f>Sheet4!E683</f>
        <v>24</v>
      </c>
      <c r="L683" s="5"/>
      <c r="M683" s="4"/>
    </row>
    <row r="684" spans="1:13" x14ac:dyDescent="0.25">
      <c r="A684" t="s">
        <v>3242</v>
      </c>
      <c r="B684" t="s">
        <v>3243</v>
      </c>
      <c r="C684" s="25">
        <v>3078</v>
      </c>
      <c r="D684" s="28">
        <v>3078</v>
      </c>
      <c r="E684" s="2" t="str">
        <f t="shared" si="22"/>
        <v>Same</v>
      </c>
      <c r="F684" s="6" t="s">
        <v>1843</v>
      </c>
      <c r="G684" s="3">
        <v>67.5</v>
      </c>
      <c r="H684" s="2" t="s">
        <v>674</v>
      </c>
      <c r="I684" s="4">
        <f>[1]Sheet1!I684</f>
        <v>0</v>
      </c>
      <c r="J684" s="3" t="str">
        <f t="shared" si="21"/>
        <v>3078_A1C1.webp</v>
      </c>
      <c r="K684" s="5">
        <f>Sheet4!E684</f>
        <v>12</v>
      </c>
      <c r="L684" s="5"/>
      <c r="M684" s="4"/>
    </row>
    <row r="685" spans="1:13" x14ac:dyDescent="0.25">
      <c r="A685" t="s">
        <v>2604</v>
      </c>
      <c r="B685" t="s">
        <v>3512</v>
      </c>
      <c r="C685" s="25">
        <v>3079</v>
      </c>
      <c r="D685" s="28">
        <v>3079</v>
      </c>
      <c r="E685" s="2" t="str">
        <f t="shared" si="22"/>
        <v>Same</v>
      </c>
      <c r="F685" s="6" t="s">
        <v>1905</v>
      </c>
      <c r="G685" s="3">
        <v>62.95</v>
      </c>
      <c r="H685" s="2" t="s">
        <v>675</v>
      </c>
      <c r="I685" s="4">
        <f>[1]Sheet1!I685</f>
        <v>157</v>
      </c>
      <c r="J685" s="3" t="str">
        <f t="shared" si="21"/>
        <v>3079_A1C1.webp</v>
      </c>
      <c r="K685" s="5">
        <f>Sheet4!E685</f>
        <v>24</v>
      </c>
      <c r="L685" s="5"/>
      <c r="M685" s="4"/>
    </row>
    <row r="686" spans="1:13" x14ac:dyDescent="0.25">
      <c r="A686" t="s">
        <v>2604</v>
      </c>
      <c r="B686" t="s">
        <v>3512</v>
      </c>
      <c r="C686" s="25">
        <v>3080</v>
      </c>
      <c r="D686" s="28">
        <v>3080</v>
      </c>
      <c r="E686" s="2" t="str">
        <f t="shared" si="22"/>
        <v>Same</v>
      </c>
      <c r="F686" s="6" t="s">
        <v>1905</v>
      </c>
      <c r="G686" s="3">
        <v>66.95</v>
      </c>
      <c r="H686" s="2" t="s">
        <v>675</v>
      </c>
      <c r="I686" s="4">
        <f>[1]Sheet1!I686</f>
        <v>1229</v>
      </c>
      <c r="J686" s="3" t="str">
        <f t="shared" si="21"/>
        <v>3080_A1C1.webp</v>
      </c>
      <c r="K686" s="5">
        <f>Sheet4!E686</f>
        <v>24</v>
      </c>
      <c r="L686" s="5"/>
      <c r="M686" s="4"/>
    </row>
    <row r="687" spans="1:13" x14ac:dyDescent="0.25">
      <c r="A687" t="s">
        <v>2604</v>
      </c>
      <c r="B687" t="s">
        <v>3512</v>
      </c>
      <c r="C687" s="25">
        <v>3082</v>
      </c>
      <c r="D687" s="28">
        <v>3082</v>
      </c>
      <c r="E687" s="2" t="str">
        <f t="shared" si="22"/>
        <v>Same</v>
      </c>
      <c r="F687" s="6" t="s">
        <v>1922</v>
      </c>
      <c r="G687" s="3">
        <v>35.950000000000003</v>
      </c>
      <c r="H687" s="2" t="s">
        <v>676</v>
      </c>
      <c r="I687" s="4">
        <f>[1]Sheet1!I687</f>
        <v>134</v>
      </c>
      <c r="J687" s="3" t="str">
        <f t="shared" si="21"/>
        <v>3082_A1C1.webp</v>
      </c>
      <c r="K687" s="5">
        <f>Sheet4!E687</f>
        <v>24</v>
      </c>
      <c r="L687" s="5"/>
      <c r="M687" s="4"/>
    </row>
    <row r="688" spans="1:13" x14ac:dyDescent="0.25">
      <c r="A688" t="s">
        <v>2604</v>
      </c>
      <c r="B688" t="s">
        <v>3512</v>
      </c>
      <c r="C688" s="25">
        <v>3083</v>
      </c>
      <c r="D688" s="28">
        <v>3083</v>
      </c>
      <c r="E688" s="2" t="str">
        <f t="shared" si="22"/>
        <v>Same</v>
      </c>
      <c r="F688" s="6" t="s">
        <v>1882</v>
      </c>
      <c r="G688" s="3">
        <v>21.5</v>
      </c>
      <c r="H688" s="2" t="s">
        <v>677</v>
      </c>
      <c r="I688" s="4">
        <f>[1]Sheet1!I688</f>
        <v>1417</v>
      </c>
      <c r="J688" s="3" t="str">
        <f t="shared" si="21"/>
        <v>3083_A1C1.webp</v>
      </c>
      <c r="K688" s="5">
        <f>Sheet4!E688</f>
        <v>12</v>
      </c>
      <c r="L688" s="5"/>
      <c r="M688" s="4"/>
    </row>
    <row r="689" spans="1:13" x14ac:dyDescent="0.25">
      <c r="A689" t="s">
        <v>3242</v>
      </c>
      <c r="B689" t="s">
        <v>3243</v>
      </c>
      <c r="C689" s="25">
        <v>3084</v>
      </c>
      <c r="D689" s="28">
        <v>3084</v>
      </c>
      <c r="E689" s="2" t="str">
        <f t="shared" si="22"/>
        <v>Same</v>
      </c>
      <c r="F689" s="6" t="s">
        <v>1849</v>
      </c>
      <c r="G689" s="3">
        <v>38.950000000000003</v>
      </c>
      <c r="H689" s="2" t="s">
        <v>678</v>
      </c>
      <c r="I689" s="4">
        <f>[1]Sheet1!I689</f>
        <v>107</v>
      </c>
      <c r="J689" s="3" t="str">
        <f t="shared" si="21"/>
        <v>3084_A1C1.webp</v>
      </c>
      <c r="K689" s="5">
        <f>Sheet4!E689</f>
        <v>24</v>
      </c>
      <c r="L689" s="5"/>
      <c r="M689" s="4"/>
    </row>
    <row r="690" spans="1:13" x14ac:dyDescent="0.25">
      <c r="A690" t="s">
        <v>3242</v>
      </c>
      <c r="B690" t="s">
        <v>3243</v>
      </c>
      <c r="C690" s="25">
        <v>3087</v>
      </c>
      <c r="D690" s="28">
        <v>3087</v>
      </c>
      <c r="E690" s="2" t="str">
        <f t="shared" si="22"/>
        <v>Same</v>
      </c>
      <c r="F690" s="6" t="s">
        <v>1841</v>
      </c>
      <c r="G690" s="3">
        <v>50.95</v>
      </c>
      <c r="H690" s="2" t="s">
        <v>679</v>
      </c>
      <c r="I690" s="4">
        <f>[1]Sheet1!I690</f>
        <v>117</v>
      </c>
      <c r="J690" s="3" t="str">
        <f t="shared" si="21"/>
        <v>3087_A1C1.webp</v>
      </c>
      <c r="K690" s="5">
        <f>Sheet4!E690</f>
        <v>24</v>
      </c>
      <c r="L690" s="5"/>
      <c r="M690" s="4"/>
    </row>
    <row r="691" spans="1:13" x14ac:dyDescent="0.25">
      <c r="A691" t="s">
        <v>3242</v>
      </c>
      <c r="B691" t="s">
        <v>3243</v>
      </c>
      <c r="C691" s="25">
        <v>3088</v>
      </c>
      <c r="D691" s="28">
        <v>3088</v>
      </c>
      <c r="E691" s="2" t="str">
        <f t="shared" si="22"/>
        <v>Same</v>
      </c>
      <c r="F691" s="6" t="s">
        <v>1843</v>
      </c>
      <c r="G691" s="3">
        <v>48.5</v>
      </c>
      <c r="H691" s="2" t="s">
        <v>680</v>
      </c>
      <c r="I691" s="4">
        <f>[1]Sheet1!I691</f>
        <v>41</v>
      </c>
      <c r="J691" s="3" t="str">
        <f t="shared" si="21"/>
        <v>3088_A1C1.webp</v>
      </c>
      <c r="K691" s="5">
        <f>Sheet4!E691</f>
        <v>12</v>
      </c>
      <c r="L691" s="5"/>
      <c r="M691" s="4"/>
    </row>
    <row r="692" spans="1:13" x14ac:dyDescent="0.25">
      <c r="A692" t="s">
        <v>3380</v>
      </c>
      <c r="B692" t="s">
        <v>3536</v>
      </c>
      <c r="C692" s="25">
        <v>3090</v>
      </c>
      <c r="D692" s="28">
        <v>3090</v>
      </c>
      <c r="E692" s="2" t="str">
        <f t="shared" si="22"/>
        <v>Same</v>
      </c>
      <c r="F692" s="6" t="s">
        <v>1866</v>
      </c>
      <c r="G692">
        <v>13.25</v>
      </c>
      <c r="H692" s="2" t="s">
        <v>681</v>
      </c>
      <c r="I692" s="4">
        <f>[1]Sheet1!I692</f>
        <v>36</v>
      </c>
      <c r="J692" s="3" t="str">
        <f t="shared" si="21"/>
        <v>3090_A1C1.webp</v>
      </c>
      <c r="K692" s="5">
        <f>Sheet4!E692</f>
        <v>20</v>
      </c>
      <c r="L692" s="5"/>
      <c r="M692" s="4"/>
    </row>
    <row r="693" spans="1:13" x14ac:dyDescent="0.25">
      <c r="A693" t="s">
        <v>2207</v>
      </c>
      <c r="B693" t="s">
        <v>3494</v>
      </c>
      <c r="C693" s="25">
        <v>3091</v>
      </c>
      <c r="D693" s="28">
        <v>3091</v>
      </c>
      <c r="E693" s="2" t="str">
        <f t="shared" si="22"/>
        <v>Same</v>
      </c>
      <c r="F693" s="6" t="s">
        <v>1932</v>
      </c>
      <c r="G693" s="3">
        <v>32.5</v>
      </c>
      <c r="H693" s="2" t="s">
        <v>682</v>
      </c>
      <c r="I693" s="4">
        <f>[1]Sheet1!I693</f>
        <v>34</v>
      </c>
      <c r="J693" s="3" t="str">
        <f t="shared" si="21"/>
        <v>3091_A1C1.webp</v>
      </c>
      <c r="K693" s="5">
        <f>Sheet4!E693</f>
        <v>12</v>
      </c>
      <c r="L693" s="5"/>
      <c r="M693" s="4"/>
    </row>
    <row r="694" spans="1:13" x14ac:dyDescent="0.25">
      <c r="A694" t="s">
        <v>2207</v>
      </c>
      <c r="B694" t="s">
        <v>3494</v>
      </c>
      <c r="C694" s="25">
        <v>3093</v>
      </c>
      <c r="D694" s="28">
        <v>3093</v>
      </c>
      <c r="E694" s="2" t="str">
        <f t="shared" si="22"/>
        <v>Same</v>
      </c>
      <c r="F694" s="6" t="s">
        <v>1932</v>
      </c>
      <c r="G694" s="3">
        <v>38.5</v>
      </c>
      <c r="H694" s="2" t="s">
        <v>683</v>
      </c>
      <c r="I694" s="4">
        <f>[1]Sheet1!I694</f>
        <v>98</v>
      </c>
      <c r="J694" s="3" t="str">
        <f t="shared" si="21"/>
        <v>3093_A1C1.webp</v>
      </c>
      <c r="K694" s="5">
        <f>Sheet4!E694</f>
        <v>12</v>
      </c>
      <c r="L694" s="5"/>
      <c r="M694" s="4"/>
    </row>
    <row r="695" spans="1:13" x14ac:dyDescent="0.25">
      <c r="A695" t="s">
        <v>3386</v>
      </c>
      <c r="B695" t="s">
        <v>3387</v>
      </c>
      <c r="C695" s="25">
        <v>3098</v>
      </c>
      <c r="D695" s="28">
        <v>3098</v>
      </c>
      <c r="E695" s="2" t="str">
        <f t="shared" si="22"/>
        <v>Same</v>
      </c>
      <c r="F695" s="6" t="s">
        <v>1935</v>
      </c>
      <c r="G695" s="3">
        <v>41.5</v>
      </c>
      <c r="H695" s="2" t="s">
        <v>684</v>
      </c>
      <c r="I695" s="4">
        <f>[1]Sheet1!I695</f>
        <v>97</v>
      </c>
      <c r="J695" s="3" t="str">
        <f t="shared" si="21"/>
        <v>3098_A1C1.webp</v>
      </c>
      <c r="K695" s="5">
        <f>Sheet4!E695</f>
        <v>14</v>
      </c>
      <c r="L695" s="5"/>
      <c r="M695" s="4"/>
    </row>
    <row r="696" spans="1:13" x14ac:dyDescent="0.25">
      <c r="A696" t="s">
        <v>3380</v>
      </c>
      <c r="B696" t="s">
        <v>3536</v>
      </c>
      <c r="C696" s="25">
        <v>3107</v>
      </c>
      <c r="D696" s="28">
        <v>3107</v>
      </c>
      <c r="E696" s="2" t="str">
        <f t="shared" si="22"/>
        <v>Same</v>
      </c>
      <c r="F696" s="6" t="s">
        <v>1866</v>
      </c>
      <c r="G696">
        <v>12.95</v>
      </c>
      <c r="H696" s="2" t="s">
        <v>685</v>
      </c>
      <c r="I696" s="4">
        <f>[1]Sheet1!I696</f>
        <v>93</v>
      </c>
      <c r="J696" s="3" t="str">
        <f t="shared" si="21"/>
        <v>3107_A1C1.webp</v>
      </c>
      <c r="K696" s="5">
        <f>Sheet4!E696</f>
        <v>20</v>
      </c>
      <c r="L696" s="5"/>
      <c r="M696" s="4"/>
    </row>
    <row r="697" spans="1:13" x14ac:dyDescent="0.25">
      <c r="A697" t="s">
        <v>2618</v>
      </c>
      <c r="B697" t="s">
        <v>3544</v>
      </c>
      <c r="C697" s="25">
        <v>3113</v>
      </c>
      <c r="D697" s="28">
        <v>3113</v>
      </c>
      <c r="E697" s="2" t="str">
        <f t="shared" si="22"/>
        <v>Same</v>
      </c>
      <c r="F697" s="6" t="s">
        <v>1936</v>
      </c>
      <c r="G697">
        <v>8.65</v>
      </c>
      <c r="H697" s="2" t="s">
        <v>686</v>
      </c>
      <c r="I697" s="4">
        <f>[1]Sheet1!I697</f>
        <v>51</v>
      </c>
      <c r="J697" s="3" t="str">
        <f t="shared" si="21"/>
        <v>3113_A1C1.webp</v>
      </c>
      <c r="K697" s="5">
        <f>Sheet4!E697</f>
        <v>12</v>
      </c>
      <c r="L697" s="5"/>
      <c r="M697" s="4"/>
    </row>
    <row r="698" spans="1:13" x14ac:dyDescent="0.25">
      <c r="A698" t="s">
        <v>2618</v>
      </c>
      <c r="B698" t="s">
        <v>3544</v>
      </c>
      <c r="C698" s="25">
        <v>3114</v>
      </c>
      <c r="D698" s="28">
        <v>3114</v>
      </c>
      <c r="E698" s="2" t="str">
        <f t="shared" si="22"/>
        <v>Same</v>
      </c>
      <c r="F698" s="6" t="s">
        <v>1936</v>
      </c>
      <c r="G698">
        <v>9.5</v>
      </c>
      <c r="H698" s="2" t="s">
        <v>687</v>
      </c>
      <c r="I698" s="4">
        <f>[1]Sheet1!I698</f>
        <v>20</v>
      </c>
      <c r="J698" s="3" t="str">
        <f t="shared" si="21"/>
        <v>3114_A1C1.webp</v>
      </c>
      <c r="K698" s="5">
        <f>Sheet4!E698</f>
        <v>12</v>
      </c>
      <c r="L698" s="5"/>
      <c r="M698" s="4"/>
    </row>
    <row r="699" spans="1:13" x14ac:dyDescent="0.25">
      <c r="A699" t="s">
        <v>5265</v>
      </c>
      <c r="B699" t="s">
        <v>5265</v>
      </c>
      <c r="C699" s="25">
        <v>3115</v>
      </c>
      <c r="D699" s="28">
        <v>3115</v>
      </c>
      <c r="E699" s="2" t="str">
        <f t="shared" si="22"/>
        <v>Same</v>
      </c>
      <c r="F699" s="6" t="s">
        <v>1937</v>
      </c>
      <c r="H699" s="2" t="s">
        <v>688</v>
      </c>
      <c r="I699" s="4">
        <f>[1]Sheet1!I699</f>
        <v>0</v>
      </c>
      <c r="J699" s="3" t="str">
        <f t="shared" si="21"/>
        <v>3115_A1C1.webp</v>
      </c>
      <c r="K699" s="5">
        <f>Sheet4!E699</f>
        <v>24</v>
      </c>
      <c r="L699" s="5"/>
      <c r="M699" s="4"/>
    </row>
    <row r="700" spans="1:13" x14ac:dyDescent="0.25">
      <c r="A700" t="s">
        <v>2604</v>
      </c>
      <c r="B700" t="s">
        <v>3512</v>
      </c>
      <c r="C700" s="25">
        <v>3116</v>
      </c>
      <c r="D700" s="28">
        <v>3116</v>
      </c>
      <c r="E700" s="2" t="str">
        <f t="shared" si="22"/>
        <v>Same</v>
      </c>
      <c r="F700" s="6" t="s">
        <v>1866</v>
      </c>
      <c r="G700" s="3">
        <v>54.95</v>
      </c>
      <c r="H700" s="2" t="s">
        <v>689</v>
      </c>
      <c r="I700" s="4">
        <f>[1]Sheet1!I700</f>
        <v>0</v>
      </c>
      <c r="J700" s="3" t="str">
        <f t="shared" si="21"/>
        <v>3116_A1C1.webp</v>
      </c>
      <c r="K700" s="5">
        <f>Sheet4!E700</f>
        <v>12</v>
      </c>
      <c r="L700" s="5"/>
      <c r="M700" s="4"/>
    </row>
    <row r="701" spans="1:13" x14ac:dyDescent="0.25">
      <c r="A701" t="s">
        <v>3242</v>
      </c>
      <c r="B701" t="s">
        <v>3549</v>
      </c>
      <c r="C701" s="25">
        <v>3124</v>
      </c>
      <c r="D701" s="28">
        <v>3124</v>
      </c>
      <c r="E701" s="2" t="str">
        <f t="shared" si="22"/>
        <v>Same</v>
      </c>
      <c r="F701" s="6" t="s">
        <v>1843</v>
      </c>
      <c r="G701" s="3">
        <v>44.95</v>
      </c>
      <c r="H701" s="2" t="s">
        <v>690</v>
      </c>
      <c r="I701" s="4">
        <f>[1]Sheet1!I701</f>
        <v>15</v>
      </c>
      <c r="J701" s="3" t="str">
        <f t="shared" si="21"/>
        <v>3124_A1C1.webp</v>
      </c>
      <c r="K701" s="5">
        <f>Sheet4!E701</f>
        <v>12</v>
      </c>
      <c r="L701" s="5"/>
      <c r="M701" s="4"/>
    </row>
    <row r="702" spans="1:13" x14ac:dyDescent="0.25">
      <c r="A702" t="s">
        <v>3242</v>
      </c>
      <c r="B702" t="s">
        <v>3549</v>
      </c>
      <c r="C702" s="25">
        <v>3125</v>
      </c>
      <c r="D702" s="28">
        <v>3125</v>
      </c>
      <c r="E702" s="2" t="str">
        <f t="shared" si="22"/>
        <v>Same</v>
      </c>
      <c r="F702" s="6" t="s">
        <v>1843</v>
      </c>
      <c r="G702" s="3">
        <v>57.95</v>
      </c>
      <c r="H702" s="2" t="s">
        <v>691</v>
      </c>
      <c r="I702" s="4">
        <f>[1]Sheet1!I702</f>
        <v>132</v>
      </c>
      <c r="J702" s="3" t="str">
        <f t="shared" si="21"/>
        <v>3125_A1C1.webp</v>
      </c>
      <c r="K702" s="5">
        <f>Sheet4!E702</f>
        <v>12</v>
      </c>
      <c r="L702" s="5"/>
      <c r="M702" s="4"/>
    </row>
    <row r="703" spans="1:13" x14ac:dyDescent="0.25">
      <c r="A703" t="s">
        <v>3242</v>
      </c>
      <c r="B703" t="s">
        <v>3549</v>
      </c>
      <c r="C703" s="25">
        <v>3126</v>
      </c>
      <c r="D703" s="28">
        <v>3126</v>
      </c>
      <c r="E703" s="2" t="str">
        <f t="shared" si="22"/>
        <v>Same</v>
      </c>
      <c r="F703" s="6" t="s">
        <v>1843</v>
      </c>
      <c r="G703" s="3">
        <v>67.95</v>
      </c>
      <c r="H703" s="2" t="s">
        <v>692</v>
      </c>
      <c r="I703" s="4">
        <f>[1]Sheet1!I703</f>
        <v>0</v>
      </c>
      <c r="J703" s="3" t="str">
        <f t="shared" si="21"/>
        <v>3126_A1C1.webp</v>
      </c>
      <c r="K703" s="5">
        <f>Sheet4!E703</f>
        <v>12</v>
      </c>
      <c r="L703" s="5"/>
      <c r="M703" s="4"/>
    </row>
    <row r="704" spans="1:13" x14ac:dyDescent="0.25">
      <c r="A704" t="s">
        <v>3242</v>
      </c>
      <c r="B704" t="s">
        <v>3549</v>
      </c>
      <c r="C704" s="25">
        <v>3127</v>
      </c>
      <c r="D704" s="28">
        <v>3127</v>
      </c>
      <c r="E704" s="2" t="str">
        <f t="shared" si="22"/>
        <v>Same</v>
      </c>
      <c r="F704" s="6" t="s">
        <v>1843</v>
      </c>
      <c r="G704" s="3">
        <v>53.5</v>
      </c>
      <c r="H704" s="2" t="s">
        <v>693</v>
      </c>
      <c r="I704" s="4">
        <f>[1]Sheet1!I704</f>
        <v>109</v>
      </c>
      <c r="J704" s="3" t="str">
        <f t="shared" si="21"/>
        <v>3127_A1C1.webp</v>
      </c>
      <c r="K704" s="5">
        <f>Sheet4!E704</f>
        <v>12</v>
      </c>
      <c r="L704" s="5"/>
      <c r="M704" s="4"/>
    </row>
    <row r="705" spans="1:13" x14ac:dyDescent="0.25">
      <c r="A705" t="s">
        <v>3242</v>
      </c>
      <c r="B705" t="s">
        <v>3549</v>
      </c>
      <c r="C705" s="25">
        <v>3130</v>
      </c>
      <c r="D705" s="28">
        <v>3130</v>
      </c>
      <c r="E705" s="2" t="str">
        <f t="shared" si="22"/>
        <v>Same</v>
      </c>
      <c r="F705" s="6" t="s">
        <v>1841</v>
      </c>
      <c r="G705" s="3">
        <v>58.95</v>
      </c>
      <c r="H705" s="2" t="s">
        <v>694</v>
      </c>
      <c r="I705" s="4">
        <f>[1]Sheet1!I705</f>
        <v>275</v>
      </c>
      <c r="J705" s="3" t="str">
        <f t="shared" si="21"/>
        <v>3130_A1C1.webp</v>
      </c>
      <c r="K705" s="5">
        <f>Sheet4!E705</f>
        <v>24</v>
      </c>
      <c r="L705" s="5"/>
      <c r="M705" s="4"/>
    </row>
    <row r="706" spans="1:13" x14ac:dyDescent="0.25">
      <c r="A706" t="s">
        <v>2604</v>
      </c>
      <c r="B706" t="s">
        <v>3559</v>
      </c>
      <c r="C706" s="25">
        <v>3131</v>
      </c>
      <c r="D706" s="28">
        <v>3131</v>
      </c>
      <c r="E706" s="2" t="str">
        <f t="shared" si="22"/>
        <v>Same</v>
      </c>
      <c r="F706" s="6" t="s">
        <v>1841</v>
      </c>
      <c r="G706" s="3">
        <v>40.950000000000003</v>
      </c>
      <c r="H706" s="2" t="s">
        <v>695</v>
      </c>
      <c r="I706" s="4">
        <f>[1]Sheet1!I706</f>
        <v>51</v>
      </c>
      <c r="J706" s="3" t="str">
        <f t="shared" ref="J706:J769" si="23">C706 &amp; "_A1C1.webp"</f>
        <v>3131_A1C1.webp</v>
      </c>
      <c r="K706" s="5">
        <f>Sheet4!E706</f>
        <v>24</v>
      </c>
      <c r="L706" s="5"/>
      <c r="M706" s="4"/>
    </row>
    <row r="707" spans="1:13" x14ac:dyDescent="0.25">
      <c r="A707" t="s">
        <v>3242</v>
      </c>
      <c r="B707" t="s">
        <v>3549</v>
      </c>
      <c r="C707" s="25">
        <v>3133</v>
      </c>
      <c r="D707" s="28">
        <v>3133</v>
      </c>
      <c r="E707" s="2" t="str">
        <f t="shared" si="22"/>
        <v>Same</v>
      </c>
      <c r="F707" s="6" t="s">
        <v>1841</v>
      </c>
      <c r="G707" s="3">
        <v>45.95</v>
      </c>
      <c r="H707" s="2" t="s">
        <v>696</v>
      </c>
      <c r="I707" s="4">
        <f>[1]Sheet1!I707</f>
        <v>99</v>
      </c>
      <c r="J707" s="3" t="str">
        <f t="shared" si="23"/>
        <v>3133_A1C1.webp</v>
      </c>
      <c r="K707" s="5">
        <f>Sheet4!E707</f>
        <v>24</v>
      </c>
      <c r="L707" s="5"/>
      <c r="M707" s="4"/>
    </row>
    <row r="708" spans="1:13" x14ac:dyDescent="0.25">
      <c r="A708" t="s">
        <v>3242</v>
      </c>
      <c r="B708" t="s">
        <v>3549</v>
      </c>
      <c r="C708" s="25">
        <v>3134</v>
      </c>
      <c r="D708" s="28">
        <v>3134</v>
      </c>
      <c r="E708" s="2" t="str">
        <f t="shared" si="22"/>
        <v>Same</v>
      </c>
      <c r="F708" s="6" t="s">
        <v>1841</v>
      </c>
      <c r="G708" s="3">
        <v>68.5</v>
      </c>
      <c r="H708" s="2" t="s">
        <v>697</v>
      </c>
      <c r="I708" s="4">
        <f>[1]Sheet1!I708</f>
        <v>0</v>
      </c>
      <c r="J708" s="3" t="str">
        <f t="shared" si="23"/>
        <v>3134_A1C1.webp</v>
      </c>
      <c r="K708" s="5">
        <f>Sheet4!E708</f>
        <v>24</v>
      </c>
      <c r="L708" s="5"/>
      <c r="M708" s="4"/>
    </row>
    <row r="709" spans="1:13" x14ac:dyDescent="0.25">
      <c r="A709" t="s">
        <v>3315</v>
      </c>
      <c r="B709" t="s">
        <v>3455</v>
      </c>
      <c r="C709" s="25">
        <v>3135</v>
      </c>
      <c r="D709" s="28">
        <v>3135</v>
      </c>
      <c r="E709" s="2" t="str">
        <f t="shared" si="22"/>
        <v>Same</v>
      </c>
      <c r="F709" s="6" t="s">
        <v>1869</v>
      </c>
      <c r="G709">
        <v>23.5</v>
      </c>
      <c r="H709" s="2" t="s">
        <v>698</v>
      </c>
      <c r="I709" s="4">
        <f>[1]Sheet1!I709</f>
        <v>2</v>
      </c>
      <c r="J709" s="3" t="str">
        <f t="shared" si="23"/>
        <v>3135_A1C1.webp</v>
      </c>
      <c r="K709" s="5">
        <f>Sheet4!E709</f>
        <v>25</v>
      </c>
      <c r="L709" s="5"/>
      <c r="M709" s="4"/>
    </row>
    <row r="710" spans="1:13" x14ac:dyDescent="0.25">
      <c r="A710" t="s">
        <v>2604</v>
      </c>
      <c r="B710" t="s">
        <v>3559</v>
      </c>
      <c r="C710" s="25">
        <v>3138</v>
      </c>
      <c r="D710" s="28">
        <v>3138</v>
      </c>
      <c r="E710" s="2" t="str">
        <f t="shared" ref="E710:E773" si="24">IF(C710=D710, "Same","New")</f>
        <v>Same</v>
      </c>
      <c r="F710" s="6" t="s">
        <v>1849</v>
      </c>
      <c r="G710" s="3">
        <v>22.95</v>
      </c>
      <c r="H710" s="2" t="s">
        <v>699</v>
      </c>
      <c r="I710" s="4">
        <f>[1]Sheet1!I710</f>
        <v>27</v>
      </c>
      <c r="J710" s="3" t="str">
        <f t="shared" si="23"/>
        <v>3138_A1C1.webp</v>
      </c>
      <c r="K710" s="5">
        <f>Sheet4!E710</f>
        <v>12</v>
      </c>
      <c r="L710" s="5"/>
      <c r="M710" s="4"/>
    </row>
    <row r="711" spans="1:13" x14ac:dyDescent="0.25">
      <c r="A711" t="s">
        <v>2207</v>
      </c>
      <c r="B711" t="s">
        <v>3502</v>
      </c>
      <c r="C711" s="25">
        <v>3139</v>
      </c>
      <c r="D711" s="28">
        <v>3139</v>
      </c>
      <c r="E711" s="2" t="str">
        <f t="shared" si="24"/>
        <v>Same</v>
      </c>
      <c r="F711" s="6" t="s">
        <v>1869</v>
      </c>
      <c r="G711" s="3">
        <v>26.5</v>
      </c>
      <c r="H711" s="2" t="s">
        <v>700</v>
      </c>
      <c r="I711" s="4">
        <f>[1]Sheet1!I711</f>
        <v>45</v>
      </c>
      <c r="J711" s="3" t="str">
        <f t="shared" si="23"/>
        <v>3139_A1C1.webp</v>
      </c>
      <c r="K711" s="5">
        <f>Sheet4!E711</f>
        <v>24</v>
      </c>
      <c r="L711" s="5"/>
      <c r="M711" s="4"/>
    </row>
    <row r="712" spans="1:13" x14ac:dyDescent="0.25">
      <c r="A712" t="s">
        <v>2604</v>
      </c>
      <c r="B712" t="s">
        <v>3559</v>
      </c>
      <c r="C712" s="25">
        <v>3140</v>
      </c>
      <c r="D712" s="28">
        <v>3140</v>
      </c>
      <c r="E712" s="2" t="str">
        <f t="shared" si="24"/>
        <v>Same</v>
      </c>
      <c r="F712" s="6" t="s">
        <v>1938</v>
      </c>
      <c r="G712" s="3">
        <v>25.5</v>
      </c>
      <c r="H712" s="2" t="s">
        <v>701</v>
      </c>
      <c r="I712" s="4">
        <f>[1]Sheet1!I712</f>
        <v>35</v>
      </c>
      <c r="J712" s="3" t="str">
        <f t="shared" si="23"/>
        <v>3140_A1C1.webp</v>
      </c>
      <c r="K712" s="5">
        <f>Sheet4!E712</f>
        <v>12</v>
      </c>
      <c r="L712" s="5"/>
      <c r="M712" s="4"/>
    </row>
    <row r="713" spans="1:13" x14ac:dyDescent="0.25">
      <c r="A713" t="s">
        <v>3242</v>
      </c>
      <c r="B713" t="s">
        <v>3549</v>
      </c>
      <c r="C713" s="25">
        <v>3145</v>
      </c>
      <c r="D713" s="28">
        <v>3145</v>
      </c>
      <c r="E713" s="2" t="str">
        <f t="shared" si="24"/>
        <v>Same</v>
      </c>
      <c r="F713" s="6" t="s">
        <v>1841</v>
      </c>
      <c r="G713" s="3">
        <v>54.95</v>
      </c>
      <c r="H713" s="2" t="s">
        <v>702</v>
      </c>
      <c r="I713" s="4">
        <f>[1]Sheet1!I713</f>
        <v>103</v>
      </c>
      <c r="J713" s="3" t="str">
        <f t="shared" si="23"/>
        <v>3145_A1C1.webp</v>
      </c>
      <c r="K713" s="5">
        <f>Sheet4!E713</f>
        <v>24</v>
      </c>
      <c r="L713" s="5"/>
      <c r="M713" s="4"/>
    </row>
    <row r="714" spans="1:13" x14ac:dyDescent="0.25">
      <c r="A714" t="s">
        <v>2604</v>
      </c>
      <c r="B714" t="s">
        <v>3559</v>
      </c>
      <c r="C714" s="25">
        <v>3148</v>
      </c>
      <c r="D714" s="28">
        <v>3148</v>
      </c>
      <c r="E714" s="2" t="str">
        <f t="shared" si="24"/>
        <v>Same</v>
      </c>
      <c r="F714" s="6" t="s">
        <v>1940</v>
      </c>
      <c r="G714" s="3">
        <v>36.950000000000003</v>
      </c>
      <c r="H714" s="2" t="s">
        <v>703</v>
      </c>
      <c r="I714" s="4">
        <f>[1]Sheet1!I714</f>
        <v>27</v>
      </c>
      <c r="J714" s="3" t="str">
        <f t="shared" si="23"/>
        <v>3148_A1C1.webp</v>
      </c>
      <c r="K714" s="5">
        <f>Sheet4!E714</f>
        <v>24</v>
      </c>
      <c r="L714" s="5"/>
      <c r="M714" s="4"/>
    </row>
    <row r="715" spans="1:13" x14ac:dyDescent="0.25">
      <c r="A715" t="s">
        <v>2633</v>
      </c>
      <c r="B715" t="s">
        <v>3572</v>
      </c>
      <c r="C715" s="25">
        <v>3165</v>
      </c>
      <c r="D715" s="28">
        <v>3165</v>
      </c>
      <c r="E715" s="2" t="str">
        <f t="shared" si="24"/>
        <v>Same</v>
      </c>
      <c r="F715" s="6" t="s">
        <v>1884</v>
      </c>
      <c r="G715" s="3">
        <v>26.95</v>
      </c>
      <c r="H715" s="2" t="s">
        <v>704</v>
      </c>
      <c r="I715" s="4">
        <f>[1]Sheet1!I715</f>
        <v>0</v>
      </c>
      <c r="J715" s="3" t="str">
        <f t="shared" si="23"/>
        <v>3165_A1C1.webp</v>
      </c>
      <c r="K715" s="5">
        <f>Sheet4!E715</f>
        <v>12</v>
      </c>
      <c r="L715" s="5"/>
      <c r="M715" s="4"/>
    </row>
    <row r="716" spans="1:13" x14ac:dyDescent="0.25">
      <c r="A716" t="s">
        <v>2633</v>
      </c>
      <c r="B716" t="s">
        <v>3572</v>
      </c>
      <c r="C716" s="25">
        <v>3166</v>
      </c>
      <c r="D716" s="28">
        <v>3166</v>
      </c>
      <c r="E716" s="2" t="str">
        <f t="shared" si="24"/>
        <v>Same</v>
      </c>
      <c r="F716" s="6" t="s">
        <v>1884</v>
      </c>
      <c r="G716" s="3">
        <v>26.95</v>
      </c>
      <c r="H716" s="2" t="s">
        <v>705</v>
      </c>
      <c r="I716" s="4">
        <f>[1]Sheet1!I716</f>
        <v>11</v>
      </c>
      <c r="J716" s="3" t="str">
        <f t="shared" si="23"/>
        <v>3166_A1C1.webp</v>
      </c>
      <c r="K716" s="5">
        <f>Sheet4!E716</f>
        <v>12</v>
      </c>
      <c r="L716" s="5"/>
      <c r="M716" s="4"/>
    </row>
    <row r="717" spans="1:13" x14ac:dyDescent="0.25">
      <c r="A717" t="s">
        <v>2633</v>
      </c>
      <c r="B717" t="s">
        <v>3572</v>
      </c>
      <c r="C717" s="25">
        <v>3167</v>
      </c>
      <c r="D717" s="28">
        <v>3167</v>
      </c>
      <c r="E717" s="2" t="str">
        <f t="shared" si="24"/>
        <v>Same</v>
      </c>
      <c r="F717" s="6" t="s">
        <v>1884</v>
      </c>
      <c r="G717" s="3">
        <v>26.95</v>
      </c>
      <c r="H717" s="2" t="s">
        <v>706</v>
      </c>
      <c r="I717" s="4">
        <f>[1]Sheet1!I717</f>
        <v>383</v>
      </c>
      <c r="J717" s="3" t="str">
        <f t="shared" si="23"/>
        <v>3167_A1C1.webp</v>
      </c>
      <c r="K717" s="5">
        <f>Sheet4!E717</f>
        <v>12</v>
      </c>
      <c r="L717" s="5"/>
      <c r="M717" s="4"/>
    </row>
    <row r="718" spans="1:13" x14ac:dyDescent="0.25">
      <c r="A718" t="s">
        <v>2633</v>
      </c>
      <c r="B718" t="s">
        <v>3572</v>
      </c>
      <c r="C718" s="25">
        <v>3168</v>
      </c>
      <c r="D718" s="28">
        <v>3168</v>
      </c>
      <c r="E718" s="2" t="str">
        <f t="shared" si="24"/>
        <v>Same</v>
      </c>
      <c r="F718" s="6" t="s">
        <v>1884</v>
      </c>
      <c r="G718" s="3">
        <v>26.95</v>
      </c>
      <c r="H718" s="2" t="s">
        <v>707</v>
      </c>
      <c r="I718" s="4">
        <f>[1]Sheet1!I718</f>
        <v>5431</v>
      </c>
      <c r="J718" s="3" t="str">
        <f t="shared" si="23"/>
        <v>3168_A1C1.webp</v>
      </c>
      <c r="K718" s="5">
        <f>Sheet4!E718</f>
        <v>12</v>
      </c>
      <c r="L718" s="5"/>
      <c r="M718" s="4"/>
    </row>
    <row r="719" spans="1:13" x14ac:dyDescent="0.25">
      <c r="A719" t="s">
        <v>2633</v>
      </c>
      <c r="B719" t="s">
        <v>3572</v>
      </c>
      <c r="C719" s="25">
        <v>3169</v>
      </c>
      <c r="D719" s="28">
        <v>3169</v>
      </c>
      <c r="E719" s="2" t="str">
        <f t="shared" si="24"/>
        <v>Same</v>
      </c>
      <c r="F719" s="6" t="s">
        <v>1884</v>
      </c>
      <c r="G719" s="3">
        <v>26.95</v>
      </c>
      <c r="H719" s="2" t="s">
        <v>708</v>
      </c>
      <c r="I719" s="4">
        <f>[1]Sheet1!I719</f>
        <v>1089</v>
      </c>
      <c r="J719" s="3" t="str">
        <f t="shared" si="23"/>
        <v>3169_A1C1.webp</v>
      </c>
      <c r="K719" s="5">
        <f>Sheet4!E719</f>
        <v>12</v>
      </c>
      <c r="L719" s="5"/>
      <c r="M719" s="4"/>
    </row>
    <row r="720" spans="1:13" x14ac:dyDescent="0.25">
      <c r="A720" t="s">
        <v>2677</v>
      </c>
      <c r="B720" t="s">
        <v>2678</v>
      </c>
      <c r="C720" s="25">
        <v>3179</v>
      </c>
      <c r="D720" s="28">
        <v>3179</v>
      </c>
      <c r="E720" s="2" t="str">
        <f t="shared" si="24"/>
        <v>Same</v>
      </c>
      <c r="F720" s="6" t="s">
        <v>1864</v>
      </c>
      <c r="G720">
        <v>33.950000000000003</v>
      </c>
      <c r="H720" s="2" t="s">
        <v>709</v>
      </c>
      <c r="I720" s="4">
        <f>[1]Sheet1!I720</f>
        <v>18</v>
      </c>
      <c r="J720" s="3" t="str">
        <f t="shared" si="23"/>
        <v>3179_A1C1.webp</v>
      </c>
      <c r="K720" s="5">
        <f>Sheet4!E720</f>
        <v>36</v>
      </c>
      <c r="L720" s="5"/>
      <c r="M720" s="4"/>
    </row>
    <row r="721" spans="1:13" x14ac:dyDescent="0.25">
      <c r="A721" t="s">
        <v>2677</v>
      </c>
      <c r="B721" t="s">
        <v>2678</v>
      </c>
      <c r="C721" s="25">
        <v>3180</v>
      </c>
      <c r="D721" s="28">
        <v>3180</v>
      </c>
      <c r="E721" s="2" t="str">
        <f t="shared" si="24"/>
        <v>Same</v>
      </c>
      <c r="F721" s="6" t="s">
        <v>1865</v>
      </c>
      <c r="G721" s="3">
        <v>41.95</v>
      </c>
      <c r="H721" s="2" t="s">
        <v>710</v>
      </c>
      <c r="I721" s="4">
        <f>[1]Sheet1!I721</f>
        <v>13</v>
      </c>
      <c r="J721" s="3" t="str">
        <f t="shared" si="23"/>
        <v>3180_A1C1.webp</v>
      </c>
      <c r="K721" s="5">
        <f>Sheet4!E721</f>
        <v>36</v>
      </c>
      <c r="L721" s="5"/>
      <c r="M721" s="4"/>
    </row>
    <row r="722" spans="1:13" x14ac:dyDescent="0.25">
      <c r="A722" t="s">
        <v>2677</v>
      </c>
      <c r="B722" t="s">
        <v>2678</v>
      </c>
      <c r="C722" s="25">
        <v>3181</v>
      </c>
      <c r="D722" s="28">
        <v>3181</v>
      </c>
      <c r="E722" s="2" t="str">
        <f t="shared" si="24"/>
        <v>Same</v>
      </c>
      <c r="F722" s="6" t="s">
        <v>1936</v>
      </c>
      <c r="G722" s="3">
        <v>47.95</v>
      </c>
      <c r="H722" s="2" t="s">
        <v>711</v>
      </c>
      <c r="I722" s="4">
        <f>[1]Sheet1!I722</f>
        <v>61</v>
      </c>
      <c r="J722" s="3" t="str">
        <f t="shared" si="23"/>
        <v>3181_A1C1.webp</v>
      </c>
      <c r="K722" s="5">
        <f>Sheet4!E722</f>
        <v>36</v>
      </c>
      <c r="L722" s="5"/>
      <c r="M722" s="4"/>
    </row>
    <row r="723" spans="1:13" x14ac:dyDescent="0.25">
      <c r="A723" t="s">
        <v>2207</v>
      </c>
      <c r="B723" t="s">
        <v>3502</v>
      </c>
      <c r="C723" s="25">
        <v>3182</v>
      </c>
      <c r="D723" s="28">
        <v>3182</v>
      </c>
      <c r="E723" s="2" t="str">
        <f t="shared" si="24"/>
        <v>Same</v>
      </c>
      <c r="F723" s="6" t="s">
        <v>1869</v>
      </c>
      <c r="G723" s="3">
        <v>24.95</v>
      </c>
      <c r="H723" s="2" t="s">
        <v>712</v>
      </c>
      <c r="I723" s="4">
        <f>[1]Sheet1!I723</f>
        <v>61</v>
      </c>
      <c r="J723" s="3" t="str">
        <f t="shared" si="23"/>
        <v>3182_A1C1.webp</v>
      </c>
      <c r="K723" s="5">
        <f>Sheet4!E723</f>
        <v>24</v>
      </c>
      <c r="L723" s="5" t="s">
        <v>5278</v>
      </c>
      <c r="M723" s="4"/>
    </row>
    <row r="724" spans="1:13" x14ac:dyDescent="0.25">
      <c r="A724" t="s">
        <v>2677</v>
      </c>
      <c r="B724" t="s">
        <v>2678</v>
      </c>
      <c r="C724" s="25">
        <v>3183</v>
      </c>
      <c r="D724" s="28">
        <v>3183</v>
      </c>
      <c r="E724" s="2" t="str">
        <f t="shared" si="24"/>
        <v>Same</v>
      </c>
      <c r="F724" s="6" t="s">
        <v>1936</v>
      </c>
      <c r="G724" s="3">
        <v>42.5</v>
      </c>
      <c r="H724" s="2" t="s">
        <v>713</v>
      </c>
      <c r="I724" s="4">
        <f>[1]Sheet1!I724</f>
        <v>291</v>
      </c>
      <c r="J724" s="3" t="str">
        <f t="shared" si="23"/>
        <v>3183_A1C1.webp</v>
      </c>
      <c r="K724" s="5">
        <f>Sheet4!E724</f>
        <v>36</v>
      </c>
      <c r="L724" s="5"/>
      <c r="M724" s="4"/>
    </row>
    <row r="725" spans="1:13" x14ac:dyDescent="0.25">
      <c r="A725" t="s">
        <v>2677</v>
      </c>
      <c r="B725" t="s">
        <v>2678</v>
      </c>
      <c r="C725" s="25">
        <v>3184</v>
      </c>
      <c r="D725" s="28">
        <v>3184</v>
      </c>
      <c r="E725" s="2" t="str">
        <f t="shared" si="24"/>
        <v>Same</v>
      </c>
      <c r="F725" s="6" t="s">
        <v>1864</v>
      </c>
      <c r="G725">
        <v>33.950000000000003</v>
      </c>
      <c r="H725" s="2" t="s">
        <v>714</v>
      </c>
      <c r="I725" s="4">
        <f>[1]Sheet1!I725</f>
        <v>51</v>
      </c>
      <c r="J725" s="3" t="str">
        <f t="shared" si="23"/>
        <v>3184_A1C1.webp</v>
      </c>
      <c r="K725" s="5">
        <f>Sheet4!E725</f>
        <v>36</v>
      </c>
      <c r="L725" s="5"/>
      <c r="M725" s="4"/>
    </row>
    <row r="726" spans="1:13" x14ac:dyDescent="0.25">
      <c r="A726" t="s">
        <v>2677</v>
      </c>
      <c r="B726" t="s">
        <v>2678</v>
      </c>
      <c r="C726" s="25">
        <v>3185</v>
      </c>
      <c r="D726" s="28">
        <v>3185</v>
      </c>
      <c r="E726" s="2" t="str">
        <f t="shared" si="24"/>
        <v>Same</v>
      </c>
      <c r="F726" s="6" t="s">
        <v>1863</v>
      </c>
      <c r="G726" s="3">
        <v>42.5</v>
      </c>
      <c r="H726" s="2" t="s">
        <v>715</v>
      </c>
      <c r="I726" s="4">
        <f>[1]Sheet1!I726</f>
        <v>41</v>
      </c>
      <c r="J726" s="3" t="str">
        <f t="shared" si="23"/>
        <v>3185_A1C1.webp</v>
      </c>
      <c r="K726" s="5">
        <f>Sheet4!E726</f>
        <v>36</v>
      </c>
      <c r="L726" s="5"/>
      <c r="M726" s="4"/>
    </row>
    <row r="727" spans="1:13" x14ac:dyDescent="0.25">
      <c r="A727" t="s">
        <v>2677</v>
      </c>
      <c r="B727" t="s">
        <v>2678</v>
      </c>
      <c r="C727" s="25">
        <v>3186</v>
      </c>
      <c r="D727" s="28">
        <v>3186</v>
      </c>
      <c r="E727" s="2" t="str">
        <f t="shared" si="24"/>
        <v>Same</v>
      </c>
      <c r="F727" s="6" t="s">
        <v>1902</v>
      </c>
      <c r="G727" s="3">
        <v>59.95</v>
      </c>
      <c r="H727" s="2" t="s">
        <v>716</v>
      </c>
      <c r="I727" s="4">
        <f>[1]Sheet1!I727</f>
        <v>98</v>
      </c>
      <c r="J727" s="3" t="str">
        <f t="shared" si="23"/>
        <v>3186_A1C1.webp</v>
      </c>
      <c r="K727" s="5">
        <f>Sheet4!E727</f>
        <v>36</v>
      </c>
      <c r="L727" s="5"/>
      <c r="M727" s="4"/>
    </row>
    <row r="728" spans="1:13" x14ac:dyDescent="0.25">
      <c r="A728" t="s">
        <v>2677</v>
      </c>
      <c r="B728" t="s">
        <v>2678</v>
      </c>
      <c r="C728" s="25">
        <v>3187</v>
      </c>
      <c r="D728" s="28">
        <v>3187</v>
      </c>
      <c r="E728" s="2" t="str">
        <f t="shared" si="24"/>
        <v>Same</v>
      </c>
      <c r="F728" s="6" t="s">
        <v>1941</v>
      </c>
      <c r="G728" s="3">
        <v>47.95</v>
      </c>
      <c r="H728" s="2" t="s">
        <v>717</v>
      </c>
      <c r="I728" s="4">
        <f>[1]Sheet1!I728</f>
        <v>98</v>
      </c>
      <c r="J728" s="3" t="str">
        <f t="shared" si="23"/>
        <v>3187_A1C1.webp</v>
      </c>
      <c r="K728" s="5">
        <f>Sheet4!E728</f>
        <v>36</v>
      </c>
      <c r="L728" s="5"/>
      <c r="M728" s="4"/>
    </row>
    <row r="729" spans="1:13" x14ac:dyDescent="0.25">
      <c r="A729" t="s">
        <v>2677</v>
      </c>
      <c r="B729" t="s">
        <v>2678</v>
      </c>
      <c r="C729" s="25">
        <v>3188</v>
      </c>
      <c r="D729" s="28">
        <v>3188</v>
      </c>
      <c r="E729" s="2" t="str">
        <f t="shared" si="24"/>
        <v>Same</v>
      </c>
      <c r="F729" s="6" t="s">
        <v>1857</v>
      </c>
      <c r="G729" s="3">
        <v>64.5</v>
      </c>
      <c r="H729" s="2" t="s">
        <v>718</v>
      </c>
      <c r="I729" s="4">
        <f>[1]Sheet1!I729</f>
        <v>372</v>
      </c>
      <c r="J729" s="3" t="str">
        <f t="shared" si="23"/>
        <v>3188_A1C1.webp</v>
      </c>
      <c r="K729" s="5">
        <f>Sheet4!E729</f>
        <v>36</v>
      </c>
      <c r="L729" s="5"/>
      <c r="M729" s="4"/>
    </row>
    <row r="730" spans="1:13" x14ac:dyDescent="0.25">
      <c r="A730" t="s">
        <v>3595</v>
      </c>
      <c r="B730" t="s">
        <v>3596</v>
      </c>
      <c r="C730" s="25">
        <v>3190</v>
      </c>
      <c r="D730" s="28">
        <v>3190</v>
      </c>
      <c r="E730" s="2" t="str">
        <f t="shared" si="24"/>
        <v>Same</v>
      </c>
      <c r="F730" s="6" t="s">
        <v>1927</v>
      </c>
      <c r="G730" s="3">
        <v>60.5</v>
      </c>
      <c r="H730" s="2" t="s">
        <v>719</v>
      </c>
      <c r="I730" s="4">
        <f>[1]Sheet1!I730</f>
        <v>2</v>
      </c>
      <c r="J730" s="3" t="str">
        <f t="shared" si="23"/>
        <v>3190_A1C1.webp</v>
      </c>
      <c r="K730" s="5">
        <f>Sheet4!E730</f>
        <v>20</v>
      </c>
      <c r="L730" s="5"/>
      <c r="M730" s="4"/>
    </row>
    <row r="731" spans="1:13" x14ac:dyDescent="0.25">
      <c r="A731" t="s">
        <v>3595</v>
      </c>
      <c r="B731" t="s">
        <v>3596</v>
      </c>
      <c r="C731" s="25">
        <v>3191</v>
      </c>
      <c r="D731" s="28">
        <v>3191</v>
      </c>
      <c r="E731" s="2" t="str">
        <f t="shared" si="24"/>
        <v>Same</v>
      </c>
      <c r="F731" s="6" t="s">
        <v>1928</v>
      </c>
      <c r="G731" s="3">
        <v>49.95</v>
      </c>
      <c r="H731" s="2" t="s">
        <v>720</v>
      </c>
      <c r="I731" s="4">
        <f>[1]Sheet1!I731</f>
        <v>0</v>
      </c>
      <c r="J731" s="3" t="str">
        <f t="shared" si="23"/>
        <v>3191_A1C1.webp</v>
      </c>
      <c r="K731" s="5">
        <f>Sheet4!E731</f>
        <v>20</v>
      </c>
      <c r="L731" s="5"/>
      <c r="M731" s="4"/>
    </row>
    <row r="732" spans="1:13" x14ac:dyDescent="0.25">
      <c r="A732" t="s">
        <v>3595</v>
      </c>
      <c r="B732" t="s">
        <v>3596</v>
      </c>
      <c r="C732" s="25">
        <v>3192</v>
      </c>
      <c r="D732" s="28">
        <v>3192</v>
      </c>
      <c r="E732" s="2" t="str">
        <f t="shared" si="24"/>
        <v>Same</v>
      </c>
      <c r="F732" s="6" t="s">
        <v>1927</v>
      </c>
      <c r="G732" s="3">
        <v>47.95</v>
      </c>
      <c r="H732" s="2" t="s">
        <v>721</v>
      </c>
      <c r="I732" s="4">
        <f>[1]Sheet1!I732</f>
        <v>0</v>
      </c>
      <c r="J732" s="3" t="str">
        <f t="shared" si="23"/>
        <v>3192_A1C1.webp</v>
      </c>
      <c r="K732" s="5">
        <f>Sheet4!E732</f>
        <v>20</v>
      </c>
      <c r="L732" s="5"/>
      <c r="M732" s="4"/>
    </row>
    <row r="733" spans="1:13" x14ac:dyDescent="0.25">
      <c r="A733" t="s">
        <v>3315</v>
      </c>
      <c r="B733" t="s">
        <v>3603</v>
      </c>
      <c r="C733" s="25">
        <v>3200</v>
      </c>
      <c r="D733" s="28">
        <v>3200</v>
      </c>
      <c r="E733" s="2" t="str">
        <f t="shared" si="24"/>
        <v>Same</v>
      </c>
      <c r="F733" s="6" t="s">
        <v>1849</v>
      </c>
      <c r="G733" s="3">
        <v>169.5</v>
      </c>
      <c r="H733" s="2" t="s">
        <v>722</v>
      </c>
      <c r="I733" s="4">
        <f>[1]Sheet1!I733</f>
        <v>200</v>
      </c>
      <c r="J733" s="3" t="str">
        <f t="shared" si="23"/>
        <v>3200_A1C1.webp</v>
      </c>
      <c r="K733" s="5">
        <f>Sheet4!E733</f>
        <v>24</v>
      </c>
      <c r="L733" s="5"/>
      <c r="M733" s="4"/>
    </row>
    <row r="734" spans="1:13" x14ac:dyDescent="0.25">
      <c r="A734" t="s">
        <v>2593</v>
      </c>
      <c r="B734" t="s">
        <v>3339</v>
      </c>
      <c r="C734" s="25">
        <v>3201</v>
      </c>
      <c r="D734" s="28">
        <v>3201</v>
      </c>
      <c r="E734" s="2" t="str">
        <f t="shared" si="24"/>
        <v>Same</v>
      </c>
      <c r="F734" s="6" t="s">
        <v>1869</v>
      </c>
      <c r="G734" s="3">
        <v>61.95</v>
      </c>
      <c r="H734" s="2" t="s">
        <v>723</v>
      </c>
      <c r="I734" s="4">
        <f>[1]Sheet1!I734</f>
        <v>369</v>
      </c>
      <c r="J734" s="3" t="str">
        <f t="shared" si="23"/>
        <v>3201_A1C1.webp</v>
      </c>
      <c r="K734" s="5">
        <f>Sheet4!E734</f>
        <v>24</v>
      </c>
      <c r="L734" s="5"/>
      <c r="M734" s="4"/>
    </row>
    <row r="735" spans="1:13" x14ac:dyDescent="0.25">
      <c r="A735" t="s">
        <v>3315</v>
      </c>
      <c r="B735" t="s">
        <v>3603</v>
      </c>
      <c r="C735" s="25">
        <v>3202</v>
      </c>
      <c r="D735" s="28">
        <v>3202</v>
      </c>
      <c r="E735" s="2" t="str">
        <f t="shared" si="24"/>
        <v>Same</v>
      </c>
      <c r="F735" s="6" t="s">
        <v>1869</v>
      </c>
      <c r="G735" s="3">
        <v>88.5</v>
      </c>
      <c r="H735" s="2" t="s">
        <v>724</v>
      </c>
      <c r="I735" s="4">
        <f>[1]Sheet1!I735</f>
        <v>433</v>
      </c>
      <c r="J735" s="3" t="str">
        <f t="shared" si="23"/>
        <v>3202_A1C1.webp</v>
      </c>
      <c r="K735" s="5">
        <f>Sheet4!E735</f>
        <v>24</v>
      </c>
      <c r="L735" s="5"/>
      <c r="M735" s="4"/>
    </row>
    <row r="736" spans="1:13" x14ac:dyDescent="0.25">
      <c r="A736" t="s">
        <v>3315</v>
      </c>
      <c r="B736" t="s">
        <v>3603</v>
      </c>
      <c r="C736" s="25">
        <v>3204</v>
      </c>
      <c r="D736" s="28">
        <v>3204</v>
      </c>
      <c r="E736" s="2" t="str">
        <f t="shared" si="24"/>
        <v>Same</v>
      </c>
      <c r="F736" s="6" t="s">
        <v>1847</v>
      </c>
      <c r="G736" s="3">
        <v>59.95</v>
      </c>
      <c r="H736" s="2" t="s">
        <v>725</v>
      </c>
      <c r="I736" s="4">
        <f>[1]Sheet1!I736</f>
        <v>60</v>
      </c>
      <c r="J736" s="3" t="str">
        <f t="shared" si="23"/>
        <v>3204_A1C1.webp</v>
      </c>
      <c r="K736" s="5">
        <f>Sheet4!E736</f>
        <v>24</v>
      </c>
      <c r="L736" s="5"/>
      <c r="M736" s="4"/>
    </row>
    <row r="737" spans="1:13" x14ac:dyDescent="0.25">
      <c r="A737" t="s">
        <v>3315</v>
      </c>
      <c r="B737" t="s">
        <v>3603</v>
      </c>
      <c r="C737" s="25">
        <v>3205</v>
      </c>
      <c r="D737" s="28">
        <v>3205</v>
      </c>
      <c r="E737" s="2" t="str">
        <f t="shared" si="24"/>
        <v>Same</v>
      </c>
      <c r="F737" s="6" t="s">
        <v>1904</v>
      </c>
      <c r="G737" s="3">
        <v>38.950000000000003</v>
      </c>
      <c r="H737" s="2" t="s">
        <v>726</v>
      </c>
      <c r="I737" s="4">
        <f>[1]Sheet1!I737</f>
        <v>1852</v>
      </c>
      <c r="J737" s="3" t="str">
        <f t="shared" si="23"/>
        <v>3205_A1C1.webp</v>
      </c>
      <c r="K737" s="5">
        <f>Sheet4!E737</f>
        <v>12</v>
      </c>
      <c r="L737" s="5"/>
      <c r="M737" s="4"/>
    </row>
    <row r="738" spans="1:13" x14ac:dyDescent="0.25">
      <c r="A738" t="s">
        <v>3315</v>
      </c>
      <c r="B738" t="s">
        <v>3603</v>
      </c>
      <c r="C738" s="25">
        <v>3206</v>
      </c>
      <c r="D738" s="28">
        <v>3206</v>
      </c>
      <c r="E738" s="2" t="str">
        <f t="shared" si="24"/>
        <v>Same</v>
      </c>
      <c r="F738" s="6" t="s">
        <v>1869</v>
      </c>
      <c r="G738" s="3">
        <v>122.5</v>
      </c>
      <c r="H738" s="2" t="s">
        <v>727</v>
      </c>
      <c r="I738" s="4">
        <f>[1]Sheet1!I738</f>
        <v>38</v>
      </c>
      <c r="J738" s="3" t="str">
        <f t="shared" si="23"/>
        <v>3206_A1C1.webp</v>
      </c>
      <c r="K738" s="5">
        <f>Sheet4!E738</f>
        <v>24</v>
      </c>
      <c r="L738" s="5"/>
      <c r="M738" s="4"/>
    </row>
    <row r="739" spans="1:13" x14ac:dyDescent="0.25">
      <c r="A739" t="s">
        <v>3315</v>
      </c>
      <c r="B739" t="s">
        <v>3603</v>
      </c>
      <c r="C739" s="25">
        <v>3210</v>
      </c>
      <c r="D739" s="28">
        <v>3210</v>
      </c>
      <c r="E739" s="2" t="str">
        <f t="shared" si="24"/>
        <v>Same</v>
      </c>
      <c r="F739" s="6" t="s">
        <v>1849</v>
      </c>
      <c r="G739" s="3">
        <v>114.35</v>
      </c>
      <c r="H739" s="2" t="s">
        <v>728</v>
      </c>
      <c r="I739" s="4">
        <f>[1]Sheet1!I739</f>
        <v>69</v>
      </c>
      <c r="J739" s="3" t="str">
        <f t="shared" si="23"/>
        <v>3210_A1C1.webp</v>
      </c>
      <c r="K739" s="5">
        <f>Sheet4!E739</f>
        <v>12</v>
      </c>
      <c r="L739" s="5"/>
      <c r="M739" s="4"/>
    </row>
    <row r="740" spans="1:13" x14ac:dyDescent="0.25">
      <c r="A740" t="s">
        <v>3315</v>
      </c>
      <c r="B740" t="s">
        <v>3455</v>
      </c>
      <c r="C740" s="25">
        <v>3211</v>
      </c>
      <c r="D740" s="28">
        <v>3211</v>
      </c>
      <c r="E740" s="2" t="str">
        <f t="shared" si="24"/>
        <v>Same</v>
      </c>
      <c r="F740" s="6" t="s">
        <v>1849</v>
      </c>
      <c r="G740" s="3">
        <v>38.950000000000003</v>
      </c>
      <c r="H740" s="2" t="s">
        <v>729</v>
      </c>
      <c r="I740" s="4">
        <f>[1]Sheet1!I740</f>
        <v>204</v>
      </c>
      <c r="J740" s="3" t="str">
        <f t="shared" si="23"/>
        <v>3211_A1C1.webp</v>
      </c>
      <c r="K740" s="5">
        <f>Sheet4!E740</f>
        <v>24</v>
      </c>
      <c r="L740" s="5"/>
      <c r="M740" s="4"/>
    </row>
    <row r="741" spans="1:13" x14ac:dyDescent="0.25">
      <c r="A741" t="s">
        <v>3315</v>
      </c>
      <c r="B741" t="s">
        <v>3455</v>
      </c>
      <c r="C741" s="25">
        <v>3212</v>
      </c>
      <c r="D741" s="28">
        <v>3212</v>
      </c>
      <c r="E741" s="2" t="str">
        <f t="shared" si="24"/>
        <v>Same</v>
      </c>
      <c r="F741" s="6" t="s">
        <v>1876</v>
      </c>
      <c r="H741" s="2" t="s">
        <v>730</v>
      </c>
      <c r="I741" s="4">
        <f>[1]Sheet1!I741</f>
        <v>0</v>
      </c>
      <c r="J741" s="3" t="str">
        <f t="shared" si="23"/>
        <v>3212_A1C1.webp</v>
      </c>
      <c r="K741" s="5">
        <f>Sheet4!E741</f>
        <v>12</v>
      </c>
      <c r="L741" s="5"/>
      <c r="M741" s="4"/>
    </row>
    <row r="742" spans="1:13" x14ac:dyDescent="0.25">
      <c r="A742" t="s">
        <v>2633</v>
      </c>
      <c r="B742" t="s">
        <v>3354</v>
      </c>
      <c r="C742" s="25">
        <v>3214</v>
      </c>
      <c r="D742" s="28">
        <v>3214</v>
      </c>
      <c r="E742" s="2" t="str">
        <f t="shared" si="24"/>
        <v>Same</v>
      </c>
      <c r="F742" s="6" t="s">
        <v>1869</v>
      </c>
      <c r="G742">
        <v>8.9499999999999993</v>
      </c>
      <c r="H742" s="2" t="s">
        <v>731</v>
      </c>
      <c r="I742" s="4">
        <f>[1]Sheet1!I742</f>
        <v>307</v>
      </c>
      <c r="J742" s="3" t="str">
        <f t="shared" si="23"/>
        <v>3214_A1C1.webp</v>
      </c>
      <c r="K742" s="5">
        <f>Sheet4!E742</f>
        <v>12</v>
      </c>
      <c r="L742" s="5"/>
      <c r="M742" s="4"/>
    </row>
    <row r="743" spans="1:13" x14ac:dyDescent="0.25">
      <c r="A743" t="s">
        <v>2633</v>
      </c>
      <c r="B743" t="s">
        <v>3354</v>
      </c>
      <c r="C743" s="25">
        <v>3215</v>
      </c>
      <c r="D743" s="28">
        <v>3215</v>
      </c>
      <c r="E743" s="2" t="str">
        <f t="shared" si="24"/>
        <v>Same</v>
      </c>
      <c r="F743" s="6" t="s">
        <v>1881</v>
      </c>
      <c r="G743" s="3">
        <v>30.95</v>
      </c>
      <c r="H743" s="2" t="s">
        <v>732</v>
      </c>
      <c r="I743" s="4">
        <f>[1]Sheet1!I743</f>
        <v>14</v>
      </c>
      <c r="J743" s="3" t="str">
        <f t="shared" si="23"/>
        <v>3215_A1C1.webp</v>
      </c>
      <c r="K743" s="5">
        <f>Sheet4!E743</f>
        <v>12</v>
      </c>
      <c r="L743" s="5" t="s">
        <v>5278</v>
      </c>
      <c r="M743" s="4"/>
    </row>
    <row r="744" spans="1:13" x14ac:dyDescent="0.25">
      <c r="A744" t="s">
        <v>3258</v>
      </c>
      <c r="B744" t="s">
        <v>3627</v>
      </c>
      <c r="C744" s="25">
        <v>3216</v>
      </c>
      <c r="D744" s="28">
        <v>3216</v>
      </c>
      <c r="E744" s="2" t="str">
        <f t="shared" si="24"/>
        <v>Same</v>
      </c>
      <c r="F744" s="6" t="s">
        <v>1942</v>
      </c>
      <c r="G744" s="3">
        <v>28.65</v>
      </c>
      <c r="H744" s="2" t="s">
        <v>733</v>
      </c>
      <c r="I744" s="4">
        <f>[1]Sheet1!I744</f>
        <v>154</v>
      </c>
      <c r="J744" s="3" t="str">
        <f t="shared" si="23"/>
        <v>3216_A1C1.webp</v>
      </c>
      <c r="K744" s="5">
        <f>Sheet4!E744</f>
        <v>24</v>
      </c>
      <c r="L744" s="5" t="s">
        <v>5278</v>
      </c>
      <c r="M744" s="4"/>
    </row>
    <row r="745" spans="1:13" x14ac:dyDescent="0.25">
      <c r="A745" t="s">
        <v>3258</v>
      </c>
      <c r="B745" t="s">
        <v>3627</v>
      </c>
      <c r="C745" s="25">
        <v>3237</v>
      </c>
      <c r="D745" s="28">
        <v>3237</v>
      </c>
      <c r="E745" s="2" t="str">
        <f t="shared" si="24"/>
        <v>Same</v>
      </c>
      <c r="F745" s="6" t="s">
        <v>1942</v>
      </c>
      <c r="G745" s="3">
        <v>27.5</v>
      </c>
      <c r="H745" s="2" t="s">
        <v>734</v>
      </c>
      <c r="I745" s="4">
        <f>[1]Sheet1!I745</f>
        <v>1376</v>
      </c>
      <c r="J745" s="3" t="str">
        <f t="shared" si="23"/>
        <v>3237_A1C1.webp</v>
      </c>
      <c r="K745" s="5">
        <f>Sheet4!E745</f>
        <v>24</v>
      </c>
      <c r="L745" s="5"/>
      <c r="M745" s="4"/>
    </row>
    <row r="746" spans="1:13" x14ac:dyDescent="0.25">
      <c r="A746" t="s">
        <v>3258</v>
      </c>
      <c r="B746" t="s">
        <v>3627</v>
      </c>
      <c r="C746" s="25">
        <v>3239</v>
      </c>
      <c r="D746" s="28">
        <v>3239</v>
      </c>
      <c r="E746" s="2" t="str">
        <f t="shared" si="24"/>
        <v>Same</v>
      </c>
      <c r="F746" s="6" t="s">
        <v>1942</v>
      </c>
      <c r="G746" s="3">
        <v>27.5</v>
      </c>
      <c r="H746" s="2" t="s">
        <v>735</v>
      </c>
      <c r="I746" s="4">
        <f>[1]Sheet1!I746</f>
        <v>616</v>
      </c>
      <c r="J746" s="3" t="str">
        <f t="shared" si="23"/>
        <v>3239_A1C1.webp</v>
      </c>
      <c r="K746" s="5">
        <f>Sheet4!E746</f>
        <v>24</v>
      </c>
      <c r="L746" s="5"/>
      <c r="M746" s="4"/>
    </row>
    <row r="747" spans="1:13" x14ac:dyDescent="0.25">
      <c r="A747" t="s">
        <v>3258</v>
      </c>
      <c r="B747" t="s">
        <v>3627</v>
      </c>
      <c r="C747" s="25">
        <v>3240</v>
      </c>
      <c r="D747" s="28">
        <v>3240</v>
      </c>
      <c r="E747" s="2" t="str">
        <f t="shared" si="24"/>
        <v>Same</v>
      </c>
      <c r="F747" s="6" t="s">
        <v>1942</v>
      </c>
      <c r="G747" s="3">
        <v>25.45</v>
      </c>
      <c r="H747" s="2" t="s">
        <v>736</v>
      </c>
      <c r="I747" s="4">
        <f>[1]Sheet1!I747</f>
        <v>4159</v>
      </c>
      <c r="J747" s="3" t="str">
        <f t="shared" si="23"/>
        <v>3240_A1C1.webp</v>
      </c>
      <c r="K747" s="5">
        <f>Sheet4!E747</f>
        <v>24</v>
      </c>
      <c r="L747" s="5"/>
      <c r="M747" s="4"/>
    </row>
    <row r="748" spans="1:13" x14ac:dyDescent="0.25">
      <c r="A748" t="s">
        <v>3258</v>
      </c>
      <c r="B748" t="s">
        <v>3627</v>
      </c>
      <c r="C748" s="25">
        <v>3241</v>
      </c>
      <c r="D748" s="28">
        <v>3241</v>
      </c>
      <c r="E748" s="2" t="str">
        <f t="shared" si="24"/>
        <v>Same</v>
      </c>
      <c r="F748" s="6" t="s">
        <v>1942</v>
      </c>
      <c r="G748" s="3">
        <v>25.45</v>
      </c>
      <c r="H748" s="2" t="s">
        <v>737</v>
      </c>
      <c r="I748" s="4">
        <f>[1]Sheet1!I748</f>
        <v>1803</v>
      </c>
      <c r="J748" s="3" t="str">
        <f t="shared" si="23"/>
        <v>3241_A1C1.webp</v>
      </c>
      <c r="K748" s="5">
        <f>Sheet4!E748</f>
        <v>24</v>
      </c>
      <c r="L748" s="5"/>
      <c r="M748" s="4"/>
    </row>
    <row r="749" spans="1:13" x14ac:dyDescent="0.25">
      <c r="A749" t="s">
        <v>3258</v>
      </c>
      <c r="B749" t="s">
        <v>3627</v>
      </c>
      <c r="C749" s="25">
        <v>3242</v>
      </c>
      <c r="D749" s="28">
        <v>3242</v>
      </c>
      <c r="E749" s="2" t="str">
        <f t="shared" si="24"/>
        <v>Same</v>
      </c>
      <c r="F749" s="6" t="s">
        <v>1942</v>
      </c>
      <c r="G749" s="3">
        <v>25.45</v>
      </c>
      <c r="H749" s="2" t="s">
        <v>738</v>
      </c>
      <c r="I749" s="4">
        <f>[1]Sheet1!I749</f>
        <v>1931</v>
      </c>
      <c r="J749" s="3" t="str">
        <f t="shared" si="23"/>
        <v>3242_A1C1.webp</v>
      </c>
      <c r="K749" s="5">
        <f>Sheet4!E749</f>
        <v>24</v>
      </c>
      <c r="L749" s="5"/>
      <c r="M749" s="4"/>
    </row>
    <row r="750" spans="1:13" x14ac:dyDescent="0.25">
      <c r="A750" t="s">
        <v>3258</v>
      </c>
      <c r="B750" t="s">
        <v>3627</v>
      </c>
      <c r="C750" s="25">
        <v>3243</v>
      </c>
      <c r="D750" s="28">
        <v>3243</v>
      </c>
      <c r="E750" s="2" t="str">
        <f t="shared" si="24"/>
        <v>Same</v>
      </c>
      <c r="F750" s="6" t="s">
        <v>1856</v>
      </c>
      <c r="G750" s="3">
        <v>25.45</v>
      </c>
      <c r="H750" s="2" t="s">
        <v>739</v>
      </c>
      <c r="I750" s="4">
        <f>[1]Sheet1!I750</f>
        <v>622</v>
      </c>
      <c r="J750" s="3" t="str">
        <f t="shared" si="23"/>
        <v>3243_A1C1.webp</v>
      </c>
      <c r="K750" s="5">
        <f>Sheet4!E750</f>
        <v>24</v>
      </c>
      <c r="L750" s="5"/>
      <c r="M750" s="4"/>
    </row>
    <row r="751" spans="1:13" x14ac:dyDescent="0.25">
      <c r="A751" t="s">
        <v>3258</v>
      </c>
      <c r="B751" t="s">
        <v>3627</v>
      </c>
      <c r="C751" s="25">
        <v>3245</v>
      </c>
      <c r="D751" s="28">
        <v>3245</v>
      </c>
      <c r="E751" s="2" t="str">
        <f t="shared" si="24"/>
        <v>Same</v>
      </c>
      <c r="F751" s="6" t="s">
        <v>1924</v>
      </c>
      <c r="G751" s="3">
        <v>159.94999999999999</v>
      </c>
      <c r="H751" s="2" t="s">
        <v>740</v>
      </c>
      <c r="I751" s="4">
        <f>[1]Sheet1!I751</f>
        <v>58</v>
      </c>
      <c r="J751" s="3" t="str">
        <f t="shared" si="23"/>
        <v>3245_A1C1.webp</v>
      </c>
      <c r="K751" s="5">
        <f>Sheet4!E751</f>
        <v>72</v>
      </c>
      <c r="L751" s="5"/>
      <c r="M751" s="4"/>
    </row>
    <row r="752" spans="1:13" x14ac:dyDescent="0.25">
      <c r="A752" t="s">
        <v>3258</v>
      </c>
      <c r="B752" t="s">
        <v>3627</v>
      </c>
      <c r="C752" s="25">
        <v>3246</v>
      </c>
      <c r="D752" s="28">
        <v>3246</v>
      </c>
      <c r="E752" s="2" t="str">
        <f t="shared" si="24"/>
        <v>Same</v>
      </c>
      <c r="F752" s="6" t="s">
        <v>1924</v>
      </c>
      <c r="G752" s="3">
        <v>43.95</v>
      </c>
      <c r="H752" s="2" t="s">
        <v>741</v>
      </c>
      <c r="I752" s="4">
        <f>[1]Sheet1!I752</f>
        <v>3683</v>
      </c>
      <c r="J752" s="3" t="str">
        <f t="shared" si="23"/>
        <v>3246_A1C1.webp</v>
      </c>
      <c r="K752" s="5">
        <f>Sheet4!E752</f>
        <v>18</v>
      </c>
      <c r="L752" s="5"/>
      <c r="M752" s="4"/>
    </row>
    <row r="753" spans="1:13" x14ac:dyDescent="0.25">
      <c r="A753" t="s">
        <v>3258</v>
      </c>
      <c r="B753" t="s">
        <v>3646</v>
      </c>
      <c r="C753" s="25">
        <v>3249</v>
      </c>
      <c r="D753" s="28">
        <v>3249</v>
      </c>
      <c r="E753" s="2" t="str">
        <f t="shared" si="24"/>
        <v>Same</v>
      </c>
      <c r="F753" s="6" t="s">
        <v>1873</v>
      </c>
      <c r="G753" s="3">
        <v>58.95</v>
      </c>
      <c r="H753" s="2" t="s">
        <v>742</v>
      </c>
      <c r="I753" s="4">
        <f>[1]Sheet1!I753</f>
        <v>57</v>
      </c>
      <c r="J753" s="3" t="str">
        <f t="shared" si="23"/>
        <v>3249_A1C1.webp</v>
      </c>
      <c r="K753" s="5">
        <f>Sheet4!E753</f>
        <v>24</v>
      </c>
      <c r="L753" s="5"/>
      <c r="M753" s="4"/>
    </row>
    <row r="754" spans="1:13" x14ac:dyDescent="0.25">
      <c r="A754" t="s">
        <v>3258</v>
      </c>
      <c r="B754" t="s">
        <v>3646</v>
      </c>
      <c r="C754" s="25">
        <v>3250</v>
      </c>
      <c r="D754" s="28">
        <v>3250</v>
      </c>
      <c r="E754" s="2" t="str">
        <f t="shared" si="24"/>
        <v>Same</v>
      </c>
      <c r="F754" s="6" t="s">
        <v>1873</v>
      </c>
      <c r="G754" s="3">
        <v>58.95</v>
      </c>
      <c r="H754" s="2" t="s">
        <v>743</v>
      </c>
      <c r="I754" s="4">
        <f>[1]Sheet1!I754</f>
        <v>17</v>
      </c>
      <c r="J754" s="3" t="str">
        <f t="shared" si="23"/>
        <v>3250_A1C1.webp</v>
      </c>
      <c r="K754" s="5">
        <f>Sheet4!E754</f>
        <v>24</v>
      </c>
      <c r="L754" s="5"/>
      <c r="M754" s="4"/>
    </row>
    <row r="755" spans="1:13" x14ac:dyDescent="0.25">
      <c r="A755" t="s">
        <v>3650</v>
      </c>
      <c r="B755" t="s">
        <v>3651</v>
      </c>
      <c r="C755" s="25">
        <v>3294</v>
      </c>
      <c r="D755" s="28">
        <v>3294</v>
      </c>
      <c r="E755" s="2" t="str">
        <f t="shared" si="24"/>
        <v>Same</v>
      </c>
      <c r="F755" s="6" t="s">
        <v>1866</v>
      </c>
      <c r="G755" s="3">
        <v>70.95</v>
      </c>
      <c r="H755" s="2" t="s">
        <v>744</v>
      </c>
      <c r="I755" s="4">
        <f>[1]Sheet1!I755</f>
        <v>33</v>
      </c>
      <c r="J755" s="3" t="str">
        <f t="shared" si="23"/>
        <v>3294_A1C1.webp</v>
      </c>
      <c r="K755" s="5">
        <f>Sheet4!E755</f>
        <v>16</v>
      </c>
      <c r="L755" s="5"/>
      <c r="M755" s="4"/>
    </row>
    <row r="756" spans="1:13" x14ac:dyDescent="0.25">
      <c r="A756" t="s">
        <v>3650</v>
      </c>
      <c r="B756" t="s">
        <v>3651</v>
      </c>
      <c r="C756" s="25">
        <v>3295</v>
      </c>
      <c r="D756" s="28">
        <v>3295</v>
      </c>
      <c r="E756" s="2" t="str">
        <f t="shared" si="24"/>
        <v>Same</v>
      </c>
      <c r="F756" s="6" t="s">
        <v>1936</v>
      </c>
      <c r="G756" s="3">
        <v>36.5</v>
      </c>
      <c r="H756" s="2" t="s">
        <v>745</v>
      </c>
      <c r="I756" s="4">
        <f>[1]Sheet1!I756</f>
        <v>115</v>
      </c>
      <c r="J756" s="3" t="str">
        <f t="shared" si="23"/>
        <v>3295_A1C1.webp</v>
      </c>
      <c r="K756" s="5">
        <f>Sheet4!E756</f>
        <v>16</v>
      </c>
      <c r="L756" s="5"/>
      <c r="M756" s="4"/>
    </row>
    <row r="757" spans="1:13" x14ac:dyDescent="0.25">
      <c r="A757" t="s">
        <v>3650</v>
      </c>
      <c r="B757" t="s">
        <v>3651</v>
      </c>
      <c r="C757" s="25">
        <v>3313</v>
      </c>
      <c r="D757" s="28">
        <v>3313</v>
      </c>
      <c r="E757" s="2" t="str">
        <f t="shared" si="24"/>
        <v>Same</v>
      </c>
      <c r="F757" s="6" t="s">
        <v>1936</v>
      </c>
      <c r="G757" s="3">
        <v>34.5</v>
      </c>
      <c r="H757" s="2" t="s">
        <v>746</v>
      </c>
      <c r="I757" s="4">
        <f>[1]Sheet1!I757</f>
        <v>671</v>
      </c>
      <c r="J757" s="3" t="str">
        <f t="shared" si="23"/>
        <v>3313_A1C1.webp</v>
      </c>
      <c r="K757" s="5">
        <f>Sheet4!E757</f>
        <v>16</v>
      </c>
      <c r="L757" s="5"/>
      <c r="M757" s="4"/>
    </row>
    <row r="758" spans="1:13" x14ac:dyDescent="0.25">
      <c r="A758" t="s">
        <v>3650</v>
      </c>
      <c r="B758" t="s">
        <v>3651</v>
      </c>
      <c r="C758" s="25">
        <v>3314</v>
      </c>
      <c r="D758" s="28">
        <v>3314</v>
      </c>
      <c r="E758" s="2" t="str">
        <f t="shared" si="24"/>
        <v>Same</v>
      </c>
      <c r="F758" s="6" t="s">
        <v>1866</v>
      </c>
      <c r="G758" s="3">
        <v>66.95</v>
      </c>
      <c r="H758" s="2" t="s">
        <v>747</v>
      </c>
      <c r="I758" s="4">
        <f>[1]Sheet1!I758</f>
        <v>702</v>
      </c>
      <c r="J758" s="3" t="str">
        <f t="shared" si="23"/>
        <v>3314_A1C1.webp</v>
      </c>
      <c r="K758" s="5">
        <f>Sheet4!E758</f>
        <v>16</v>
      </c>
      <c r="L758" s="5"/>
      <c r="M758" s="4"/>
    </row>
    <row r="759" spans="1:13" x14ac:dyDescent="0.25">
      <c r="A759" t="s">
        <v>3664</v>
      </c>
      <c r="B759" t="s">
        <v>3665</v>
      </c>
      <c r="C759" s="25">
        <v>3321</v>
      </c>
      <c r="D759" s="28">
        <v>3321</v>
      </c>
      <c r="E759" s="2" t="str">
        <f t="shared" si="24"/>
        <v>Same</v>
      </c>
      <c r="F759" s="6" t="s">
        <v>1945</v>
      </c>
      <c r="G759" s="3">
        <v>55.5</v>
      </c>
      <c r="H759" s="2" t="s">
        <v>748</v>
      </c>
      <c r="I759" s="4">
        <f>[1]Sheet1!I759</f>
        <v>559</v>
      </c>
      <c r="J759" s="3" t="str">
        <f t="shared" si="23"/>
        <v>3321_A1C1.webp</v>
      </c>
      <c r="K759" s="5">
        <f>Sheet4!E759</f>
        <v>48</v>
      </c>
      <c r="L759" s="5"/>
      <c r="M759" s="4"/>
    </row>
    <row r="760" spans="1:13" x14ac:dyDescent="0.25">
      <c r="A760" t="s">
        <v>3664</v>
      </c>
      <c r="B760" t="s">
        <v>3665</v>
      </c>
      <c r="C760" s="25">
        <v>3322</v>
      </c>
      <c r="D760" s="28">
        <v>3322</v>
      </c>
      <c r="E760" s="2" t="str">
        <f t="shared" si="24"/>
        <v>Same</v>
      </c>
      <c r="F760" s="6" t="s">
        <v>1859</v>
      </c>
      <c r="G760" s="3">
        <v>42.75</v>
      </c>
      <c r="H760" s="2" t="s">
        <v>749</v>
      </c>
      <c r="I760" s="4">
        <f>[1]Sheet1!I760</f>
        <v>0</v>
      </c>
      <c r="J760" s="3" t="str">
        <f t="shared" si="23"/>
        <v>3322_A1C1.webp</v>
      </c>
      <c r="K760" s="5">
        <f>Sheet4!E760</f>
        <v>24</v>
      </c>
      <c r="L760" s="5"/>
      <c r="M760" s="4"/>
    </row>
    <row r="761" spans="1:13" x14ac:dyDescent="0.25">
      <c r="A761" t="s">
        <v>3664</v>
      </c>
      <c r="B761" t="s">
        <v>3665</v>
      </c>
      <c r="C761" s="25">
        <v>3324</v>
      </c>
      <c r="D761" s="28">
        <v>3324</v>
      </c>
      <c r="E761" s="2" t="str">
        <f t="shared" si="24"/>
        <v>Same</v>
      </c>
      <c r="F761" s="6" t="s">
        <v>1945</v>
      </c>
      <c r="G761" s="3">
        <v>55.5</v>
      </c>
      <c r="H761" s="2" t="s">
        <v>750</v>
      </c>
      <c r="I761" s="4">
        <f>[1]Sheet1!I761</f>
        <v>136</v>
      </c>
      <c r="J761" s="3" t="str">
        <f t="shared" si="23"/>
        <v>3324_A1C1.webp</v>
      </c>
      <c r="K761" s="5">
        <f>Sheet4!E761</f>
        <v>48</v>
      </c>
      <c r="L761" s="5"/>
      <c r="M761" s="4"/>
    </row>
    <row r="762" spans="1:13" x14ac:dyDescent="0.25">
      <c r="A762" t="s">
        <v>3664</v>
      </c>
      <c r="B762" t="s">
        <v>3665</v>
      </c>
      <c r="C762" s="25">
        <v>3327</v>
      </c>
      <c r="D762" s="28">
        <v>3327</v>
      </c>
      <c r="E762" s="2" t="str">
        <f t="shared" si="24"/>
        <v>Same</v>
      </c>
      <c r="F762" s="6" t="s">
        <v>1945</v>
      </c>
      <c r="G762" s="3">
        <v>55.5</v>
      </c>
      <c r="H762" s="2" t="s">
        <v>751</v>
      </c>
      <c r="I762" s="4">
        <f>[1]Sheet1!I762</f>
        <v>619</v>
      </c>
      <c r="J762" s="3" t="str">
        <f t="shared" si="23"/>
        <v>3327_A1C1.webp</v>
      </c>
      <c r="K762" s="5">
        <f>Sheet4!E762</f>
        <v>48</v>
      </c>
      <c r="L762" s="5"/>
      <c r="M762" s="4"/>
    </row>
    <row r="763" spans="1:13" x14ac:dyDescent="0.25">
      <c r="A763" t="s">
        <v>3664</v>
      </c>
      <c r="B763" t="s">
        <v>3665</v>
      </c>
      <c r="C763" s="25">
        <v>3328</v>
      </c>
      <c r="D763" s="28">
        <v>3328</v>
      </c>
      <c r="E763" s="2" t="str">
        <f t="shared" si="24"/>
        <v>Same</v>
      </c>
      <c r="F763" s="6" t="s">
        <v>1859</v>
      </c>
      <c r="G763" s="3">
        <v>42.75</v>
      </c>
      <c r="H763" s="2" t="s">
        <v>752</v>
      </c>
      <c r="I763" s="4">
        <f>[1]Sheet1!I763</f>
        <v>1</v>
      </c>
      <c r="J763" s="3" t="str">
        <f t="shared" si="23"/>
        <v>3328_A1C1.webp</v>
      </c>
      <c r="K763" s="5">
        <f>Sheet4!E763</f>
        <v>24</v>
      </c>
      <c r="L763" s="5"/>
      <c r="M763" s="4"/>
    </row>
    <row r="764" spans="1:13" x14ac:dyDescent="0.25">
      <c r="A764" t="s">
        <v>2518</v>
      </c>
      <c r="B764" t="s">
        <v>3482</v>
      </c>
      <c r="C764" s="25">
        <v>3330</v>
      </c>
      <c r="D764" s="28">
        <v>3330</v>
      </c>
      <c r="E764" s="2" t="str">
        <f t="shared" si="24"/>
        <v>Same</v>
      </c>
      <c r="F764" s="6" t="s">
        <v>1869</v>
      </c>
      <c r="G764">
        <v>22.65</v>
      </c>
      <c r="H764" s="2" t="s">
        <v>753</v>
      </c>
      <c r="I764" s="4">
        <f>[1]Sheet1!I764</f>
        <v>419</v>
      </c>
      <c r="J764" s="3" t="str">
        <f t="shared" si="23"/>
        <v>3330_A1C1.webp</v>
      </c>
      <c r="K764" s="5">
        <f>Sheet4!E764</f>
        <v>24</v>
      </c>
      <c r="L764" s="5"/>
      <c r="M764" s="4"/>
    </row>
    <row r="765" spans="1:13" x14ac:dyDescent="0.25">
      <c r="A765" t="s">
        <v>2518</v>
      </c>
      <c r="B765" t="s">
        <v>3482</v>
      </c>
      <c r="C765" s="25">
        <v>3331</v>
      </c>
      <c r="D765" s="28">
        <v>3331</v>
      </c>
      <c r="E765" s="2" t="str">
        <f t="shared" si="24"/>
        <v>Same</v>
      </c>
      <c r="F765" s="6" t="s">
        <v>1927</v>
      </c>
      <c r="G765" s="3">
        <v>27.95</v>
      </c>
      <c r="H765" s="2" t="s">
        <v>753</v>
      </c>
      <c r="I765" s="4">
        <f>[1]Sheet1!I765</f>
        <v>3027</v>
      </c>
      <c r="J765" s="3" t="str">
        <f t="shared" si="23"/>
        <v>3331_A1C1.webp</v>
      </c>
      <c r="K765" s="5">
        <f>Sheet4!E765</f>
        <v>18</v>
      </c>
      <c r="L765" s="5"/>
      <c r="M765" s="4"/>
    </row>
    <row r="766" spans="1:13" x14ac:dyDescent="0.25">
      <c r="A766" t="s">
        <v>2518</v>
      </c>
      <c r="B766" t="s">
        <v>3482</v>
      </c>
      <c r="C766" s="25">
        <v>3333</v>
      </c>
      <c r="D766" s="28">
        <v>3333</v>
      </c>
      <c r="E766" s="2" t="str">
        <f t="shared" si="24"/>
        <v>Same</v>
      </c>
      <c r="F766" s="6" t="s">
        <v>1869</v>
      </c>
      <c r="G766">
        <v>22.65</v>
      </c>
      <c r="H766" s="2" t="s">
        <v>754</v>
      </c>
      <c r="I766" s="4">
        <f>[1]Sheet1!I766</f>
        <v>1005</v>
      </c>
      <c r="J766" s="3" t="str">
        <f t="shared" si="23"/>
        <v>3333_A1C1.webp</v>
      </c>
      <c r="K766" s="5">
        <f>Sheet4!E766</f>
        <v>24</v>
      </c>
      <c r="L766" s="5"/>
      <c r="M766" s="4"/>
    </row>
    <row r="767" spans="1:13" x14ac:dyDescent="0.25">
      <c r="A767" t="s">
        <v>2518</v>
      </c>
      <c r="B767" t="s">
        <v>3482</v>
      </c>
      <c r="C767" s="25">
        <v>3341</v>
      </c>
      <c r="D767" s="28">
        <v>3341</v>
      </c>
      <c r="E767" s="2" t="str">
        <f t="shared" si="24"/>
        <v>Same</v>
      </c>
      <c r="F767" s="6" t="s">
        <v>1927</v>
      </c>
      <c r="G767" s="3">
        <v>27.95</v>
      </c>
      <c r="H767" s="2" t="s">
        <v>754</v>
      </c>
      <c r="I767" s="4">
        <f>[1]Sheet1!I767</f>
        <v>4175</v>
      </c>
      <c r="J767" s="3" t="str">
        <f t="shared" si="23"/>
        <v>3341_A1C1.webp</v>
      </c>
      <c r="K767" s="5">
        <f>Sheet4!E767</f>
        <v>18</v>
      </c>
      <c r="L767" s="5"/>
      <c r="M767" s="4"/>
    </row>
    <row r="768" spans="1:13" x14ac:dyDescent="0.25">
      <c r="A768" t="s">
        <v>3650</v>
      </c>
      <c r="B768" t="s">
        <v>3678</v>
      </c>
      <c r="C768" s="25">
        <v>3346</v>
      </c>
      <c r="D768" s="28">
        <v>3346</v>
      </c>
      <c r="E768" s="2" t="str">
        <f t="shared" si="24"/>
        <v>Same</v>
      </c>
      <c r="F768" s="6" t="s">
        <v>1947</v>
      </c>
      <c r="G768" s="3">
        <v>86.95</v>
      </c>
      <c r="H768" s="2" t="s">
        <v>755</v>
      </c>
      <c r="I768" s="4">
        <f>[1]Sheet1!I768</f>
        <v>625</v>
      </c>
      <c r="J768" s="3" t="str">
        <f t="shared" si="23"/>
        <v>3346_A1C1.webp</v>
      </c>
      <c r="K768" s="5">
        <f>Sheet4!E768</f>
        <v>6</v>
      </c>
      <c r="L768" s="5"/>
      <c r="M768" s="4"/>
    </row>
    <row r="769" spans="1:13" x14ac:dyDescent="0.25">
      <c r="A769" t="s">
        <v>3650</v>
      </c>
      <c r="B769" t="s">
        <v>3678</v>
      </c>
      <c r="C769" s="25">
        <v>3347</v>
      </c>
      <c r="D769" s="28">
        <v>3347</v>
      </c>
      <c r="E769" s="2" t="str">
        <f t="shared" si="24"/>
        <v>Same</v>
      </c>
      <c r="F769" s="6" t="s">
        <v>1849</v>
      </c>
      <c r="G769" s="3">
        <v>82.95</v>
      </c>
      <c r="H769" s="2" t="s">
        <v>756</v>
      </c>
      <c r="I769" s="4">
        <f>[1]Sheet1!I769</f>
        <v>1006</v>
      </c>
      <c r="J769" s="3" t="str">
        <f t="shared" si="23"/>
        <v>3347_A1C1.webp</v>
      </c>
      <c r="K769" s="5">
        <f>Sheet4!E769</f>
        <v>14</v>
      </c>
      <c r="L769" s="5"/>
      <c r="M769" s="4"/>
    </row>
    <row r="770" spans="1:13" x14ac:dyDescent="0.25">
      <c r="A770" t="s">
        <v>3650</v>
      </c>
      <c r="B770" t="s">
        <v>3678</v>
      </c>
      <c r="C770" s="25">
        <v>3349</v>
      </c>
      <c r="D770" s="28">
        <v>3349</v>
      </c>
      <c r="E770" s="2" t="str">
        <f t="shared" si="24"/>
        <v>Same</v>
      </c>
      <c r="F770" s="6" t="s">
        <v>1895</v>
      </c>
      <c r="G770" s="3">
        <v>59.95</v>
      </c>
      <c r="H770" s="2" t="s">
        <v>757</v>
      </c>
      <c r="I770" s="4">
        <f>[1]Sheet1!I770</f>
        <v>501</v>
      </c>
      <c r="J770" s="3" t="str">
        <f t="shared" ref="J770:J833" si="25">C770 &amp; "_A1C1.webp"</f>
        <v>3349_A1C1.webp</v>
      </c>
      <c r="K770" s="5">
        <f>Sheet4!E770</f>
        <v>14</v>
      </c>
      <c r="L770" s="5"/>
      <c r="M770" s="4"/>
    </row>
    <row r="771" spans="1:13" x14ac:dyDescent="0.25">
      <c r="A771" t="s">
        <v>3650</v>
      </c>
      <c r="B771" t="s">
        <v>3678</v>
      </c>
      <c r="C771" s="25">
        <v>3350</v>
      </c>
      <c r="D771" s="28">
        <v>3350</v>
      </c>
      <c r="E771" s="2" t="str">
        <f t="shared" si="24"/>
        <v>Same</v>
      </c>
      <c r="F771" s="6" t="s">
        <v>1946</v>
      </c>
      <c r="G771" s="3">
        <v>63.95</v>
      </c>
      <c r="H771" s="2" t="s">
        <v>758</v>
      </c>
      <c r="I771" s="4">
        <f>[1]Sheet1!I771</f>
        <v>126</v>
      </c>
      <c r="J771" s="3" t="str">
        <f t="shared" si="25"/>
        <v>3350_A1C1.webp</v>
      </c>
      <c r="K771" s="5">
        <f>Sheet4!E771</f>
        <v>6</v>
      </c>
      <c r="L771" s="5"/>
      <c r="M771" s="4"/>
    </row>
    <row r="772" spans="1:13" x14ac:dyDescent="0.25">
      <c r="A772" t="s">
        <v>3650</v>
      </c>
      <c r="B772" t="s">
        <v>3678</v>
      </c>
      <c r="C772" s="25">
        <v>3353</v>
      </c>
      <c r="D772" s="28">
        <v>3353</v>
      </c>
      <c r="E772" s="2" t="str">
        <f t="shared" si="24"/>
        <v>Same</v>
      </c>
      <c r="F772" s="6" t="s">
        <v>1946</v>
      </c>
      <c r="G772" s="3">
        <v>85.95</v>
      </c>
      <c r="H772" s="2" t="s">
        <v>759</v>
      </c>
      <c r="I772" s="4">
        <f>[1]Sheet1!I772</f>
        <v>1083</v>
      </c>
      <c r="J772" s="3" t="str">
        <f t="shared" si="25"/>
        <v>3353_A1C1.webp</v>
      </c>
      <c r="K772" s="5">
        <f>Sheet4!E772</f>
        <v>6</v>
      </c>
      <c r="L772" s="5"/>
      <c r="M772" s="4"/>
    </row>
    <row r="773" spans="1:13" x14ac:dyDescent="0.25">
      <c r="A773" t="s">
        <v>3650</v>
      </c>
      <c r="B773" t="s">
        <v>3678</v>
      </c>
      <c r="C773" s="25">
        <v>3354</v>
      </c>
      <c r="D773" s="28">
        <v>3354</v>
      </c>
      <c r="E773" s="2" t="str">
        <f t="shared" si="24"/>
        <v>Same</v>
      </c>
      <c r="F773" s="6" t="s">
        <v>1849</v>
      </c>
      <c r="G773" s="3">
        <v>80.5</v>
      </c>
      <c r="H773" s="2" t="s">
        <v>760</v>
      </c>
      <c r="I773" s="4">
        <f>[1]Sheet1!I773</f>
        <v>1830</v>
      </c>
      <c r="J773" s="3" t="str">
        <f t="shared" si="25"/>
        <v>3354_A1C1.webp</v>
      </c>
      <c r="K773" s="5">
        <f>Sheet4!E773</f>
        <v>14</v>
      </c>
      <c r="L773" s="5"/>
      <c r="M773" s="4"/>
    </row>
    <row r="774" spans="1:13" x14ac:dyDescent="0.25">
      <c r="A774" t="s">
        <v>3650</v>
      </c>
      <c r="B774" t="s">
        <v>3678</v>
      </c>
      <c r="C774" s="25">
        <v>3356</v>
      </c>
      <c r="D774" s="28">
        <v>3356</v>
      </c>
      <c r="E774" s="2" t="str">
        <f t="shared" ref="E774:E838" si="26">IF(C774=D774, "Same","New")</f>
        <v>Same</v>
      </c>
      <c r="F774" s="6" t="s">
        <v>1845</v>
      </c>
      <c r="G774" s="3">
        <v>80.5</v>
      </c>
      <c r="H774" s="2" t="s">
        <v>761</v>
      </c>
      <c r="I774" s="4">
        <f>[1]Sheet1!I774</f>
        <v>139</v>
      </c>
      <c r="J774" s="3" t="str">
        <f t="shared" si="25"/>
        <v>3356_A1C1.webp</v>
      </c>
      <c r="K774" s="5">
        <f>Sheet4!E774</f>
        <v>11</v>
      </c>
      <c r="L774" s="5"/>
      <c r="M774" s="4"/>
    </row>
    <row r="775" spans="1:13" x14ac:dyDescent="0.25">
      <c r="A775" t="s">
        <v>3664</v>
      </c>
      <c r="B775" t="s">
        <v>3704</v>
      </c>
      <c r="C775" s="25">
        <v>3358</v>
      </c>
      <c r="D775" s="28">
        <v>3358</v>
      </c>
      <c r="E775" s="2" t="str">
        <f t="shared" si="26"/>
        <v>Same</v>
      </c>
      <c r="F775" s="6" t="s">
        <v>1849</v>
      </c>
      <c r="G775" s="3">
        <v>62.95</v>
      </c>
      <c r="H775" s="2" t="s">
        <v>762</v>
      </c>
      <c r="I775" s="4">
        <f>[1]Sheet1!I775</f>
        <v>2953</v>
      </c>
      <c r="J775" s="3" t="str">
        <f t="shared" si="25"/>
        <v>3358_A1C1.webp</v>
      </c>
      <c r="K775" s="5">
        <f>Sheet4!E775</f>
        <v>12</v>
      </c>
      <c r="L775" s="5"/>
      <c r="M775" s="4"/>
    </row>
    <row r="776" spans="1:13" x14ac:dyDescent="0.25">
      <c r="A776" t="s">
        <v>2604</v>
      </c>
      <c r="B776" t="s">
        <v>3512</v>
      </c>
      <c r="C776" s="25">
        <v>3359</v>
      </c>
      <c r="D776" s="28">
        <v>3359</v>
      </c>
      <c r="E776" s="2" t="str">
        <f t="shared" si="26"/>
        <v>Same</v>
      </c>
      <c r="F776" s="6" t="s">
        <v>1869</v>
      </c>
      <c r="G776" s="3">
        <v>28.95</v>
      </c>
      <c r="H776" s="2" t="s">
        <v>763</v>
      </c>
      <c r="I776" s="4">
        <f>[1]Sheet1!I776</f>
        <v>50</v>
      </c>
      <c r="J776" s="3" t="str">
        <f t="shared" si="25"/>
        <v>3359_A1C1.webp</v>
      </c>
      <c r="K776" s="5">
        <f>Sheet4!E776</f>
        <v>12</v>
      </c>
      <c r="L776" s="5"/>
      <c r="M776" s="4"/>
    </row>
    <row r="777" spans="1:13" x14ac:dyDescent="0.25">
      <c r="A777" t="s">
        <v>2604</v>
      </c>
      <c r="B777" t="s">
        <v>3512</v>
      </c>
      <c r="C777" s="25">
        <v>3360</v>
      </c>
      <c r="D777" s="28">
        <v>3360</v>
      </c>
      <c r="E777" s="2" t="str">
        <f t="shared" si="26"/>
        <v>Same</v>
      </c>
      <c r="F777" s="6" t="s">
        <v>1869</v>
      </c>
      <c r="G777" s="3">
        <v>28.95</v>
      </c>
      <c r="H777" s="2" t="s">
        <v>764</v>
      </c>
      <c r="I777" s="4">
        <f>[1]Sheet1!I777</f>
        <v>81</v>
      </c>
      <c r="J777" s="3" t="str">
        <f t="shared" si="25"/>
        <v>3360_A1C1.webp</v>
      </c>
      <c r="K777" s="5">
        <f>Sheet4!E777</f>
        <v>12</v>
      </c>
      <c r="L777" s="5"/>
      <c r="M777" s="4"/>
    </row>
    <row r="778" spans="1:13" x14ac:dyDescent="0.25">
      <c r="A778" t="s">
        <v>3664</v>
      </c>
      <c r="B778" t="s">
        <v>3704</v>
      </c>
      <c r="C778" s="25">
        <v>3361</v>
      </c>
      <c r="D778" s="28">
        <v>3361</v>
      </c>
      <c r="E778" s="2" t="str">
        <f t="shared" si="26"/>
        <v>Same</v>
      </c>
      <c r="F778" s="6" t="s">
        <v>1874</v>
      </c>
      <c r="G778" s="3">
        <v>98.95</v>
      </c>
      <c r="H778" s="2" t="s">
        <v>765</v>
      </c>
      <c r="I778" s="4">
        <f>[1]Sheet1!I778</f>
        <v>3488</v>
      </c>
      <c r="J778" s="3" t="str">
        <f t="shared" si="25"/>
        <v>3361_A1C1.webp</v>
      </c>
      <c r="K778" s="5">
        <f>Sheet4!E778</f>
        <v>24</v>
      </c>
      <c r="L778" s="5"/>
      <c r="M778" s="4"/>
    </row>
    <row r="779" spans="1:13" x14ac:dyDescent="0.25">
      <c r="A779" t="s">
        <v>2604</v>
      </c>
      <c r="B779" t="s">
        <v>3512</v>
      </c>
      <c r="C779" s="25">
        <v>3362</v>
      </c>
      <c r="D779" s="28">
        <v>3362</v>
      </c>
      <c r="E779" s="2" t="str">
        <f t="shared" si="26"/>
        <v>Same</v>
      </c>
      <c r="F779" s="6" t="s">
        <v>1869</v>
      </c>
      <c r="G779" s="3">
        <v>37.950000000000003</v>
      </c>
      <c r="H779" s="2" t="s">
        <v>766</v>
      </c>
      <c r="I779" s="4">
        <f>[1]Sheet1!I779</f>
        <v>84</v>
      </c>
      <c r="J779" s="3" t="str">
        <f t="shared" si="25"/>
        <v>3362_A1C1.webp</v>
      </c>
      <c r="K779" s="5">
        <f>Sheet4!E779</f>
        <v>12</v>
      </c>
      <c r="L779" s="5"/>
      <c r="M779" s="4"/>
    </row>
    <row r="780" spans="1:13" x14ac:dyDescent="0.25">
      <c r="A780" t="s">
        <v>3664</v>
      </c>
      <c r="B780" t="s">
        <v>3704</v>
      </c>
      <c r="C780" s="25">
        <v>3366</v>
      </c>
      <c r="D780" s="28">
        <v>3366</v>
      </c>
      <c r="E780" s="2" t="str">
        <f t="shared" si="26"/>
        <v>Same</v>
      </c>
      <c r="F780" s="6" t="s">
        <v>1874</v>
      </c>
      <c r="G780">
        <v>98.95</v>
      </c>
      <c r="H780" s="2" t="s">
        <v>767</v>
      </c>
      <c r="I780" s="4">
        <f>[1]Sheet1!I780</f>
        <v>38</v>
      </c>
      <c r="J780" s="3" t="str">
        <f t="shared" si="25"/>
        <v>3366_A1C1.webp</v>
      </c>
      <c r="K780" s="5">
        <f>Sheet4!E780</f>
        <v>24</v>
      </c>
      <c r="L780" s="5"/>
      <c r="M780" s="4"/>
    </row>
    <row r="781" spans="1:13" x14ac:dyDescent="0.25">
      <c r="A781" t="s">
        <v>2604</v>
      </c>
      <c r="B781" t="s">
        <v>3512</v>
      </c>
      <c r="C781" s="25">
        <v>3376</v>
      </c>
      <c r="D781" s="28">
        <v>3376</v>
      </c>
      <c r="E781" s="2" t="str">
        <f t="shared" si="26"/>
        <v>Same</v>
      </c>
      <c r="F781" s="6" t="s">
        <v>1869</v>
      </c>
      <c r="G781" s="3">
        <v>28.95</v>
      </c>
      <c r="H781" s="2" t="s">
        <v>768</v>
      </c>
      <c r="I781" s="4">
        <f>[1]Sheet1!I781</f>
        <v>68</v>
      </c>
      <c r="J781" s="3" t="str">
        <f t="shared" si="25"/>
        <v>3376_A1C1.webp</v>
      </c>
      <c r="K781" s="5">
        <f>Sheet4!E781</f>
        <v>12</v>
      </c>
      <c r="L781" s="5"/>
      <c r="M781" s="4"/>
    </row>
    <row r="782" spans="1:13" x14ac:dyDescent="0.25">
      <c r="A782" t="s">
        <v>2604</v>
      </c>
      <c r="B782" t="s">
        <v>3512</v>
      </c>
      <c r="C782" s="25">
        <v>3377</v>
      </c>
      <c r="D782" s="28">
        <v>3377</v>
      </c>
      <c r="E782" s="2" t="str">
        <f t="shared" si="26"/>
        <v>Same</v>
      </c>
      <c r="F782" s="6" t="s">
        <v>1869</v>
      </c>
      <c r="G782" s="3">
        <v>37.950000000000003</v>
      </c>
      <c r="H782" s="2" t="s">
        <v>769</v>
      </c>
      <c r="I782" s="4">
        <f>[1]Sheet1!I782</f>
        <v>58</v>
      </c>
      <c r="J782" s="3" t="str">
        <f t="shared" si="25"/>
        <v>3377_A1C1.webp</v>
      </c>
      <c r="K782" s="5">
        <f>Sheet4!E782</f>
        <v>12</v>
      </c>
      <c r="L782" s="5"/>
      <c r="M782" s="4"/>
    </row>
    <row r="783" spans="1:13" x14ac:dyDescent="0.25">
      <c r="A783" t="s">
        <v>3650</v>
      </c>
      <c r="B783" t="s">
        <v>3678</v>
      </c>
      <c r="C783" s="25">
        <v>3379</v>
      </c>
      <c r="D783" s="28">
        <v>3379</v>
      </c>
      <c r="E783" s="2" t="str">
        <f t="shared" si="26"/>
        <v>Same</v>
      </c>
      <c r="F783" s="6" t="s">
        <v>1869</v>
      </c>
      <c r="G783" s="3">
        <v>98.95</v>
      </c>
      <c r="H783" s="2" t="s">
        <v>770</v>
      </c>
      <c r="I783" s="4">
        <f>[1]Sheet1!I783</f>
        <v>1574</v>
      </c>
      <c r="J783" s="3" t="str">
        <f t="shared" si="25"/>
        <v>3379_A1C1.webp</v>
      </c>
      <c r="K783" s="5">
        <f>Sheet4!E783</f>
        <v>24</v>
      </c>
      <c r="L783" s="5"/>
      <c r="M783" s="4"/>
    </row>
    <row r="784" spans="1:13" x14ac:dyDescent="0.25">
      <c r="A784" t="s">
        <v>3650</v>
      </c>
      <c r="B784" t="s">
        <v>3678</v>
      </c>
      <c r="C784" s="25">
        <v>3380</v>
      </c>
      <c r="D784" s="28">
        <v>3380</v>
      </c>
      <c r="E784" s="2" t="str">
        <f t="shared" si="26"/>
        <v>Same</v>
      </c>
      <c r="F784" s="6" t="s">
        <v>1874</v>
      </c>
      <c r="G784" s="3">
        <v>142.94999999999999</v>
      </c>
      <c r="H784" s="2" t="s">
        <v>771</v>
      </c>
      <c r="I784" s="4">
        <f>[1]Sheet1!I784</f>
        <v>1447</v>
      </c>
      <c r="J784" s="3" t="str">
        <f t="shared" si="25"/>
        <v>3380_A1C1.webp</v>
      </c>
      <c r="K784" s="5">
        <f>Sheet4!E784</f>
        <v>24</v>
      </c>
      <c r="L784" s="5"/>
      <c r="M784" s="4"/>
    </row>
    <row r="785" spans="1:13" x14ac:dyDescent="0.25">
      <c r="A785" t="s">
        <v>3664</v>
      </c>
      <c r="B785" t="s">
        <v>3704</v>
      </c>
      <c r="C785" s="25">
        <v>3381</v>
      </c>
      <c r="D785" s="28">
        <v>3381</v>
      </c>
      <c r="E785" s="2" t="str">
        <f t="shared" si="26"/>
        <v>Same</v>
      </c>
      <c r="F785" s="6" t="s">
        <v>1874</v>
      </c>
      <c r="G785" s="3">
        <v>82.95</v>
      </c>
      <c r="H785" s="2" t="s">
        <v>772</v>
      </c>
      <c r="I785" s="4">
        <f>[1]Sheet1!I785</f>
        <v>344</v>
      </c>
      <c r="J785" s="3" t="str">
        <f t="shared" si="25"/>
        <v>3381_A1C1.webp</v>
      </c>
      <c r="K785" s="5">
        <f>Sheet4!E785</f>
        <v>24</v>
      </c>
      <c r="L785" s="5"/>
      <c r="M785" s="4"/>
    </row>
    <row r="786" spans="1:13" x14ac:dyDescent="0.25">
      <c r="A786" t="s">
        <v>3664</v>
      </c>
      <c r="B786" t="s">
        <v>3704</v>
      </c>
      <c r="C786" s="25">
        <v>3387</v>
      </c>
      <c r="D786" s="28">
        <v>3387</v>
      </c>
      <c r="E786" s="2" t="str">
        <f t="shared" si="26"/>
        <v>Same</v>
      </c>
      <c r="F786" s="6" t="s">
        <v>1839</v>
      </c>
      <c r="G786">
        <v>41.95</v>
      </c>
      <c r="H786" s="2" t="s">
        <v>773</v>
      </c>
      <c r="I786" s="4">
        <f>[1]Sheet1!I786</f>
        <v>93</v>
      </c>
      <c r="J786" s="3" t="str">
        <f t="shared" si="25"/>
        <v>3387_A1C1.webp</v>
      </c>
      <c r="K786" s="5">
        <f>Sheet4!E786</f>
        <v>48</v>
      </c>
      <c r="L786" s="5"/>
      <c r="M786" s="4"/>
    </row>
    <row r="787" spans="1:13" x14ac:dyDescent="0.25">
      <c r="A787" t="s">
        <v>3664</v>
      </c>
      <c r="B787" t="s">
        <v>3704</v>
      </c>
      <c r="C787" s="25">
        <v>3388</v>
      </c>
      <c r="D787" s="28">
        <v>3388</v>
      </c>
      <c r="E787" s="2" t="str">
        <f t="shared" si="26"/>
        <v>Same</v>
      </c>
      <c r="F787" s="6" t="s">
        <v>1857</v>
      </c>
      <c r="G787" s="3">
        <v>31.5</v>
      </c>
      <c r="H787" s="2" t="s">
        <v>774</v>
      </c>
      <c r="I787" s="4">
        <f>[1]Sheet1!I787</f>
        <v>82</v>
      </c>
      <c r="J787" s="3" t="str">
        <f t="shared" si="25"/>
        <v>3388_A1C1.webp</v>
      </c>
      <c r="K787" s="5">
        <f>Sheet4!E787</f>
        <v>24</v>
      </c>
      <c r="L787" s="5"/>
      <c r="M787" s="4"/>
    </row>
    <row r="788" spans="1:13" x14ac:dyDescent="0.25">
      <c r="A788" t="s">
        <v>2112</v>
      </c>
      <c r="B788" t="s">
        <v>2232</v>
      </c>
      <c r="C788" s="25">
        <v>3401</v>
      </c>
      <c r="D788" s="28">
        <v>3401</v>
      </c>
      <c r="E788" s="2" t="str">
        <f t="shared" si="26"/>
        <v>Same</v>
      </c>
      <c r="F788" s="6" t="s">
        <v>1849</v>
      </c>
      <c r="G788" s="3">
        <v>65.95</v>
      </c>
      <c r="H788" s="2" t="s">
        <v>775</v>
      </c>
      <c r="I788" s="4">
        <f>[1]Sheet1!I788</f>
        <v>394</v>
      </c>
      <c r="J788" s="3" t="str">
        <f t="shared" si="25"/>
        <v>3401_A1C1.webp</v>
      </c>
      <c r="K788" s="5">
        <f>Sheet4!E788</f>
        <v>24</v>
      </c>
      <c r="L788" s="5"/>
      <c r="M788" s="4"/>
    </row>
    <row r="789" spans="1:13" x14ac:dyDescent="0.25">
      <c r="A789" t="s">
        <v>2112</v>
      </c>
      <c r="B789" t="s">
        <v>2232</v>
      </c>
      <c r="C789" s="25">
        <v>3402</v>
      </c>
      <c r="D789" s="28">
        <v>3402</v>
      </c>
      <c r="E789" s="2" t="str">
        <f t="shared" si="26"/>
        <v>Same</v>
      </c>
      <c r="F789" s="6" t="s">
        <v>1946</v>
      </c>
      <c r="G789" s="3">
        <v>80.95</v>
      </c>
      <c r="H789" s="2" t="s">
        <v>776</v>
      </c>
      <c r="I789" s="4">
        <f>[1]Sheet1!I789</f>
        <v>270</v>
      </c>
      <c r="J789" s="3" t="str">
        <f t="shared" si="25"/>
        <v>3402_A1C1.webp</v>
      </c>
      <c r="K789" s="5">
        <f>Sheet4!E789</f>
        <v>12</v>
      </c>
      <c r="L789" s="5"/>
      <c r="M789" s="4"/>
    </row>
    <row r="790" spans="1:13" x14ac:dyDescent="0.25">
      <c r="A790" t="s">
        <v>2112</v>
      </c>
      <c r="B790" t="s">
        <v>2232</v>
      </c>
      <c r="C790" s="25">
        <v>3403</v>
      </c>
      <c r="D790" s="28">
        <v>3403</v>
      </c>
      <c r="E790" s="2" t="str">
        <f t="shared" si="26"/>
        <v>Same</v>
      </c>
      <c r="F790" s="6" t="s">
        <v>1948</v>
      </c>
      <c r="G790" s="3">
        <v>127.95</v>
      </c>
      <c r="H790" s="2" t="s">
        <v>777</v>
      </c>
      <c r="I790" s="4">
        <f>[1]Sheet1!I790</f>
        <v>0</v>
      </c>
      <c r="J790" s="3" t="str">
        <f t="shared" si="25"/>
        <v>3403_A1C1.webp</v>
      </c>
      <c r="K790" s="5">
        <f>Sheet4!E790</f>
        <v>12</v>
      </c>
      <c r="L790" s="5"/>
      <c r="M790" s="4"/>
    </row>
    <row r="791" spans="1:13" x14ac:dyDescent="0.25">
      <c r="A791" t="s">
        <v>3737</v>
      </c>
      <c r="B791" t="s">
        <v>3738</v>
      </c>
      <c r="C791" s="25">
        <v>3462</v>
      </c>
      <c r="D791" s="28">
        <v>3462</v>
      </c>
      <c r="E791" s="2" t="str">
        <f t="shared" si="26"/>
        <v>Same</v>
      </c>
      <c r="F791" s="6" t="s">
        <v>1949</v>
      </c>
      <c r="G791" s="3">
        <v>17.5</v>
      </c>
      <c r="H791" s="2" t="s">
        <v>778</v>
      </c>
      <c r="I791" s="4">
        <f>[1]Sheet1!I791</f>
        <v>0</v>
      </c>
      <c r="J791" s="3" t="str">
        <f t="shared" si="25"/>
        <v>3462_A1C1.webp</v>
      </c>
      <c r="K791" s="5">
        <f>Sheet4!E791</f>
        <v>10</v>
      </c>
      <c r="L791" s="5"/>
      <c r="M791" s="4"/>
    </row>
    <row r="792" spans="1:13" x14ac:dyDescent="0.25">
      <c r="A792" t="s">
        <v>3737</v>
      </c>
      <c r="B792" t="s">
        <v>3738</v>
      </c>
      <c r="C792" s="25">
        <v>3464</v>
      </c>
      <c r="D792" s="28">
        <v>3464</v>
      </c>
      <c r="E792" s="2" t="str">
        <f t="shared" si="26"/>
        <v>Same</v>
      </c>
      <c r="F792" s="6" t="s">
        <v>1949</v>
      </c>
      <c r="G792" s="3">
        <v>17.5</v>
      </c>
      <c r="H792" s="2" t="s">
        <v>779</v>
      </c>
      <c r="I792" s="4">
        <f>[1]Sheet1!I792</f>
        <v>86</v>
      </c>
      <c r="J792" s="3" t="str">
        <f t="shared" si="25"/>
        <v>3464_A1C1.webp</v>
      </c>
      <c r="K792" s="5">
        <f>Sheet4!E792</f>
        <v>10</v>
      </c>
      <c r="L792" s="5"/>
      <c r="M792" s="4"/>
    </row>
    <row r="793" spans="1:13" x14ac:dyDescent="0.25">
      <c r="A793" t="s">
        <v>3737</v>
      </c>
      <c r="B793" t="s">
        <v>3738</v>
      </c>
      <c r="C793" s="25">
        <v>3467</v>
      </c>
      <c r="D793" s="28">
        <v>3467</v>
      </c>
      <c r="E793" s="2" t="str">
        <f t="shared" si="26"/>
        <v>Same</v>
      </c>
      <c r="F793" s="6" t="s">
        <v>1949</v>
      </c>
      <c r="G793" s="3">
        <v>17.5</v>
      </c>
      <c r="H793" s="2" t="s">
        <v>780</v>
      </c>
      <c r="I793" s="4">
        <f>[1]Sheet1!I793</f>
        <v>29</v>
      </c>
      <c r="J793" s="3" t="str">
        <f t="shared" si="25"/>
        <v>3467_A1C1.webp</v>
      </c>
      <c r="K793" s="5">
        <f>Sheet4!E793</f>
        <v>10</v>
      </c>
      <c r="L793" s="5"/>
      <c r="M793" s="4"/>
    </row>
    <row r="794" spans="1:13" x14ac:dyDescent="0.25">
      <c r="A794" t="s">
        <v>3650</v>
      </c>
      <c r="B794" t="s">
        <v>3744</v>
      </c>
      <c r="C794" s="25">
        <v>3519</v>
      </c>
      <c r="D794" s="28">
        <v>3519</v>
      </c>
      <c r="E794" s="2" t="str">
        <f t="shared" si="26"/>
        <v>Same</v>
      </c>
      <c r="F794" s="6" t="s">
        <v>1895</v>
      </c>
      <c r="G794" s="3">
        <v>141.94999999999999</v>
      </c>
      <c r="H794" s="2" t="s">
        <v>781</v>
      </c>
      <c r="I794" s="4">
        <f>[1]Sheet1!I794</f>
        <v>540</v>
      </c>
      <c r="J794" s="3" t="str">
        <f t="shared" si="25"/>
        <v>3519_A1C1.webp</v>
      </c>
      <c r="K794" s="5">
        <f>Sheet4!E794</f>
        <v>20</v>
      </c>
      <c r="L794" s="5"/>
      <c r="M794" s="4"/>
    </row>
    <row r="795" spans="1:13" x14ac:dyDescent="0.25">
      <c r="A795" t="s">
        <v>3650</v>
      </c>
      <c r="B795" t="s">
        <v>3744</v>
      </c>
      <c r="C795" s="25">
        <v>3520</v>
      </c>
      <c r="D795" s="28">
        <v>3520</v>
      </c>
      <c r="E795" s="2" t="str">
        <f t="shared" si="26"/>
        <v>Same</v>
      </c>
      <c r="F795" s="6" t="s">
        <v>1849</v>
      </c>
      <c r="G795" s="3">
        <v>321.5</v>
      </c>
      <c r="H795" s="2" t="s">
        <v>782</v>
      </c>
      <c r="I795" s="4">
        <f>[1]Sheet1!I795</f>
        <v>0</v>
      </c>
      <c r="J795" s="3" t="str">
        <f t="shared" si="25"/>
        <v>3520_A1C1.webp</v>
      </c>
      <c r="K795" s="5">
        <f>Sheet4!E795</f>
        <v>24</v>
      </c>
      <c r="L795" s="5"/>
      <c r="M795" s="4"/>
    </row>
    <row r="796" spans="1:13" x14ac:dyDescent="0.25">
      <c r="A796" t="s">
        <v>3650</v>
      </c>
      <c r="B796" t="s">
        <v>3744</v>
      </c>
      <c r="C796" s="25">
        <v>3521</v>
      </c>
      <c r="D796" s="28">
        <v>3521</v>
      </c>
      <c r="E796" s="2" t="str">
        <f t="shared" si="26"/>
        <v>Same</v>
      </c>
      <c r="F796" s="6" t="s">
        <v>1849</v>
      </c>
      <c r="G796" s="3">
        <v>127.95</v>
      </c>
      <c r="H796" s="2" t="s">
        <v>783</v>
      </c>
      <c r="I796" s="4">
        <f>[1]Sheet1!I796</f>
        <v>1537</v>
      </c>
      <c r="J796" s="3" t="str">
        <f t="shared" si="25"/>
        <v>3521_A1C1.webp</v>
      </c>
      <c r="K796" s="5">
        <f>Sheet4!E796</f>
        <v>24</v>
      </c>
      <c r="L796" s="5"/>
      <c r="M796" s="4"/>
    </row>
    <row r="797" spans="1:13" x14ac:dyDescent="0.25">
      <c r="A797" t="s">
        <v>3650</v>
      </c>
      <c r="B797" t="s">
        <v>3744</v>
      </c>
      <c r="C797" s="25">
        <v>3523</v>
      </c>
      <c r="D797" s="28">
        <v>3523</v>
      </c>
      <c r="E797" s="2" t="str">
        <f t="shared" si="26"/>
        <v>Same</v>
      </c>
      <c r="F797" s="6" t="s">
        <v>1849</v>
      </c>
      <c r="G797" s="3">
        <v>103.5</v>
      </c>
      <c r="H797" s="2" t="s">
        <v>784</v>
      </c>
      <c r="I797" s="4">
        <f>[1]Sheet1!I797</f>
        <v>5133</v>
      </c>
      <c r="J797" s="3" t="str">
        <f t="shared" si="25"/>
        <v>3523_A1C1.webp</v>
      </c>
      <c r="K797" s="5">
        <f>Sheet4!E797</f>
        <v>20</v>
      </c>
      <c r="L797" s="5"/>
      <c r="M797" s="4"/>
    </row>
    <row r="798" spans="1:13" x14ac:dyDescent="0.25">
      <c r="A798" t="s">
        <v>3650</v>
      </c>
      <c r="B798" t="s">
        <v>3744</v>
      </c>
      <c r="C798" s="25">
        <v>3524</v>
      </c>
      <c r="D798" s="28">
        <v>3524</v>
      </c>
      <c r="E798" s="2" t="str">
        <f t="shared" si="26"/>
        <v>Same</v>
      </c>
      <c r="F798" s="6" t="s">
        <v>1874</v>
      </c>
      <c r="G798" s="3">
        <v>88.95</v>
      </c>
      <c r="H798" s="2" t="s">
        <v>785</v>
      </c>
      <c r="I798" s="4">
        <f>[1]Sheet1!I798</f>
        <v>606</v>
      </c>
      <c r="J798" s="3" t="str">
        <f t="shared" si="25"/>
        <v>3524_A1C1.webp</v>
      </c>
      <c r="K798" s="5">
        <f>Sheet4!E798</f>
        <v>12</v>
      </c>
      <c r="L798" s="5"/>
      <c r="M798" s="4"/>
    </row>
    <row r="799" spans="1:13" x14ac:dyDescent="0.25">
      <c r="A799" t="s">
        <v>3737</v>
      </c>
      <c r="B799" t="s">
        <v>3783</v>
      </c>
      <c r="C799" s="28">
        <v>3526</v>
      </c>
      <c r="D799" s="28">
        <v>3526</v>
      </c>
      <c r="E799" s="2" t="str">
        <f t="shared" si="26"/>
        <v>Same</v>
      </c>
      <c r="F799" s="2" t="s">
        <v>1902</v>
      </c>
      <c r="G799" s="3"/>
      <c r="H799" s="2" t="s">
        <v>5361</v>
      </c>
      <c r="I799" s="4">
        <f>[1]Sheet1!I799</f>
        <v>304</v>
      </c>
      <c r="J799" s="3" t="str">
        <f t="shared" si="25"/>
        <v>3526_A1C1.webp</v>
      </c>
      <c r="K799" s="5">
        <f>Sheet4!E799</f>
        <v>12</v>
      </c>
      <c r="L799" s="5" t="s">
        <v>5278</v>
      </c>
      <c r="M799" s="4"/>
    </row>
    <row r="800" spans="1:13" x14ac:dyDescent="0.25">
      <c r="A800" t="s">
        <v>3737</v>
      </c>
      <c r="B800" t="s">
        <v>3783</v>
      </c>
      <c r="C800" s="28">
        <v>3527</v>
      </c>
      <c r="D800" s="28">
        <v>3527</v>
      </c>
      <c r="E800" s="2" t="str">
        <f t="shared" si="26"/>
        <v>Same</v>
      </c>
      <c r="F800" s="2" t="s">
        <v>5363</v>
      </c>
      <c r="G800" s="3"/>
      <c r="H800" s="2" t="s">
        <v>5362</v>
      </c>
      <c r="I800" s="4">
        <f>[1]Sheet1!I800</f>
        <v>312</v>
      </c>
      <c r="J800" s="3" t="str">
        <f t="shared" si="25"/>
        <v>3527_A1C1.webp</v>
      </c>
      <c r="K800" s="5">
        <f>Sheet4!E800</f>
        <v>12</v>
      </c>
      <c r="L800" s="5" t="s">
        <v>5278</v>
      </c>
      <c r="M800" s="4"/>
    </row>
    <row r="801" spans="1:13" x14ac:dyDescent="0.25">
      <c r="A801" t="s">
        <v>2518</v>
      </c>
      <c r="B801" t="s">
        <v>3482</v>
      </c>
      <c r="C801" s="25">
        <v>3541</v>
      </c>
      <c r="D801" s="28">
        <v>3541</v>
      </c>
      <c r="E801" s="2" t="str">
        <f t="shared" si="26"/>
        <v>Same</v>
      </c>
      <c r="F801" s="6" t="s">
        <v>1881</v>
      </c>
      <c r="G801" s="3">
        <v>34.65</v>
      </c>
      <c r="H801" s="2" t="s">
        <v>786</v>
      </c>
      <c r="I801" s="4">
        <f>[1]Sheet1!I801</f>
        <v>1132</v>
      </c>
      <c r="J801" s="3" t="str">
        <f t="shared" si="25"/>
        <v>3541_A1C1.webp</v>
      </c>
      <c r="K801" s="5">
        <f>Sheet4!E801</f>
        <v>12</v>
      </c>
      <c r="L801" s="5"/>
      <c r="M801" s="4"/>
    </row>
    <row r="802" spans="1:13" x14ac:dyDescent="0.25">
      <c r="A802" t="s">
        <v>2518</v>
      </c>
      <c r="B802" t="s">
        <v>3482</v>
      </c>
      <c r="C802" s="25">
        <v>3548</v>
      </c>
      <c r="D802" s="28">
        <v>3548</v>
      </c>
      <c r="E802" s="2" t="str">
        <f t="shared" si="26"/>
        <v>Same</v>
      </c>
      <c r="F802" s="6" t="s">
        <v>1881</v>
      </c>
      <c r="G802" s="3">
        <v>37.65</v>
      </c>
      <c r="H802" s="2" t="s">
        <v>787</v>
      </c>
      <c r="I802" s="4">
        <f>[1]Sheet1!I802</f>
        <v>724</v>
      </c>
      <c r="J802" s="3" t="str">
        <f t="shared" si="25"/>
        <v>3548_A1C1.webp</v>
      </c>
      <c r="K802" s="5">
        <f>Sheet4!E802</f>
        <v>12</v>
      </c>
      <c r="L802" s="5"/>
      <c r="M802" s="4"/>
    </row>
    <row r="803" spans="1:13" x14ac:dyDescent="0.25">
      <c r="A803" t="s">
        <v>2518</v>
      </c>
      <c r="B803" t="s">
        <v>3482</v>
      </c>
      <c r="C803" s="25">
        <v>3550</v>
      </c>
      <c r="D803" s="28">
        <v>3550</v>
      </c>
      <c r="E803" s="2" t="str">
        <f t="shared" si="26"/>
        <v>Same</v>
      </c>
      <c r="F803" s="6" t="s">
        <v>1876</v>
      </c>
      <c r="G803" s="3">
        <v>44.65</v>
      </c>
      <c r="H803" s="2" t="s">
        <v>654</v>
      </c>
      <c r="I803" s="4">
        <f>[1]Sheet1!I803</f>
        <v>4442</v>
      </c>
      <c r="J803" s="3" t="str">
        <f t="shared" si="25"/>
        <v>3550_A1C1.webp</v>
      </c>
      <c r="K803" s="5">
        <f>Sheet4!E803</f>
        <v>24</v>
      </c>
      <c r="L803" s="5"/>
      <c r="M803" s="4"/>
    </row>
    <row r="804" spans="1:13" x14ac:dyDescent="0.25">
      <c r="A804" t="s">
        <v>2518</v>
      </c>
      <c r="B804" t="s">
        <v>3482</v>
      </c>
      <c r="C804" s="25">
        <v>3551</v>
      </c>
      <c r="D804" s="28">
        <v>3551</v>
      </c>
      <c r="E804" s="2" t="str">
        <f t="shared" si="26"/>
        <v>Same</v>
      </c>
      <c r="F804" s="6" t="s">
        <v>1876</v>
      </c>
      <c r="G804" s="3">
        <v>44.65</v>
      </c>
      <c r="H804" s="2" t="s">
        <v>653</v>
      </c>
      <c r="I804" s="4">
        <f>[1]Sheet1!I804</f>
        <v>4279</v>
      </c>
      <c r="J804" s="3" t="str">
        <f t="shared" si="25"/>
        <v>3551_A1C1.webp</v>
      </c>
      <c r="K804" s="5">
        <f>Sheet4!E804</f>
        <v>24</v>
      </c>
      <c r="L804" s="5"/>
      <c r="M804" s="4"/>
    </row>
    <row r="805" spans="1:13" x14ac:dyDescent="0.25">
      <c r="A805" t="s">
        <v>2518</v>
      </c>
      <c r="B805" t="s">
        <v>3482</v>
      </c>
      <c r="C805" s="25">
        <v>3555</v>
      </c>
      <c r="D805" s="28">
        <v>3555</v>
      </c>
      <c r="E805" s="2" t="str">
        <f t="shared" si="26"/>
        <v>Same</v>
      </c>
      <c r="F805" s="6" t="s">
        <v>1876</v>
      </c>
      <c r="G805" s="3">
        <v>47.95</v>
      </c>
      <c r="H805" s="2" t="s">
        <v>788</v>
      </c>
      <c r="I805" s="4">
        <f>[1]Sheet1!I805</f>
        <v>314</v>
      </c>
      <c r="J805" s="3" t="str">
        <f t="shared" si="25"/>
        <v>3555_A1C1.webp</v>
      </c>
      <c r="K805" s="5">
        <f>Sheet4!E805</f>
        <v>24</v>
      </c>
      <c r="L805" s="5"/>
      <c r="M805" s="4"/>
    </row>
    <row r="806" spans="1:13" x14ac:dyDescent="0.25">
      <c r="A806" t="s">
        <v>2518</v>
      </c>
      <c r="B806" t="s">
        <v>3482</v>
      </c>
      <c r="C806" s="25">
        <v>3560</v>
      </c>
      <c r="D806" s="28">
        <v>3560</v>
      </c>
      <c r="E806" s="2" t="str">
        <f t="shared" si="26"/>
        <v>Same</v>
      </c>
      <c r="F806" s="6" t="s">
        <v>1927</v>
      </c>
      <c r="G806" s="3">
        <v>29.95</v>
      </c>
      <c r="H806" s="2" t="s">
        <v>789</v>
      </c>
      <c r="I806" s="4">
        <f>[1]Sheet1!I806</f>
        <v>1435</v>
      </c>
      <c r="J806" s="3" t="str">
        <f t="shared" si="25"/>
        <v>3560_A1C1.webp</v>
      </c>
      <c r="K806" s="5">
        <f>Sheet4!E806</f>
        <v>18</v>
      </c>
      <c r="L806" s="5"/>
      <c r="M806" s="4"/>
    </row>
    <row r="807" spans="1:13" x14ac:dyDescent="0.25">
      <c r="A807" t="s">
        <v>2518</v>
      </c>
      <c r="B807" t="s">
        <v>3482</v>
      </c>
      <c r="C807" s="25">
        <v>3565</v>
      </c>
      <c r="D807" s="28">
        <v>3565</v>
      </c>
      <c r="E807" s="2" t="str">
        <f t="shared" si="26"/>
        <v>Same</v>
      </c>
      <c r="F807" s="6" t="s">
        <v>1876</v>
      </c>
      <c r="G807" s="3">
        <v>47.95</v>
      </c>
      <c r="H807" s="2" t="s">
        <v>790</v>
      </c>
      <c r="I807" s="4">
        <f>[1]Sheet1!I807</f>
        <v>123</v>
      </c>
      <c r="J807" s="3" t="str">
        <f t="shared" si="25"/>
        <v>3565_A1C1.webp</v>
      </c>
      <c r="K807" s="5">
        <f>Sheet4!E807</f>
        <v>24</v>
      </c>
      <c r="L807" s="5"/>
      <c r="M807" s="4"/>
    </row>
    <row r="808" spans="1:13" x14ac:dyDescent="0.25">
      <c r="A808" t="s">
        <v>2518</v>
      </c>
      <c r="B808" t="s">
        <v>3482</v>
      </c>
      <c r="C808" s="25">
        <v>3567</v>
      </c>
      <c r="D808" s="28">
        <v>3567</v>
      </c>
      <c r="E808" s="2" t="str">
        <f t="shared" si="26"/>
        <v>Same</v>
      </c>
      <c r="F808" s="6" t="s">
        <v>1876</v>
      </c>
      <c r="G808" s="3">
        <v>47.95</v>
      </c>
      <c r="H808" s="2" t="s">
        <v>791</v>
      </c>
      <c r="I808" s="4">
        <f>[1]Sheet1!I808</f>
        <v>361</v>
      </c>
      <c r="J808" s="3" t="str">
        <f t="shared" si="25"/>
        <v>3567_A1C1.webp</v>
      </c>
      <c r="K808" s="5">
        <f>Sheet4!E808</f>
        <v>24</v>
      </c>
      <c r="L808" s="5"/>
      <c r="M808" s="4"/>
    </row>
    <row r="809" spans="1:13" x14ac:dyDescent="0.25">
      <c r="A809" t="s">
        <v>2518</v>
      </c>
      <c r="B809" t="s">
        <v>3482</v>
      </c>
      <c r="C809" s="25">
        <v>3568</v>
      </c>
      <c r="D809" s="28">
        <v>3568</v>
      </c>
      <c r="E809" s="2" t="str">
        <f t="shared" si="26"/>
        <v>Same</v>
      </c>
      <c r="F809" s="6" t="s">
        <v>1881</v>
      </c>
      <c r="G809" s="3">
        <v>34.65</v>
      </c>
      <c r="H809" s="2" t="s">
        <v>792</v>
      </c>
      <c r="I809" s="4">
        <f>[1]Sheet1!I809</f>
        <v>1683</v>
      </c>
      <c r="J809" s="3" t="str">
        <f t="shared" si="25"/>
        <v>3568_A1C1.webp</v>
      </c>
      <c r="K809" s="5">
        <f>Sheet4!E809</f>
        <v>12</v>
      </c>
      <c r="L809" s="5"/>
      <c r="M809" s="4"/>
    </row>
    <row r="810" spans="1:13" x14ac:dyDescent="0.25">
      <c r="A810" t="s">
        <v>2518</v>
      </c>
      <c r="B810" t="s">
        <v>3482</v>
      </c>
      <c r="C810" s="25">
        <v>3573</v>
      </c>
      <c r="D810" s="28">
        <v>3573</v>
      </c>
      <c r="E810" s="2" t="str">
        <f t="shared" si="26"/>
        <v>Same</v>
      </c>
      <c r="F810" s="6" t="s">
        <v>1950</v>
      </c>
      <c r="G810" s="3">
        <v>18.95</v>
      </c>
      <c r="H810" s="2" t="s">
        <v>793</v>
      </c>
      <c r="I810" s="4">
        <f>[1]Sheet1!I810</f>
        <v>2</v>
      </c>
      <c r="J810" s="3" t="str">
        <f t="shared" si="25"/>
        <v>3573_A1C1.webp</v>
      </c>
      <c r="K810" s="5">
        <f>Sheet4!E810</f>
        <v>12</v>
      </c>
      <c r="L810" s="5"/>
      <c r="M810" s="4"/>
    </row>
    <row r="811" spans="1:13" x14ac:dyDescent="0.25">
      <c r="A811" t="s">
        <v>2518</v>
      </c>
      <c r="B811" t="s">
        <v>3482</v>
      </c>
      <c r="C811" s="25">
        <v>3574</v>
      </c>
      <c r="D811" s="28">
        <v>3574</v>
      </c>
      <c r="E811" s="2" t="str">
        <f t="shared" si="26"/>
        <v>Same</v>
      </c>
      <c r="F811" s="6" t="s">
        <v>1950</v>
      </c>
      <c r="G811" s="3">
        <v>18.95</v>
      </c>
      <c r="H811" s="2" t="s">
        <v>794</v>
      </c>
      <c r="I811" s="4">
        <f>[1]Sheet1!I811</f>
        <v>0</v>
      </c>
      <c r="J811" s="3" t="str">
        <f t="shared" si="25"/>
        <v>3574_A1C1.webp</v>
      </c>
      <c r="K811" s="5">
        <f>Sheet4!E811</f>
        <v>12</v>
      </c>
      <c r="L811" s="5"/>
      <c r="M811" s="4"/>
    </row>
    <row r="812" spans="1:13" x14ac:dyDescent="0.25">
      <c r="A812" t="s">
        <v>2944</v>
      </c>
      <c r="B812" t="s">
        <v>2951</v>
      </c>
      <c r="C812" s="25">
        <v>3585</v>
      </c>
      <c r="D812" s="28">
        <v>3585</v>
      </c>
      <c r="E812" s="2" t="str">
        <f t="shared" si="26"/>
        <v>Same</v>
      </c>
      <c r="F812" s="6" t="s">
        <v>1899</v>
      </c>
      <c r="H812" s="2" t="s">
        <v>795</v>
      </c>
      <c r="I812" s="4">
        <f>[1]Sheet1!I812</f>
        <v>0</v>
      </c>
      <c r="J812" s="3" t="str">
        <f t="shared" si="25"/>
        <v>3585_A1C1.webp</v>
      </c>
      <c r="K812" s="5">
        <f>Sheet4!E812</f>
        <v>6</v>
      </c>
      <c r="L812" s="5"/>
      <c r="M812" s="4"/>
    </row>
    <row r="813" spans="1:13" x14ac:dyDescent="0.25">
      <c r="A813" t="s">
        <v>2944</v>
      </c>
      <c r="B813" t="s">
        <v>2951</v>
      </c>
      <c r="C813" s="25">
        <v>3590</v>
      </c>
      <c r="D813" s="28">
        <v>3590</v>
      </c>
      <c r="E813" s="2" t="str">
        <f t="shared" si="26"/>
        <v>Same</v>
      </c>
      <c r="F813" s="6" t="s">
        <v>1899</v>
      </c>
      <c r="G813" s="3">
        <v>34.65</v>
      </c>
      <c r="H813" s="2" t="s">
        <v>796</v>
      </c>
      <c r="I813" s="4">
        <f>[1]Sheet1!I813</f>
        <v>74</v>
      </c>
      <c r="J813" s="3" t="str">
        <f t="shared" si="25"/>
        <v>3590_A1C1.webp</v>
      </c>
      <c r="K813" s="5">
        <f>Sheet4!E813</f>
        <v>6</v>
      </c>
      <c r="L813" s="5"/>
      <c r="M813" s="4"/>
    </row>
    <row r="814" spans="1:13" x14ac:dyDescent="0.25">
      <c r="A814" t="s">
        <v>3258</v>
      </c>
      <c r="B814" t="s">
        <v>3930</v>
      </c>
      <c r="C814" s="28">
        <v>3596</v>
      </c>
      <c r="D814" s="28">
        <v>3596</v>
      </c>
      <c r="E814" s="2" t="str">
        <f t="shared" si="26"/>
        <v>Same</v>
      </c>
      <c r="F814" s="2" t="str">
        <f>Sheet4!F814</f>
        <v>1.41 OZ</v>
      </c>
      <c r="G814" s="2"/>
      <c r="H814" s="2" t="str">
        <f>Sheet4!H814</f>
        <v>SAZON GOYA AZAFRAN 18PK 1.41OZ</v>
      </c>
      <c r="I814" s="4">
        <f>[1]Sheet1!I814</f>
        <v>0</v>
      </c>
      <c r="J814" s="3" t="str">
        <f t="shared" si="25"/>
        <v>3596_A1C1.webp</v>
      </c>
      <c r="K814" s="5">
        <f>Sheet4!E814</f>
        <v>18</v>
      </c>
      <c r="L814" s="5" t="s">
        <v>5278</v>
      </c>
      <c r="M814" s="4"/>
    </row>
    <row r="815" spans="1:13" x14ac:dyDescent="0.25">
      <c r="A815" t="s">
        <v>2944</v>
      </c>
      <c r="B815" t="s">
        <v>2951</v>
      </c>
      <c r="C815" s="25">
        <v>3599</v>
      </c>
      <c r="D815" s="28">
        <v>3599</v>
      </c>
      <c r="E815" s="2" t="str">
        <f t="shared" si="26"/>
        <v>Same</v>
      </c>
      <c r="F815" s="6" t="s">
        <v>1899</v>
      </c>
      <c r="G815" s="3">
        <v>36.85</v>
      </c>
      <c r="H815" s="2" t="s">
        <v>797</v>
      </c>
      <c r="I815" s="4">
        <f>[1]Sheet1!I815</f>
        <v>128</v>
      </c>
      <c r="J815" s="3" t="str">
        <f t="shared" si="25"/>
        <v>3599_A1C1.webp</v>
      </c>
      <c r="K815" s="5">
        <f>Sheet4!E815</f>
        <v>6</v>
      </c>
      <c r="L815" s="5"/>
      <c r="M815" s="4"/>
    </row>
    <row r="816" spans="1:13" x14ac:dyDescent="0.25">
      <c r="A816" t="s">
        <v>2622</v>
      </c>
      <c r="B816" t="s">
        <v>3780</v>
      </c>
      <c r="C816" s="25">
        <v>3600</v>
      </c>
      <c r="D816" s="28">
        <v>3600</v>
      </c>
      <c r="E816" s="2" t="str">
        <f t="shared" si="26"/>
        <v>Same</v>
      </c>
      <c r="F816" s="6" t="s">
        <v>1951</v>
      </c>
      <c r="G816" s="3">
        <v>40.950000000000003</v>
      </c>
      <c r="H816" s="2" t="s">
        <v>798</v>
      </c>
      <c r="I816" s="4">
        <f>[1]Sheet1!I816</f>
        <v>314</v>
      </c>
      <c r="J816" s="3" t="str">
        <f t="shared" si="25"/>
        <v>3600_A1C1.webp</v>
      </c>
      <c r="K816" s="5">
        <f>Sheet4!E816</f>
        <v>12</v>
      </c>
      <c r="L816" s="5" t="s">
        <v>5278</v>
      </c>
      <c r="M816" s="4"/>
    </row>
    <row r="817" spans="1:13" x14ac:dyDescent="0.25">
      <c r="A817" t="s">
        <v>3737</v>
      </c>
      <c r="B817" t="s">
        <v>3783</v>
      </c>
      <c r="C817" s="25">
        <v>3602</v>
      </c>
      <c r="D817" s="28">
        <v>3602</v>
      </c>
      <c r="E817" s="2" t="str">
        <f t="shared" si="26"/>
        <v>Same</v>
      </c>
      <c r="F817" s="6" t="s">
        <v>1865</v>
      </c>
      <c r="H817" s="2" t="s">
        <v>799</v>
      </c>
      <c r="I817" s="4">
        <f>[1]Sheet1!I817</f>
        <v>17</v>
      </c>
      <c r="J817" s="3" t="str">
        <f t="shared" si="25"/>
        <v>3602_A1C1.webp</v>
      </c>
      <c r="K817" s="5">
        <f>Sheet4!E817</f>
        <v>12</v>
      </c>
      <c r="L817" s="5"/>
      <c r="M817" s="4"/>
    </row>
    <row r="818" spans="1:13" x14ac:dyDescent="0.25">
      <c r="A818" t="s">
        <v>3737</v>
      </c>
      <c r="B818" t="s">
        <v>3783</v>
      </c>
      <c r="C818" s="25">
        <v>3607</v>
      </c>
      <c r="D818" s="28">
        <v>3607</v>
      </c>
      <c r="E818" s="2" t="str">
        <f t="shared" si="26"/>
        <v>Same</v>
      </c>
      <c r="F818" s="6" t="s">
        <v>1902</v>
      </c>
      <c r="G818" s="3">
        <v>49.5</v>
      </c>
      <c r="H818" s="2" t="s">
        <v>800</v>
      </c>
      <c r="I818" s="4">
        <f>[1]Sheet1!I818</f>
        <v>68</v>
      </c>
      <c r="J818" s="3" t="str">
        <f t="shared" si="25"/>
        <v>3607_A1C1.webp</v>
      </c>
      <c r="K818" s="5">
        <f>Sheet4!E818</f>
        <v>25</v>
      </c>
      <c r="L818" s="5"/>
      <c r="M818" s="4"/>
    </row>
    <row r="819" spans="1:13" x14ac:dyDescent="0.25">
      <c r="A819" t="s">
        <v>3737</v>
      </c>
      <c r="B819" t="s">
        <v>3783</v>
      </c>
      <c r="C819" s="25">
        <v>3609</v>
      </c>
      <c r="D819" s="28">
        <v>3609</v>
      </c>
      <c r="E819" s="2" t="str">
        <f t="shared" si="26"/>
        <v>Same</v>
      </c>
      <c r="F819" s="6" t="s">
        <v>1865</v>
      </c>
      <c r="G819" s="3">
        <v>49.95</v>
      </c>
      <c r="H819" s="2" t="s">
        <v>801</v>
      </c>
      <c r="I819" s="4">
        <f>[1]Sheet1!I819</f>
        <v>356</v>
      </c>
      <c r="J819" s="3" t="str">
        <f t="shared" si="25"/>
        <v>3609_A1C1.webp</v>
      </c>
      <c r="K819" s="5">
        <f>Sheet4!E819</f>
        <v>25</v>
      </c>
      <c r="L819" s="5"/>
      <c r="M819" s="4"/>
    </row>
    <row r="820" spans="1:13" x14ac:dyDescent="0.25">
      <c r="A820" t="s">
        <v>3737</v>
      </c>
      <c r="B820" t="s">
        <v>3783</v>
      </c>
      <c r="C820" s="25">
        <v>3610</v>
      </c>
      <c r="D820" s="28">
        <v>3610</v>
      </c>
      <c r="E820" s="2" t="str">
        <f t="shared" si="26"/>
        <v>Same</v>
      </c>
      <c r="F820" s="6" t="s">
        <v>1865</v>
      </c>
      <c r="G820" s="3">
        <v>58.95</v>
      </c>
      <c r="H820" s="2" t="s">
        <v>802</v>
      </c>
      <c r="I820" s="4">
        <f>[1]Sheet1!I820</f>
        <v>2057</v>
      </c>
      <c r="J820" s="3" t="str">
        <f t="shared" si="25"/>
        <v>3610_A1C1.webp</v>
      </c>
      <c r="K820" s="5">
        <f>Sheet4!E820</f>
        <v>25</v>
      </c>
      <c r="L820" s="5"/>
      <c r="M820" s="4"/>
    </row>
    <row r="821" spans="1:13" x14ac:dyDescent="0.25">
      <c r="A821" t="s">
        <v>3737</v>
      </c>
      <c r="B821" t="s">
        <v>3783</v>
      </c>
      <c r="C821" s="25">
        <v>3611</v>
      </c>
      <c r="D821" s="28">
        <v>3611</v>
      </c>
      <c r="E821" s="2" t="str">
        <f t="shared" si="26"/>
        <v>Same</v>
      </c>
      <c r="F821" s="6" t="s">
        <v>1865</v>
      </c>
      <c r="G821" s="3">
        <v>49.95</v>
      </c>
      <c r="H821" s="2" t="s">
        <v>803</v>
      </c>
      <c r="I821" s="4">
        <f>[1]Sheet1!I821</f>
        <v>474</v>
      </c>
      <c r="J821" s="3" t="str">
        <f t="shared" si="25"/>
        <v>3611_A1C1.webp</v>
      </c>
      <c r="K821" s="5">
        <f>Sheet4!E821</f>
        <v>25</v>
      </c>
      <c r="L821" s="5"/>
      <c r="M821" s="4"/>
    </row>
    <row r="822" spans="1:13" x14ac:dyDescent="0.25">
      <c r="A822" t="s">
        <v>3737</v>
      </c>
      <c r="B822" t="s">
        <v>3783</v>
      </c>
      <c r="C822" s="25">
        <v>3612</v>
      </c>
      <c r="D822" s="28">
        <v>3612</v>
      </c>
      <c r="E822" s="2" t="str">
        <f t="shared" si="26"/>
        <v>Same</v>
      </c>
      <c r="F822" s="6" t="s">
        <v>1865</v>
      </c>
      <c r="G822" s="3">
        <v>49.95</v>
      </c>
      <c r="H822" s="2" t="s">
        <v>804</v>
      </c>
      <c r="I822" s="4">
        <f>[1]Sheet1!I822</f>
        <v>522</v>
      </c>
      <c r="J822" s="3" t="str">
        <f t="shared" si="25"/>
        <v>3612_A1C1.webp</v>
      </c>
      <c r="K822" s="5">
        <f>Sheet4!E822</f>
        <v>25</v>
      </c>
      <c r="L822" s="5"/>
      <c r="M822" s="4"/>
    </row>
    <row r="823" spans="1:13" x14ac:dyDescent="0.25">
      <c r="A823" t="s">
        <v>3737</v>
      </c>
      <c r="B823" t="s">
        <v>3792</v>
      </c>
      <c r="C823" s="25">
        <v>3613</v>
      </c>
      <c r="D823" s="28">
        <v>3613</v>
      </c>
      <c r="E823" s="2" t="str">
        <f t="shared" si="26"/>
        <v>Same</v>
      </c>
      <c r="F823" s="6" t="s">
        <v>1876</v>
      </c>
      <c r="G823" s="3">
        <v>49.95</v>
      </c>
      <c r="H823" s="2" t="s">
        <v>805</v>
      </c>
      <c r="I823" s="4">
        <f>[1]Sheet1!I823</f>
        <v>631</v>
      </c>
      <c r="J823" s="3" t="str">
        <f t="shared" si="25"/>
        <v>3613_A1C1.webp</v>
      </c>
      <c r="K823" s="5">
        <f>Sheet4!E823</f>
        <v>24</v>
      </c>
      <c r="L823" s="5"/>
      <c r="M823" s="4"/>
    </row>
    <row r="824" spans="1:13" x14ac:dyDescent="0.25">
      <c r="A824" t="s">
        <v>3737</v>
      </c>
      <c r="B824" t="s">
        <v>3792</v>
      </c>
      <c r="C824" s="25">
        <v>3615</v>
      </c>
      <c r="D824" s="28">
        <v>3615</v>
      </c>
      <c r="E824" s="2" t="str">
        <f t="shared" si="26"/>
        <v>Same</v>
      </c>
      <c r="F824" s="6" t="s">
        <v>1857</v>
      </c>
      <c r="G824">
        <v>35.950000000000003</v>
      </c>
      <c r="H824" s="2" t="s">
        <v>806</v>
      </c>
      <c r="I824" s="4">
        <f>[1]Sheet1!I824</f>
        <v>944</v>
      </c>
      <c r="J824" s="3" t="str">
        <f t="shared" si="25"/>
        <v>3615_A1C1.webp</v>
      </c>
      <c r="K824" s="5">
        <f>Sheet4!E824</f>
        <v>50</v>
      </c>
      <c r="L824" s="5"/>
      <c r="M824" s="4"/>
    </row>
    <row r="825" spans="1:13" x14ac:dyDescent="0.25">
      <c r="A825" t="s">
        <v>3737</v>
      </c>
      <c r="B825" t="s">
        <v>3792</v>
      </c>
      <c r="C825" s="25">
        <v>3616</v>
      </c>
      <c r="D825" s="28">
        <v>3616</v>
      </c>
      <c r="E825" s="2" t="str">
        <f t="shared" si="26"/>
        <v>Same</v>
      </c>
      <c r="F825" s="6" t="s">
        <v>1876</v>
      </c>
      <c r="G825" s="3">
        <v>49.95</v>
      </c>
      <c r="H825" s="2" t="s">
        <v>807</v>
      </c>
      <c r="I825" s="4">
        <f>[1]Sheet1!I825</f>
        <v>673</v>
      </c>
      <c r="J825" s="3" t="str">
        <f t="shared" si="25"/>
        <v>3616_A1C1.webp</v>
      </c>
      <c r="K825" s="5">
        <f>Sheet4!E825</f>
        <v>24</v>
      </c>
      <c r="L825" s="5"/>
      <c r="M825" s="4"/>
    </row>
    <row r="826" spans="1:13" x14ac:dyDescent="0.25">
      <c r="A826" t="s">
        <v>3737</v>
      </c>
      <c r="B826" t="s">
        <v>3792</v>
      </c>
      <c r="C826" s="25">
        <v>3617</v>
      </c>
      <c r="D826" s="28">
        <v>3617</v>
      </c>
      <c r="E826" s="2" t="str">
        <f t="shared" si="26"/>
        <v>Same</v>
      </c>
      <c r="F826" s="6" t="s">
        <v>1857</v>
      </c>
      <c r="G826">
        <v>35.950000000000003</v>
      </c>
      <c r="H826" s="2" t="s">
        <v>808</v>
      </c>
      <c r="I826" s="4">
        <f>[1]Sheet1!I826</f>
        <v>1846</v>
      </c>
      <c r="J826" s="3" t="str">
        <f t="shared" si="25"/>
        <v>3617_A1C1.webp</v>
      </c>
      <c r="K826" s="5">
        <f>Sheet4!E826</f>
        <v>50</v>
      </c>
      <c r="L826" s="5"/>
      <c r="M826" s="4"/>
    </row>
    <row r="827" spans="1:13" x14ac:dyDescent="0.25">
      <c r="A827" t="s">
        <v>3737</v>
      </c>
      <c r="B827" t="s">
        <v>3792</v>
      </c>
      <c r="C827" s="25">
        <v>3620</v>
      </c>
      <c r="D827" s="28">
        <v>3620</v>
      </c>
      <c r="E827" s="2" t="str">
        <f t="shared" si="26"/>
        <v>Same</v>
      </c>
      <c r="F827" s="6" t="s">
        <v>1876</v>
      </c>
      <c r="G827" s="3">
        <v>49.95</v>
      </c>
      <c r="H827" s="2" t="s">
        <v>809</v>
      </c>
      <c r="I827" s="4">
        <f>[1]Sheet1!I827</f>
        <v>55</v>
      </c>
      <c r="J827" s="3" t="str">
        <f t="shared" si="25"/>
        <v>3620_A1C1.webp</v>
      </c>
      <c r="K827" s="5">
        <f>Sheet4!E827</f>
        <v>24</v>
      </c>
      <c r="L827" s="5"/>
      <c r="M827" s="4"/>
    </row>
    <row r="828" spans="1:13" x14ac:dyDescent="0.25">
      <c r="A828" t="s">
        <v>3737</v>
      </c>
      <c r="B828" t="s">
        <v>3798</v>
      </c>
      <c r="C828" s="25">
        <v>3621</v>
      </c>
      <c r="D828" s="28">
        <v>3621</v>
      </c>
      <c r="E828" s="2" t="str">
        <f t="shared" si="26"/>
        <v>Same</v>
      </c>
      <c r="F828" s="6" t="s">
        <v>1876</v>
      </c>
      <c r="G828" s="3">
        <v>48.95</v>
      </c>
      <c r="H828" s="2" t="s">
        <v>810</v>
      </c>
      <c r="I828" s="4">
        <f>[1]Sheet1!I828</f>
        <v>2259</v>
      </c>
      <c r="J828" s="3" t="str">
        <f t="shared" si="25"/>
        <v>3621_A1C1.webp</v>
      </c>
      <c r="K828" s="5">
        <f>Sheet4!E828</f>
        <v>24</v>
      </c>
      <c r="L828" s="5"/>
      <c r="M828" s="4"/>
    </row>
    <row r="829" spans="1:13" x14ac:dyDescent="0.25">
      <c r="A829" t="s">
        <v>3737</v>
      </c>
      <c r="B829" t="s">
        <v>3783</v>
      </c>
      <c r="C829" s="25">
        <v>3622</v>
      </c>
      <c r="D829" s="28">
        <v>3622</v>
      </c>
      <c r="E829" s="2" t="str">
        <f t="shared" si="26"/>
        <v>Same</v>
      </c>
      <c r="F829" s="6" t="s">
        <v>1952</v>
      </c>
      <c r="G829" s="3">
        <v>74.95</v>
      </c>
      <c r="H829" s="2" t="s">
        <v>811</v>
      </c>
      <c r="I829" s="4">
        <f>[1]Sheet1!I829</f>
        <v>65</v>
      </c>
      <c r="J829" s="3" t="str">
        <f t="shared" si="25"/>
        <v>3622_A1C1.webp</v>
      </c>
      <c r="K829" s="5">
        <f>Sheet4!E829</f>
        <v>25</v>
      </c>
      <c r="L829" s="5"/>
      <c r="M829" s="4"/>
    </row>
    <row r="830" spans="1:13" x14ac:dyDescent="0.25">
      <c r="A830" t="s">
        <v>3737</v>
      </c>
      <c r="B830" t="s">
        <v>3783</v>
      </c>
      <c r="C830" s="25">
        <v>3624</v>
      </c>
      <c r="D830" s="28">
        <v>3624</v>
      </c>
      <c r="E830" s="2" t="str">
        <f t="shared" si="26"/>
        <v>Same</v>
      </c>
      <c r="F830" s="6" t="s">
        <v>1902</v>
      </c>
      <c r="G830" s="3">
        <v>90.95</v>
      </c>
      <c r="H830" s="2" t="s">
        <v>812</v>
      </c>
      <c r="I830" s="4">
        <f>[1]Sheet1!I830</f>
        <v>48</v>
      </c>
      <c r="J830" s="3" t="str">
        <f t="shared" si="25"/>
        <v>3624_A1C1.webp</v>
      </c>
      <c r="K830" s="5">
        <f>Sheet4!E830</f>
        <v>25</v>
      </c>
      <c r="L830" s="5"/>
      <c r="M830" s="4"/>
    </row>
    <row r="831" spans="1:13" x14ac:dyDescent="0.25">
      <c r="A831" t="s">
        <v>3737</v>
      </c>
      <c r="B831" t="s">
        <v>3805</v>
      </c>
      <c r="C831" s="25">
        <v>3625</v>
      </c>
      <c r="D831" s="28">
        <v>3625</v>
      </c>
      <c r="E831" s="2" t="str">
        <f t="shared" si="26"/>
        <v>Same</v>
      </c>
      <c r="F831" s="6" t="s">
        <v>1902</v>
      </c>
      <c r="G831" s="3">
        <v>35.950000000000003</v>
      </c>
      <c r="H831" s="2" t="s">
        <v>813</v>
      </c>
      <c r="I831" s="4">
        <f>[1]Sheet1!I831</f>
        <v>139</v>
      </c>
      <c r="J831" s="3" t="str">
        <f t="shared" si="25"/>
        <v>3625_A1C1.webp</v>
      </c>
      <c r="K831" s="5">
        <f>Sheet4!E831</f>
        <v>12</v>
      </c>
      <c r="L831" s="5"/>
      <c r="M831" s="4"/>
    </row>
    <row r="832" spans="1:13" x14ac:dyDescent="0.25">
      <c r="A832" t="s">
        <v>3737</v>
      </c>
      <c r="B832" t="s">
        <v>3805</v>
      </c>
      <c r="C832" s="25">
        <v>3626</v>
      </c>
      <c r="D832" s="28">
        <v>3626</v>
      </c>
      <c r="E832" s="2" t="str">
        <f t="shared" si="26"/>
        <v>Same</v>
      </c>
      <c r="F832" s="6" t="s">
        <v>1902</v>
      </c>
      <c r="G832" s="3">
        <v>35.950000000000003</v>
      </c>
      <c r="H832" s="2" t="s">
        <v>814</v>
      </c>
      <c r="I832" s="4">
        <f>[1]Sheet1!I832</f>
        <v>115</v>
      </c>
      <c r="J832" s="3" t="str">
        <f t="shared" si="25"/>
        <v>3626_A1C1.webp</v>
      </c>
      <c r="K832" s="5">
        <f>Sheet4!E832</f>
        <v>12</v>
      </c>
      <c r="L832" s="5"/>
      <c r="M832" s="4"/>
    </row>
    <row r="833" spans="1:13" x14ac:dyDescent="0.25">
      <c r="A833" t="s">
        <v>3737</v>
      </c>
      <c r="B833" t="s">
        <v>3783</v>
      </c>
      <c r="C833" s="25">
        <v>3627</v>
      </c>
      <c r="D833" s="28">
        <v>3627</v>
      </c>
      <c r="E833" s="2" t="str">
        <f t="shared" si="26"/>
        <v>Same</v>
      </c>
      <c r="F833" s="6" t="s">
        <v>1865</v>
      </c>
      <c r="G833" s="3">
        <v>60.95</v>
      </c>
      <c r="H833" s="2" t="s">
        <v>815</v>
      </c>
      <c r="I833" s="4">
        <f>[1]Sheet1!I833</f>
        <v>159</v>
      </c>
      <c r="J833" s="3" t="str">
        <f t="shared" si="25"/>
        <v>3627_A1C1.webp</v>
      </c>
      <c r="K833" s="5">
        <f>Sheet4!E833</f>
        <v>25</v>
      </c>
      <c r="L833" s="5"/>
      <c r="M833" s="4"/>
    </row>
    <row r="834" spans="1:13" x14ac:dyDescent="0.25">
      <c r="A834" t="s">
        <v>3737</v>
      </c>
      <c r="B834" t="s">
        <v>3783</v>
      </c>
      <c r="C834" s="25">
        <v>3630</v>
      </c>
      <c r="D834" s="28">
        <v>3630</v>
      </c>
      <c r="E834" s="2" t="str">
        <f t="shared" si="26"/>
        <v>Same</v>
      </c>
      <c r="F834" s="6" t="s">
        <v>1902</v>
      </c>
      <c r="G834" s="3">
        <v>57.5</v>
      </c>
      <c r="H834" s="2" t="s">
        <v>816</v>
      </c>
      <c r="I834" s="4">
        <f>[1]Sheet1!I834</f>
        <v>344</v>
      </c>
      <c r="J834" s="3" t="str">
        <f t="shared" ref="J834:J897" si="27">C834 &amp; "_A1C1.webp"</f>
        <v>3630_A1C1.webp</v>
      </c>
      <c r="K834" s="5">
        <f>Sheet4!E834</f>
        <v>25</v>
      </c>
      <c r="L834" s="5"/>
      <c r="M834" s="4"/>
    </row>
    <row r="835" spans="1:13" x14ac:dyDescent="0.25">
      <c r="A835" t="s">
        <v>3737</v>
      </c>
      <c r="B835" t="s">
        <v>3798</v>
      </c>
      <c r="C835" s="25">
        <v>3631</v>
      </c>
      <c r="D835" s="28">
        <v>3631</v>
      </c>
      <c r="E835" s="2" t="str">
        <f t="shared" si="26"/>
        <v>Same</v>
      </c>
      <c r="F835" s="6" t="s">
        <v>1876</v>
      </c>
      <c r="G835" s="3">
        <v>48.95</v>
      </c>
      <c r="H835" s="2" t="s">
        <v>817</v>
      </c>
      <c r="I835" s="4">
        <f>[1]Sheet1!I835</f>
        <v>442</v>
      </c>
      <c r="J835" s="3" t="str">
        <f t="shared" si="27"/>
        <v>3631_A1C1.webp</v>
      </c>
      <c r="K835" s="5">
        <f>Sheet4!E835</f>
        <v>24</v>
      </c>
      <c r="L835" s="5"/>
      <c r="M835" s="4"/>
    </row>
    <row r="836" spans="1:13" x14ac:dyDescent="0.25">
      <c r="A836" t="s">
        <v>3737</v>
      </c>
      <c r="B836" t="s">
        <v>3783</v>
      </c>
      <c r="C836" s="25">
        <v>3632</v>
      </c>
      <c r="D836" s="28">
        <v>3632</v>
      </c>
      <c r="E836" s="2" t="str">
        <f t="shared" si="26"/>
        <v>Same</v>
      </c>
      <c r="F836" s="6" t="s">
        <v>1902</v>
      </c>
      <c r="G836" s="3">
        <v>38.950000000000003</v>
      </c>
      <c r="H836" s="2" t="s">
        <v>818</v>
      </c>
      <c r="I836" s="4">
        <f>[1]Sheet1!I836</f>
        <v>1037</v>
      </c>
      <c r="J836" s="3" t="str">
        <f t="shared" si="27"/>
        <v>3632_A1C1.webp</v>
      </c>
      <c r="K836" s="5">
        <f>Sheet4!E836</f>
        <v>25</v>
      </c>
      <c r="L836" s="5"/>
      <c r="M836" s="4"/>
    </row>
    <row r="837" spans="1:13" x14ac:dyDescent="0.25">
      <c r="A837" t="s">
        <v>3737</v>
      </c>
      <c r="B837" t="s">
        <v>3783</v>
      </c>
      <c r="C837" s="25">
        <v>3633</v>
      </c>
      <c r="D837" s="28">
        <v>3633</v>
      </c>
      <c r="E837" s="2" t="str">
        <f t="shared" si="26"/>
        <v>Same</v>
      </c>
      <c r="F837" s="6" t="s">
        <v>1902</v>
      </c>
      <c r="G837" s="3">
        <v>65.95</v>
      </c>
      <c r="H837" s="2" t="s">
        <v>819</v>
      </c>
      <c r="I837" s="4">
        <f>[1]Sheet1!I837</f>
        <v>314</v>
      </c>
      <c r="J837" s="3" t="str">
        <f t="shared" si="27"/>
        <v>3633_A1C1.webp</v>
      </c>
      <c r="K837" s="5">
        <f>Sheet4!E837</f>
        <v>25</v>
      </c>
      <c r="L837" s="5"/>
      <c r="M837" s="4"/>
    </row>
    <row r="838" spans="1:13" x14ac:dyDescent="0.25">
      <c r="A838" t="s">
        <v>3737</v>
      </c>
      <c r="B838" t="s">
        <v>3783</v>
      </c>
      <c r="C838" s="25">
        <v>3634</v>
      </c>
      <c r="D838" s="28">
        <v>3634</v>
      </c>
      <c r="E838" s="2" t="str">
        <f t="shared" si="26"/>
        <v>Same</v>
      </c>
      <c r="F838" s="6" t="s">
        <v>1902</v>
      </c>
      <c r="G838" s="3">
        <v>38.950000000000003</v>
      </c>
      <c r="H838" s="2" t="s">
        <v>820</v>
      </c>
      <c r="I838" s="4">
        <f>[1]Sheet1!I838</f>
        <v>146</v>
      </c>
      <c r="J838" s="3" t="str">
        <f t="shared" si="27"/>
        <v>3634_A1C1.webp</v>
      </c>
      <c r="K838" s="5">
        <f>Sheet4!E838</f>
        <v>25</v>
      </c>
      <c r="L838" s="5"/>
      <c r="M838" s="4"/>
    </row>
    <row r="839" spans="1:13" x14ac:dyDescent="0.25">
      <c r="A839" t="s">
        <v>3737</v>
      </c>
      <c r="B839" t="s">
        <v>3783</v>
      </c>
      <c r="C839" s="25">
        <v>3637</v>
      </c>
      <c r="D839" s="28">
        <v>3637</v>
      </c>
      <c r="E839" s="2" t="str">
        <f t="shared" ref="E839:E902" si="28">IF(C839=D839, "Same","New")</f>
        <v>Same</v>
      </c>
      <c r="F839" s="6" t="s">
        <v>1902</v>
      </c>
      <c r="G839" s="3">
        <v>66.95</v>
      </c>
      <c r="H839" s="2" t="s">
        <v>821</v>
      </c>
      <c r="I839" s="4">
        <f>[1]Sheet1!I839</f>
        <v>981</v>
      </c>
      <c r="J839" s="3" t="str">
        <f t="shared" si="27"/>
        <v>3637_A1C1.webp</v>
      </c>
      <c r="K839" s="5">
        <f>Sheet4!E839</f>
        <v>25</v>
      </c>
      <c r="L839" s="5"/>
      <c r="M839" s="4"/>
    </row>
    <row r="840" spans="1:13" x14ac:dyDescent="0.25">
      <c r="A840" t="s">
        <v>3737</v>
      </c>
      <c r="B840" t="s">
        <v>3783</v>
      </c>
      <c r="C840" s="25">
        <v>3638</v>
      </c>
      <c r="D840" s="28">
        <v>3638</v>
      </c>
      <c r="E840" s="2" t="str">
        <f t="shared" si="28"/>
        <v>Same</v>
      </c>
      <c r="F840" s="6" t="s">
        <v>1902</v>
      </c>
      <c r="G840" s="3">
        <v>49.25</v>
      </c>
      <c r="H840" s="2" t="s">
        <v>822</v>
      </c>
      <c r="I840" s="4">
        <f>[1]Sheet1!I840</f>
        <v>816</v>
      </c>
      <c r="J840" s="3" t="str">
        <f t="shared" si="27"/>
        <v>3638_A1C1.webp</v>
      </c>
      <c r="K840" s="5">
        <f>Sheet4!E840</f>
        <v>25</v>
      </c>
      <c r="L840" s="5"/>
      <c r="M840" s="4"/>
    </row>
    <row r="841" spans="1:13" x14ac:dyDescent="0.25">
      <c r="A841" t="s">
        <v>3737</v>
      </c>
      <c r="B841" t="s">
        <v>3783</v>
      </c>
      <c r="C841" s="25">
        <v>3639</v>
      </c>
      <c r="D841" s="28">
        <v>3639</v>
      </c>
      <c r="E841" s="2" t="str">
        <f t="shared" si="28"/>
        <v>Same</v>
      </c>
      <c r="F841" s="6" t="s">
        <v>1902</v>
      </c>
      <c r="G841" s="3">
        <v>49.25</v>
      </c>
      <c r="H841" s="2" t="s">
        <v>823</v>
      </c>
      <c r="I841" s="4">
        <f>[1]Sheet1!I841</f>
        <v>904</v>
      </c>
      <c r="J841" s="3" t="str">
        <f t="shared" si="27"/>
        <v>3639_A1C1.webp</v>
      </c>
      <c r="K841" s="5">
        <f>Sheet4!E841</f>
        <v>25</v>
      </c>
      <c r="L841" s="5"/>
      <c r="M841" s="4"/>
    </row>
    <row r="842" spans="1:13" x14ac:dyDescent="0.25">
      <c r="A842" t="s">
        <v>3737</v>
      </c>
      <c r="B842" t="s">
        <v>3783</v>
      </c>
      <c r="C842" s="25">
        <v>3640</v>
      </c>
      <c r="D842" s="28">
        <v>3640</v>
      </c>
      <c r="E842" s="2" t="str">
        <f t="shared" si="28"/>
        <v>Same</v>
      </c>
      <c r="F842" s="6" t="s">
        <v>1902</v>
      </c>
      <c r="G842" s="3">
        <v>49.25</v>
      </c>
      <c r="H842" s="2" t="s">
        <v>824</v>
      </c>
      <c r="I842" s="4">
        <f>[1]Sheet1!I842</f>
        <v>736</v>
      </c>
      <c r="J842" s="3" t="str">
        <f t="shared" si="27"/>
        <v>3640_A1C1.webp</v>
      </c>
      <c r="K842" s="5">
        <f>Sheet4!E842</f>
        <v>25</v>
      </c>
      <c r="L842" s="5"/>
      <c r="M842" s="4"/>
    </row>
    <row r="843" spans="1:13" x14ac:dyDescent="0.25">
      <c r="A843" t="s">
        <v>3737</v>
      </c>
      <c r="B843" t="s">
        <v>3783</v>
      </c>
      <c r="C843" s="25">
        <v>3645</v>
      </c>
      <c r="D843" s="28">
        <v>3645</v>
      </c>
      <c r="E843" s="2" t="str">
        <f t="shared" si="28"/>
        <v>Same</v>
      </c>
      <c r="F843" s="6" t="s">
        <v>1902</v>
      </c>
      <c r="G843" s="3">
        <v>28.95</v>
      </c>
      <c r="H843" s="2" t="s">
        <v>825</v>
      </c>
      <c r="I843" s="4">
        <f>[1]Sheet1!I843</f>
        <v>392</v>
      </c>
      <c r="J843" s="3" t="str">
        <f t="shared" si="27"/>
        <v>3645_A1C1.webp</v>
      </c>
      <c r="K843" s="5">
        <f>Sheet4!E843</f>
        <v>12</v>
      </c>
      <c r="L843" s="5"/>
      <c r="M843" s="4"/>
    </row>
    <row r="844" spans="1:13" x14ac:dyDescent="0.25">
      <c r="A844" t="s">
        <v>3737</v>
      </c>
      <c r="B844" t="s">
        <v>3783</v>
      </c>
      <c r="C844" s="25">
        <v>3646</v>
      </c>
      <c r="D844" s="28">
        <v>3646</v>
      </c>
      <c r="E844" s="2" t="str">
        <f t="shared" si="28"/>
        <v>Same</v>
      </c>
      <c r="F844" s="6" t="s">
        <v>1902</v>
      </c>
      <c r="G844" s="3">
        <v>23.5</v>
      </c>
      <c r="H844" s="2" t="s">
        <v>826</v>
      </c>
      <c r="I844" s="4">
        <f>[1]Sheet1!I844</f>
        <v>126</v>
      </c>
      <c r="J844" s="3" t="str">
        <f t="shared" si="27"/>
        <v>3646_A1C1.webp</v>
      </c>
      <c r="K844" s="5">
        <f>Sheet4!E844</f>
        <v>12</v>
      </c>
      <c r="L844" s="5"/>
      <c r="M844" s="4"/>
    </row>
    <row r="845" spans="1:13" x14ac:dyDescent="0.25">
      <c r="A845" t="s">
        <v>3737</v>
      </c>
      <c r="B845" t="s">
        <v>3828</v>
      </c>
      <c r="C845" s="25">
        <v>3647</v>
      </c>
      <c r="D845" s="28">
        <v>3647</v>
      </c>
      <c r="E845" s="2" t="str">
        <f t="shared" si="28"/>
        <v>Same</v>
      </c>
      <c r="F845" s="6" t="s">
        <v>1953</v>
      </c>
      <c r="G845" s="3">
        <v>44.5</v>
      </c>
      <c r="H845" s="2" t="s">
        <v>827</v>
      </c>
      <c r="I845" s="4">
        <f>[1]Sheet1!I845</f>
        <v>2483</v>
      </c>
      <c r="J845" s="3" t="str">
        <f t="shared" si="27"/>
        <v>3647_A1C1.webp</v>
      </c>
      <c r="K845" s="5">
        <f>Sheet4!E845</f>
        <v>24</v>
      </c>
      <c r="L845" s="5"/>
      <c r="M845" s="4"/>
    </row>
    <row r="846" spans="1:13" x14ac:dyDescent="0.25">
      <c r="A846" t="s">
        <v>3737</v>
      </c>
      <c r="B846" t="s">
        <v>3828</v>
      </c>
      <c r="C846" s="25">
        <v>3648</v>
      </c>
      <c r="D846" s="28">
        <v>3648</v>
      </c>
      <c r="E846" s="2" t="str">
        <f t="shared" si="28"/>
        <v>Same</v>
      </c>
      <c r="F846" s="6" t="s">
        <v>1953</v>
      </c>
      <c r="G846" s="3">
        <v>44.5</v>
      </c>
      <c r="H846" s="2" t="s">
        <v>828</v>
      </c>
      <c r="I846" s="4">
        <f>[1]Sheet1!I846</f>
        <v>2096</v>
      </c>
      <c r="J846" s="3" t="str">
        <f t="shared" si="27"/>
        <v>3648_A1C1.webp</v>
      </c>
      <c r="K846" s="5">
        <f>Sheet4!E846</f>
        <v>24</v>
      </c>
      <c r="L846" s="5"/>
      <c r="M846" s="4"/>
    </row>
    <row r="847" spans="1:13" x14ac:dyDescent="0.25">
      <c r="A847" t="s">
        <v>3737</v>
      </c>
      <c r="B847" t="s">
        <v>3828</v>
      </c>
      <c r="C847" s="25">
        <v>3649</v>
      </c>
      <c r="D847" s="28">
        <v>3649</v>
      </c>
      <c r="E847" s="2" t="str">
        <f t="shared" si="28"/>
        <v>Same</v>
      </c>
      <c r="F847" s="6" t="s">
        <v>1953</v>
      </c>
      <c r="G847" s="3">
        <v>44.5</v>
      </c>
      <c r="H847" s="2" t="s">
        <v>829</v>
      </c>
      <c r="I847" s="4">
        <f>[1]Sheet1!I847</f>
        <v>606</v>
      </c>
      <c r="J847" s="3" t="str">
        <f t="shared" si="27"/>
        <v>3649_A1C1.webp</v>
      </c>
      <c r="K847" s="5">
        <f>Sheet4!E847</f>
        <v>24</v>
      </c>
      <c r="L847" s="5"/>
      <c r="M847" s="4"/>
    </row>
    <row r="848" spans="1:13" x14ac:dyDescent="0.25">
      <c r="A848" t="s">
        <v>3737</v>
      </c>
      <c r="B848" t="s">
        <v>3832</v>
      </c>
      <c r="C848" s="25">
        <v>3664</v>
      </c>
      <c r="D848" s="28">
        <v>3664</v>
      </c>
      <c r="E848" s="2" t="str">
        <f t="shared" si="28"/>
        <v>Same</v>
      </c>
      <c r="F848" s="6" t="s">
        <v>1954</v>
      </c>
      <c r="G848" s="3">
        <v>63.95</v>
      </c>
      <c r="H848" s="2" t="s">
        <v>830</v>
      </c>
      <c r="I848" s="4">
        <f>[1]Sheet1!I848</f>
        <v>223</v>
      </c>
      <c r="J848" s="3" t="str">
        <f t="shared" si="27"/>
        <v>3664_A1C1.webp</v>
      </c>
      <c r="K848" s="5">
        <f>Sheet4!E848</f>
        <v>12</v>
      </c>
      <c r="L848" s="5"/>
      <c r="M848" s="4"/>
    </row>
    <row r="849" spans="1:13" x14ac:dyDescent="0.25">
      <c r="A849" t="s">
        <v>2671</v>
      </c>
      <c r="B849" t="s">
        <v>3737</v>
      </c>
      <c r="C849" s="25">
        <v>3666</v>
      </c>
      <c r="D849" s="28">
        <v>3666</v>
      </c>
      <c r="E849" s="2" t="str">
        <f t="shared" si="28"/>
        <v>Same</v>
      </c>
      <c r="F849" s="6" t="s">
        <v>1902</v>
      </c>
      <c r="G849" s="3">
        <v>167.5</v>
      </c>
      <c r="H849" s="2" t="s">
        <v>831</v>
      </c>
      <c r="I849" s="4">
        <f>[1]Sheet1!I849</f>
        <v>0</v>
      </c>
      <c r="J849" s="3" t="str">
        <f t="shared" si="27"/>
        <v>3666_A1C1.webp</v>
      </c>
      <c r="K849" s="5">
        <f>Sheet4!E849</f>
        <v>72</v>
      </c>
      <c r="L849" s="5"/>
      <c r="M849" s="4"/>
    </row>
    <row r="850" spans="1:13" x14ac:dyDescent="0.25">
      <c r="A850" t="s">
        <v>3737</v>
      </c>
      <c r="B850" t="s">
        <v>3805</v>
      </c>
      <c r="C850" s="25">
        <v>3669</v>
      </c>
      <c r="D850" s="28">
        <v>3669</v>
      </c>
      <c r="E850" s="2" t="str">
        <f t="shared" si="28"/>
        <v>Same</v>
      </c>
      <c r="F850" s="6" t="s">
        <v>1902</v>
      </c>
      <c r="G850" s="3">
        <v>151.94999999999999</v>
      </c>
      <c r="H850" s="2" t="s">
        <v>832</v>
      </c>
      <c r="I850" s="4">
        <f>[1]Sheet1!I850</f>
        <v>305</v>
      </c>
      <c r="J850" s="3" t="str">
        <f t="shared" si="27"/>
        <v>3669_A1C1.webp</v>
      </c>
      <c r="K850" s="5">
        <f>Sheet4!E850</f>
        <v>25</v>
      </c>
      <c r="L850" s="5"/>
      <c r="M850" s="4"/>
    </row>
    <row r="851" spans="1:13" x14ac:dyDescent="0.25">
      <c r="A851" t="s">
        <v>2671</v>
      </c>
      <c r="B851" t="s">
        <v>3737</v>
      </c>
      <c r="C851" s="25">
        <v>3670</v>
      </c>
      <c r="D851" s="28">
        <v>3670</v>
      </c>
      <c r="E851" s="2" t="str">
        <f t="shared" si="28"/>
        <v>Same</v>
      </c>
      <c r="F851" s="6" t="s">
        <v>1902</v>
      </c>
      <c r="G851" s="3">
        <v>213.95</v>
      </c>
      <c r="H851" s="2" t="s">
        <v>833</v>
      </c>
      <c r="I851" s="4">
        <f>[1]Sheet1!I851</f>
        <v>19</v>
      </c>
      <c r="J851" s="3" t="str">
        <f t="shared" si="27"/>
        <v>3670_A1C1.webp</v>
      </c>
      <c r="K851" s="5">
        <f>Sheet4!E851</f>
        <v>80</v>
      </c>
      <c r="L851" s="5"/>
      <c r="M851" s="4"/>
    </row>
    <row r="852" spans="1:13" x14ac:dyDescent="0.25">
      <c r="A852" t="s">
        <v>2671</v>
      </c>
      <c r="B852" t="s">
        <v>3737</v>
      </c>
      <c r="C852" s="25">
        <v>3671</v>
      </c>
      <c r="D852" s="28">
        <v>3671</v>
      </c>
      <c r="E852" s="2" t="str">
        <f t="shared" si="28"/>
        <v>Same</v>
      </c>
      <c r="F852" s="6" t="s">
        <v>1902</v>
      </c>
      <c r="G852" s="3">
        <v>157.5</v>
      </c>
      <c r="H852" s="2" t="s">
        <v>834</v>
      </c>
      <c r="I852" s="4">
        <f>[1]Sheet1!I852</f>
        <v>38</v>
      </c>
      <c r="J852" s="3" t="str">
        <f t="shared" si="27"/>
        <v>3671_A1C1.webp</v>
      </c>
      <c r="K852" s="5">
        <f>Sheet4!E852</f>
        <v>80</v>
      </c>
      <c r="L852" s="5"/>
      <c r="M852" s="4"/>
    </row>
    <row r="853" spans="1:13" x14ac:dyDescent="0.25">
      <c r="A853" t="s">
        <v>3737</v>
      </c>
      <c r="B853" t="s">
        <v>3783</v>
      </c>
      <c r="C853" s="25">
        <v>3672</v>
      </c>
      <c r="D853" s="28">
        <v>3672</v>
      </c>
      <c r="E853" s="2" t="str">
        <f t="shared" si="28"/>
        <v>Same</v>
      </c>
      <c r="F853" s="6" t="s">
        <v>1902</v>
      </c>
      <c r="G853" s="3">
        <v>49.5</v>
      </c>
      <c r="H853" s="2" t="s">
        <v>835</v>
      </c>
      <c r="I853" s="4">
        <f>[1]Sheet1!I853</f>
        <v>331</v>
      </c>
      <c r="J853" s="3" t="str">
        <f t="shared" si="27"/>
        <v>3672_A1C1.webp</v>
      </c>
      <c r="K853" s="5">
        <f>Sheet4!E853</f>
        <v>12</v>
      </c>
      <c r="L853" s="5"/>
      <c r="M853" s="4"/>
    </row>
    <row r="854" spans="1:13" x14ac:dyDescent="0.25">
      <c r="A854" t="s">
        <v>3737</v>
      </c>
      <c r="B854" t="s">
        <v>3783</v>
      </c>
      <c r="C854" s="25">
        <v>3673</v>
      </c>
      <c r="D854" s="28">
        <v>3673</v>
      </c>
      <c r="E854" s="2" t="str">
        <f t="shared" si="28"/>
        <v>Same</v>
      </c>
      <c r="F854" s="6" t="s">
        <v>1902</v>
      </c>
      <c r="G854" s="3">
        <v>49.5</v>
      </c>
      <c r="H854" s="2" t="s">
        <v>836</v>
      </c>
      <c r="I854" s="4">
        <f>[1]Sheet1!I854</f>
        <v>612</v>
      </c>
      <c r="J854" s="3" t="str">
        <f t="shared" si="27"/>
        <v>3673_A1C1.webp</v>
      </c>
      <c r="K854" s="5">
        <f>Sheet4!E854</f>
        <v>12</v>
      </c>
      <c r="L854" s="5"/>
      <c r="M854" s="4"/>
    </row>
    <row r="855" spans="1:13" x14ac:dyDescent="0.25">
      <c r="A855" t="s">
        <v>3737</v>
      </c>
      <c r="B855" t="s">
        <v>3849</v>
      </c>
      <c r="C855" s="25">
        <v>3675</v>
      </c>
      <c r="D855" s="28">
        <v>3675</v>
      </c>
      <c r="E855" s="2" t="str">
        <f t="shared" si="28"/>
        <v>Same</v>
      </c>
      <c r="F855" s="6" t="s">
        <v>1902</v>
      </c>
      <c r="G855" s="3">
        <v>41.95</v>
      </c>
      <c r="H855" s="2" t="s">
        <v>837</v>
      </c>
      <c r="I855" s="4">
        <f>[1]Sheet1!I855</f>
        <v>27</v>
      </c>
      <c r="J855" s="3" t="str">
        <f t="shared" si="27"/>
        <v>3675_A1C1.webp</v>
      </c>
      <c r="K855" s="5">
        <f>Sheet4!E855</f>
        <v>12</v>
      </c>
      <c r="L855" s="5"/>
      <c r="M855" s="4"/>
    </row>
    <row r="856" spans="1:13" x14ac:dyDescent="0.25">
      <c r="A856" t="s">
        <v>3737</v>
      </c>
      <c r="B856" t="s">
        <v>3849</v>
      </c>
      <c r="C856" s="25">
        <v>3676</v>
      </c>
      <c r="D856" s="28">
        <v>3676</v>
      </c>
      <c r="E856" s="2" t="str">
        <f t="shared" si="28"/>
        <v>Same</v>
      </c>
      <c r="F856" s="6" t="s">
        <v>1902</v>
      </c>
      <c r="G856" s="3">
        <v>39.950000000000003</v>
      </c>
      <c r="H856" s="2" t="s">
        <v>838</v>
      </c>
      <c r="I856" s="4">
        <f>[1]Sheet1!I856</f>
        <v>13</v>
      </c>
      <c r="J856" s="3" t="str">
        <f t="shared" si="27"/>
        <v>3676_A1C1.webp</v>
      </c>
      <c r="K856" s="5">
        <f>Sheet4!E856</f>
        <v>12</v>
      </c>
      <c r="L856" s="5"/>
      <c r="M856" s="4"/>
    </row>
    <row r="857" spans="1:13" x14ac:dyDescent="0.25">
      <c r="A857" t="s">
        <v>2671</v>
      </c>
      <c r="B857" t="s">
        <v>3737</v>
      </c>
      <c r="C857" s="25">
        <v>3677</v>
      </c>
      <c r="D857" s="28">
        <v>3677</v>
      </c>
      <c r="E857" s="2" t="str">
        <f t="shared" si="28"/>
        <v>Same</v>
      </c>
      <c r="F857" s="6" t="s">
        <v>1902</v>
      </c>
      <c r="G857" s="3">
        <v>177.5</v>
      </c>
      <c r="H857" s="2" t="s">
        <v>839</v>
      </c>
      <c r="I857" s="4">
        <f>[1]Sheet1!I857</f>
        <v>28</v>
      </c>
      <c r="J857" s="3" t="str">
        <f t="shared" si="27"/>
        <v>3677_A1C1.webp</v>
      </c>
      <c r="K857" s="5">
        <f>Sheet4!E857</f>
        <v>80</v>
      </c>
      <c r="L857" s="5"/>
      <c r="M857" s="4"/>
    </row>
    <row r="858" spans="1:13" x14ac:dyDescent="0.25">
      <c r="A858" t="s">
        <v>3315</v>
      </c>
      <c r="B858" t="s">
        <v>3856</v>
      </c>
      <c r="C858" s="25">
        <v>3680</v>
      </c>
      <c r="D858" s="28">
        <v>3680</v>
      </c>
      <c r="E858" s="2" t="str">
        <f t="shared" si="28"/>
        <v>Same</v>
      </c>
      <c r="F858" s="6" t="s">
        <v>1876</v>
      </c>
      <c r="G858" s="3">
        <v>39.75</v>
      </c>
      <c r="H858" s="2" t="s">
        <v>840</v>
      </c>
      <c r="I858" s="4">
        <f>[1]Sheet1!I858</f>
        <v>1098</v>
      </c>
      <c r="J858" s="3" t="str">
        <f t="shared" si="27"/>
        <v>3680_A1C1.webp</v>
      </c>
      <c r="K858" s="5">
        <f>Sheet4!E858</f>
        <v>12</v>
      </c>
      <c r="L858" s="5"/>
      <c r="M858" s="4"/>
    </row>
    <row r="859" spans="1:13" x14ac:dyDescent="0.25">
      <c r="A859" t="s">
        <v>3315</v>
      </c>
      <c r="B859" t="s">
        <v>3856</v>
      </c>
      <c r="C859" s="25">
        <v>3681</v>
      </c>
      <c r="D859" s="28">
        <v>3681</v>
      </c>
      <c r="E859" s="2" t="str">
        <f t="shared" si="28"/>
        <v>Same</v>
      </c>
      <c r="F859" s="6" t="s">
        <v>1882</v>
      </c>
      <c r="G859" s="3">
        <v>39.75</v>
      </c>
      <c r="H859" s="2" t="s">
        <v>841</v>
      </c>
      <c r="I859" s="4">
        <f>[1]Sheet1!I859</f>
        <v>518</v>
      </c>
      <c r="J859" s="3" t="str">
        <f t="shared" si="27"/>
        <v>3681_A1C1.webp</v>
      </c>
      <c r="K859" s="5">
        <f>Sheet4!E859</f>
        <v>12</v>
      </c>
      <c r="L859" s="5"/>
      <c r="M859" s="4"/>
    </row>
    <row r="860" spans="1:13" x14ac:dyDescent="0.25">
      <c r="A860" t="s">
        <v>2622</v>
      </c>
      <c r="B860" t="s">
        <v>3780</v>
      </c>
      <c r="C860" s="25">
        <v>3686</v>
      </c>
      <c r="D860" s="28">
        <v>3686</v>
      </c>
      <c r="E860" s="2" t="str">
        <f t="shared" si="28"/>
        <v>Same</v>
      </c>
      <c r="F860" s="6" t="s">
        <v>1882</v>
      </c>
      <c r="G860" s="3">
        <v>26.95</v>
      </c>
      <c r="H860" s="2" t="s">
        <v>842</v>
      </c>
      <c r="I860" s="4">
        <f>[1]Sheet1!I860</f>
        <v>12852</v>
      </c>
      <c r="J860" s="3" t="str">
        <f t="shared" si="27"/>
        <v>3686_A1C1.webp</v>
      </c>
      <c r="K860" s="5">
        <f>Sheet4!E860</f>
        <v>12</v>
      </c>
      <c r="L860" s="5" t="s">
        <v>5278</v>
      </c>
      <c r="M860" s="4"/>
    </row>
    <row r="861" spans="1:13" x14ac:dyDescent="0.25">
      <c r="A861" t="s">
        <v>2671</v>
      </c>
      <c r="B861" t="s">
        <v>3737</v>
      </c>
      <c r="C861" s="25">
        <v>3687</v>
      </c>
      <c r="D861" s="28">
        <v>3687</v>
      </c>
      <c r="E861" s="2" t="str">
        <f t="shared" si="28"/>
        <v>Same</v>
      </c>
      <c r="F861" s="6" t="s">
        <v>1949</v>
      </c>
      <c r="G861" s="3">
        <v>133.94999999999999</v>
      </c>
      <c r="H861" s="2" t="s">
        <v>843</v>
      </c>
      <c r="I861" s="4">
        <f>[1]Sheet1!I861</f>
        <v>0</v>
      </c>
      <c r="J861" s="3" t="str">
        <f t="shared" si="27"/>
        <v>3687_A1C1.webp</v>
      </c>
      <c r="K861" s="5">
        <f>Sheet4!E861</f>
        <v>72</v>
      </c>
      <c r="L861" s="5"/>
      <c r="M861" s="4"/>
    </row>
    <row r="862" spans="1:13" x14ac:dyDescent="0.25">
      <c r="A862" t="s">
        <v>2622</v>
      </c>
      <c r="B862" t="s">
        <v>3780</v>
      </c>
      <c r="C862" s="25">
        <v>3690</v>
      </c>
      <c r="D862" s="28">
        <v>3690</v>
      </c>
      <c r="E862" s="2" t="str">
        <f t="shared" si="28"/>
        <v>Same</v>
      </c>
      <c r="F862" s="6" t="s">
        <v>1882</v>
      </c>
      <c r="G862" s="3">
        <v>60.95</v>
      </c>
      <c r="H862" s="2" t="s">
        <v>844</v>
      </c>
      <c r="I862" s="4">
        <f>[1]Sheet1!I862</f>
        <v>727</v>
      </c>
      <c r="J862" s="3" t="str">
        <f t="shared" si="27"/>
        <v>3690_A1C1.webp</v>
      </c>
      <c r="K862" s="5">
        <f>Sheet4!E862</f>
        <v>24</v>
      </c>
      <c r="L862" s="5"/>
      <c r="M862" s="4"/>
    </row>
    <row r="863" spans="1:13" x14ac:dyDescent="0.25">
      <c r="A863" t="s">
        <v>2622</v>
      </c>
      <c r="B863" t="s">
        <v>3780</v>
      </c>
      <c r="C863" s="25">
        <v>3691</v>
      </c>
      <c r="D863" s="28">
        <v>3691</v>
      </c>
      <c r="E863" s="2" t="str">
        <f t="shared" si="28"/>
        <v>Same</v>
      </c>
      <c r="F863" s="6" t="s">
        <v>1874</v>
      </c>
      <c r="G863" s="3">
        <v>43.95</v>
      </c>
      <c r="H863" s="2" t="s">
        <v>845</v>
      </c>
      <c r="I863" s="4">
        <f>[1]Sheet1!I863</f>
        <v>2046</v>
      </c>
      <c r="J863" s="3" t="str">
        <f t="shared" si="27"/>
        <v>3691_A1C1.webp</v>
      </c>
      <c r="K863" s="5">
        <f>Sheet4!E863</f>
        <v>24</v>
      </c>
      <c r="L863" s="5"/>
      <c r="M863" s="4"/>
    </row>
    <row r="864" spans="1:13" x14ac:dyDescent="0.25">
      <c r="A864" t="s">
        <v>2671</v>
      </c>
      <c r="B864" t="s">
        <v>2622</v>
      </c>
      <c r="C864" s="25">
        <v>3694</v>
      </c>
      <c r="D864" s="28">
        <v>3694</v>
      </c>
      <c r="E864" s="2" t="str">
        <f t="shared" si="28"/>
        <v>Same</v>
      </c>
      <c r="G864">
        <v>860.95</v>
      </c>
      <c r="H864" s="2" t="s">
        <v>846</v>
      </c>
      <c r="I864" s="4">
        <f>[1]Sheet1!I864</f>
        <v>0</v>
      </c>
      <c r="J864" s="3" t="str">
        <f t="shared" si="27"/>
        <v>3694_A1C1.webp</v>
      </c>
      <c r="K864" s="5">
        <f>Sheet4!E864</f>
        <v>456</v>
      </c>
      <c r="L864" s="5"/>
      <c r="M864" s="4"/>
    </row>
    <row r="865" spans="1:13" x14ac:dyDescent="0.25">
      <c r="A865" t="s">
        <v>2622</v>
      </c>
      <c r="B865" t="s">
        <v>3780</v>
      </c>
      <c r="C865" s="25">
        <v>3695</v>
      </c>
      <c r="D865" s="28">
        <v>3695</v>
      </c>
      <c r="E865" s="2" t="str">
        <f t="shared" si="28"/>
        <v>Same</v>
      </c>
      <c r="F865" s="6" t="s">
        <v>1882</v>
      </c>
      <c r="G865" s="3">
        <v>60.95</v>
      </c>
      <c r="H865" s="2" t="s">
        <v>847</v>
      </c>
      <c r="I865" s="4">
        <f>[1]Sheet1!I865</f>
        <v>67</v>
      </c>
      <c r="J865" s="3" t="str">
        <f t="shared" si="27"/>
        <v>3695_A1C1.webp</v>
      </c>
      <c r="K865" s="5">
        <f>Sheet4!E865</f>
        <v>24</v>
      </c>
      <c r="L865" s="5"/>
      <c r="M865" s="4"/>
    </row>
    <row r="866" spans="1:13" x14ac:dyDescent="0.25">
      <c r="A866" t="s">
        <v>2622</v>
      </c>
      <c r="B866" t="s">
        <v>3780</v>
      </c>
      <c r="C866" s="25">
        <v>3696</v>
      </c>
      <c r="D866" s="28">
        <v>3696</v>
      </c>
      <c r="E866" s="2" t="str">
        <f t="shared" si="28"/>
        <v>Same</v>
      </c>
      <c r="F866" s="6" t="s">
        <v>1874</v>
      </c>
      <c r="G866" s="3">
        <v>43.95</v>
      </c>
      <c r="H866" s="2" t="s">
        <v>848</v>
      </c>
      <c r="I866" s="4">
        <f>[1]Sheet1!I866</f>
        <v>774</v>
      </c>
      <c r="J866" s="3" t="str">
        <f t="shared" si="27"/>
        <v>3696_A1C1.webp</v>
      </c>
      <c r="K866" s="5">
        <f>Sheet4!E866</f>
        <v>24</v>
      </c>
      <c r="L866" s="5"/>
      <c r="M866" s="4"/>
    </row>
    <row r="867" spans="1:13" x14ac:dyDescent="0.25">
      <c r="A867" t="s">
        <v>3258</v>
      </c>
      <c r="B867" t="s">
        <v>3872</v>
      </c>
      <c r="C867" s="25">
        <v>3706</v>
      </c>
      <c r="D867" s="28">
        <v>3706</v>
      </c>
      <c r="E867" s="2" t="str">
        <f t="shared" si="28"/>
        <v>Same</v>
      </c>
      <c r="F867" s="6" t="s">
        <v>1859</v>
      </c>
      <c r="G867" s="3">
        <v>39.35</v>
      </c>
      <c r="H867" s="2" t="s">
        <v>849</v>
      </c>
      <c r="I867" s="4">
        <f>[1]Sheet1!I867</f>
        <v>26</v>
      </c>
      <c r="J867" s="3" t="str">
        <f t="shared" si="27"/>
        <v>3706_A1C1.webp</v>
      </c>
      <c r="K867" s="5">
        <f>Sheet4!E867</f>
        <v>24</v>
      </c>
      <c r="L867" s="5"/>
      <c r="M867" s="4"/>
    </row>
    <row r="868" spans="1:13" x14ac:dyDescent="0.25">
      <c r="A868" t="s">
        <v>3875</v>
      </c>
      <c r="B868" t="s">
        <v>3876</v>
      </c>
      <c r="C868" s="25">
        <v>3713</v>
      </c>
      <c r="D868" s="28">
        <v>3713</v>
      </c>
      <c r="E868" s="2" t="str">
        <f t="shared" si="28"/>
        <v>Same</v>
      </c>
      <c r="F868" s="6" t="s">
        <v>1876</v>
      </c>
      <c r="G868" s="3">
        <v>27.95</v>
      </c>
      <c r="H868" s="2" t="s">
        <v>850</v>
      </c>
      <c r="I868" s="4">
        <f>[1]Sheet1!I868</f>
        <v>602</v>
      </c>
      <c r="J868" s="3" t="str">
        <f t="shared" si="27"/>
        <v>3713_A1C1.webp</v>
      </c>
      <c r="K868" s="5">
        <f>Sheet4!E868</f>
        <v>12</v>
      </c>
      <c r="L868" s="5"/>
      <c r="M868" s="4"/>
    </row>
    <row r="869" spans="1:13" x14ac:dyDescent="0.25">
      <c r="A869" t="s">
        <v>3875</v>
      </c>
      <c r="B869" t="s">
        <v>3876</v>
      </c>
      <c r="C869" s="25">
        <v>3714</v>
      </c>
      <c r="D869" s="28">
        <v>3714</v>
      </c>
      <c r="E869" s="2" t="str">
        <f t="shared" si="28"/>
        <v>Same</v>
      </c>
      <c r="F869" s="6" t="s">
        <v>1876</v>
      </c>
      <c r="G869" s="3">
        <v>27.95</v>
      </c>
      <c r="H869" s="2" t="s">
        <v>851</v>
      </c>
      <c r="I869" s="4">
        <f>[1]Sheet1!I869</f>
        <v>275</v>
      </c>
      <c r="J869" s="3" t="str">
        <f t="shared" si="27"/>
        <v>3714_A1C1.webp</v>
      </c>
      <c r="K869" s="5">
        <f>Sheet4!E869</f>
        <v>12</v>
      </c>
      <c r="L869" s="5"/>
      <c r="M869" s="4"/>
    </row>
    <row r="870" spans="1:13" x14ac:dyDescent="0.25">
      <c r="A870" t="s">
        <v>3258</v>
      </c>
      <c r="B870" t="s">
        <v>3879</v>
      </c>
      <c r="C870" s="25">
        <v>3718</v>
      </c>
      <c r="D870" s="28">
        <v>3718</v>
      </c>
      <c r="E870" s="2" t="str">
        <f t="shared" si="28"/>
        <v>Same</v>
      </c>
      <c r="F870" s="6" t="s">
        <v>1938</v>
      </c>
      <c r="G870" s="3">
        <v>63.5</v>
      </c>
      <c r="H870" s="2" t="s">
        <v>852</v>
      </c>
      <c r="I870" s="4">
        <f>[1]Sheet1!I870</f>
        <v>230</v>
      </c>
      <c r="J870" s="3" t="str">
        <f t="shared" si="27"/>
        <v>3718_A1C1.webp</v>
      </c>
      <c r="K870" s="5">
        <f>Sheet4!E870</f>
        <v>12</v>
      </c>
      <c r="L870" s="5"/>
      <c r="M870" s="4"/>
    </row>
    <row r="871" spans="1:13" x14ac:dyDescent="0.25">
      <c r="A871" t="s">
        <v>3258</v>
      </c>
      <c r="B871" t="s">
        <v>3259</v>
      </c>
      <c r="C871" s="25">
        <v>3720</v>
      </c>
      <c r="D871" s="28">
        <v>3720</v>
      </c>
      <c r="E871" s="2" t="str">
        <f t="shared" si="28"/>
        <v>Same</v>
      </c>
      <c r="F871" s="6" t="s">
        <v>1955</v>
      </c>
      <c r="H871" s="2" t="s">
        <v>853</v>
      </c>
      <c r="I871" s="4">
        <f>[1]Sheet1!I871</f>
        <v>0</v>
      </c>
      <c r="J871" s="3" t="str">
        <f t="shared" si="27"/>
        <v>3720_A1C1.webp</v>
      </c>
      <c r="K871" s="5">
        <f>Sheet4!E871</f>
        <v>24</v>
      </c>
      <c r="L871" s="5"/>
      <c r="M871" s="4"/>
    </row>
    <row r="872" spans="1:13" x14ac:dyDescent="0.25">
      <c r="A872" t="s">
        <v>3881</v>
      </c>
      <c r="B872" t="s">
        <v>3881</v>
      </c>
      <c r="C872" s="25">
        <v>3721</v>
      </c>
      <c r="D872" s="28">
        <v>3721</v>
      </c>
      <c r="E872" s="2" t="str">
        <f t="shared" si="28"/>
        <v>Same</v>
      </c>
      <c r="F872" s="6" t="s">
        <v>1847</v>
      </c>
      <c r="G872" s="3">
        <v>33.5</v>
      </c>
      <c r="H872" s="2" t="s">
        <v>854</v>
      </c>
      <c r="I872" s="4">
        <f>[1]Sheet1!I872</f>
        <v>0</v>
      </c>
      <c r="J872" s="3" t="str">
        <f t="shared" si="27"/>
        <v>3721_A1C1.webp</v>
      </c>
      <c r="K872" s="5">
        <f>Sheet4!E872</f>
        <v>12</v>
      </c>
      <c r="L872" s="5"/>
      <c r="M872" s="4"/>
    </row>
    <row r="873" spans="1:13" x14ac:dyDescent="0.25">
      <c r="A873" t="s">
        <v>3258</v>
      </c>
      <c r="B873" t="s">
        <v>3259</v>
      </c>
      <c r="C873" s="25">
        <v>3724</v>
      </c>
      <c r="D873" s="28">
        <v>3724</v>
      </c>
      <c r="E873" s="2" t="str">
        <f t="shared" si="28"/>
        <v>Same</v>
      </c>
      <c r="F873" s="6" t="s">
        <v>1956</v>
      </c>
      <c r="G873" s="3">
        <v>24.95</v>
      </c>
      <c r="H873" s="2" t="s">
        <v>855</v>
      </c>
      <c r="I873" s="4">
        <f>[1]Sheet1!I873</f>
        <v>13</v>
      </c>
      <c r="J873" s="3" t="str">
        <f t="shared" si="27"/>
        <v>3724_A1C1.webp</v>
      </c>
      <c r="K873" s="5">
        <f>Sheet4!E873</f>
        <v>12</v>
      </c>
      <c r="L873" s="5"/>
      <c r="M873" s="4"/>
    </row>
    <row r="874" spans="1:13" x14ac:dyDescent="0.25">
      <c r="A874" t="s">
        <v>3258</v>
      </c>
      <c r="B874" t="s">
        <v>3259</v>
      </c>
      <c r="C874" s="25">
        <v>3726</v>
      </c>
      <c r="D874" s="28">
        <v>3726</v>
      </c>
      <c r="E874" s="2" t="str">
        <f t="shared" si="28"/>
        <v>Same</v>
      </c>
      <c r="F874" s="6" t="s">
        <v>1957</v>
      </c>
      <c r="G874" s="3">
        <v>43.5</v>
      </c>
      <c r="H874" s="2" t="s">
        <v>856</v>
      </c>
      <c r="I874" s="4">
        <f>[1]Sheet1!I874</f>
        <v>67</v>
      </c>
      <c r="J874" s="3" t="str">
        <f t="shared" si="27"/>
        <v>3726_A1C1.webp</v>
      </c>
      <c r="K874" s="5">
        <f>Sheet4!E874</f>
        <v>12</v>
      </c>
      <c r="L874" s="5"/>
      <c r="M874" s="4"/>
    </row>
    <row r="875" spans="1:13" x14ac:dyDescent="0.25">
      <c r="A875" t="s">
        <v>3258</v>
      </c>
      <c r="B875" t="s">
        <v>3259</v>
      </c>
      <c r="C875" s="25">
        <v>3727</v>
      </c>
      <c r="D875" s="28">
        <v>3727</v>
      </c>
      <c r="E875" s="2" t="str">
        <f t="shared" si="28"/>
        <v>Same</v>
      </c>
      <c r="F875" s="6" t="s">
        <v>1958</v>
      </c>
      <c r="G875" s="3">
        <v>39.5</v>
      </c>
      <c r="H875" s="2" t="s">
        <v>857</v>
      </c>
      <c r="I875" s="4">
        <f>[1]Sheet1!I875</f>
        <v>143</v>
      </c>
      <c r="J875" s="3" t="str">
        <f t="shared" si="27"/>
        <v>3727_A1C1.webp</v>
      </c>
      <c r="K875" s="5">
        <f>Sheet4!E875</f>
        <v>12</v>
      </c>
      <c r="L875" s="5"/>
      <c r="M875" s="4"/>
    </row>
    <row r="876" spans="1:13" x14ac:dyDescent="0.25">
      <c r="A876" t="s">
        <v>3258</v>
      </c>
      <c r="B876" t="s">
        <v>3259</v>
      </c>
      <c r="C876" s="25">
        <v>3728</v>
      </c>
      <c r="D876" s="28">
        <v>3728</v>
      </c>
      <c r="E876" s="2" t="str">
        <f t="shared" si="28"/>
        <v>Same</v>
      </c>
      <c r="F876" s="6" t="s">
        <v>1959</v>
      </c>
      <c r="G876" s="3">
        <v>41.5</v>
      </c>
      <c r="H876" s="2" t="s">
        <v>858</v>
      </c>
      <c r="I876" s="4">
        <f>[1]Sheet1!I876</f>
        <v>14</v>
      </c>
      <c r="J876" s="3" t="str">
        <f t="shared" si="27"/>
        <v>3728_A1C1.webp</v>
      </c>
      <c r="K876" s="5">
        <f>Sheet4!E876</f>
        <v>12</v>
      </c>
      <c r="L876" s="5"/>
      <c r="M876" s="4"/>
    </row>
    <row r="877" spans="1:13" x14ac:dyDescent="0.25">
      <c r="A877" t="s">
        <v>3258</v>
      </c>
      <c r="B877" t="s">
        <v>3259</v>
      </c>
      <c r="C877" s="25">
        <v>3729</v>
      </c>
      <c r="D877" s="28">
        <v>3729</v>
      </c>
      <c r="E877" s="2" t="str">
        <f t="shared" si="28"/>
        <v>Same</v>
      </c>
      <c r="F877" s="6" t="s">
        <v>1960</v>
      </c>
      <c r="G877" s="3">
        <v>45.5</v>
      </c>
      <c r="H877" s="2" t="s">
        <v>859</v>
      </c>
      <c r="I877" s="4">
        <f>[1]Sheet1!I877</f>
        <v>91</v>
      </c>
      <c r="J877" s="3" t="str">
        <f t="shared" si="27"/>
        <v>3729_A1C1.webp</v>
      </c>
      <c r="K877" s="5">
        <f>Sheet4!E877</f>
        <v>12</v>
      </c>
      <c r="L877" s="5"/>
      <c r="M877" s="4"/>
    </row>
    <row r="878" spans="1:13" x14ac:dyDescent="0.25">
      <c r="A878" t="s">
        <v>3258</v>
      </c>
      <c r="B878" t="s">
        <v>3259</v>
      </c>
      <c r="C878" s="25">
        <v>3732</v>
      </c>
      <c r="D878" s="28">
        <v>3732</v>
      </c>
      <c r="E878" s="2" t="str">
        <f t="shared" si="28"/>
        <v>Same</v>
      </c>
      <c r="F878" s="6" t="s">
        <v>1959</v>
      </c>
      <c r="G878" s="3">
        <v>45.5</v>
      </c>
      <c r="H878" s="2" t="s">
        <v>860</v>
      </c>
      <c r="I878" s="4">
        <f>[1]Sheet1!I878</f>
        <v>72</v>
      </c>
      <c r="J878" s="3" t="str">
        <f t="shared" si="27"/>
        <v>3732_A1C1.webp</v>
      </c>
      <c r="K878" s="5">
        <f>Sheet4!E878</f>
        <v>12</v>
      </c>
      <c r="L878" s="5"/>
      <c r="M878" s="4"/>
    </row>
    <row r="879" spans="1:13" x14ac:dyDescent="0.25">
      <c r="A879" t="s">
        <v>3258</v>
      </c>
      <c r="B879" t="s">
        <v>3259</v>
      </c>
      <c r="C879" s="25">
        <v>3733</v>
      </c>
      <c r="D879" s="28">
        <v>3733</v>
      </c>
      <c r="E879" s="2" t="str">
        <f t="shared" si="28"/>
        <v>Same</v>
      </c>
      <c r="F879" s="6" t="s">
        <v>1961</v>
      </c>
      <c r="G879" s="3">
        <v>43.5</v>
      </c>
      <c r="H879" s="2" t="s">
        <v>861</v>
      </c>
      <c r="I879" s="4">
        <f>[1]Sheet1!I879</f>
        <v>0</v>
      </c>
      <c r="J879" s="3" t="str">
        <f t="shared" si="27"/>
        <v>3733_A1C1.webp</v>
      </c>
      <c r="K879" s="5">
        <f>Sheet4!E879</f>
        <v>12</v>
      </c>
      <c r="L879" s="5"/>
      <c r="M879" s="4"/>
    </row>
    <row r="880" spans="1:13" x14ac:dyDescent="0.25">
      <c r="A880" t="s">
        <v>2633</v>
      </c>
      <c r="B880" t="s">
        <v>3898</v>
      </c>
      <c r="C880" s="25">
        <v>3734</v>
      </c>
      <c r="D880" s="28">
        <v>3734</v>
      </c>
      <c r="E880" s="2" t="str">
        <f t="shared" si="28"/>
        <v>Same</v>
      </c>
      <c r="F880" s="6" t="s">
        <v>1939</v>
      </c>
      <c r="G880" s="3">
        <v>31.75</v>
      </c>
      <c r="H880" s="2" t="s">
        <v>862</v>
      </c>
      <c r="I880" s="4">
        <f>[1]Sheet1!I880</f>
        <v>254</v>
      </c>
      <c r="J880" s="3" t="str">
        <f t="shared" si="27"/>
        <v>3734_A1C1.webp</v>
      </c>
      <c r="K880" s="5">
        <f>Sheet4!E880</f>
        <v>12</v>
      </c>
      <c r="L880" s="5"/>
      <c r="M880" s="4"/>
    </row>
    <row r="881" spans="1:13" x14ac:dyDescent="0.25">
      <c r="A881" t="s">
        <v>3258</v>
      </c>
      <c r="B881" t="s">
        <v>3259</v>
      </c>
      <c r="C881" s="25">
        <v>3736</v>
      </c>
      <c r="D881" s="28">
        <v>3736</v>
      </c>
      <c r="E881" s="2" t="str">
        <f t="shared" si="28"/>
        <v>Same</v>
      </c>
      <c r="F881" s="6" t="s">
        <v>1921</v>
      </c>
      <c r="G881" s="3">
        <v>50.5</v>
      </c>
      <c r="H881" s="2" t="s">
        <v>863</v>
      </c>
      <c r="I881" s="4">
        <f>[1]Sheet1!I881</f>
        <v>106</v>
      </c>
      <c r="J881" s="3" t="str">
        <f t="shared" si="27"/>
        <v>3736_A1C1.webp</v>
      </c>
      <c r="K881" s="5">
        <f>Sheet4!E881</f>
        <v>12</v>
      </c>
      <c r="L881" s="5"/>
      <c r="M881" s="4"/>
    </row>
    <row r="882" spans="1:13" x14ac:dyDescent="0.25">
      <c r="A882" t="s">
        <v>3258</v>
      </c>
      <c r="B882" t="s">
        <v>3259</v>
      </c>
      <c r="C882" s="25">
        <v>3737</v>
      </c>
      <c r="D882" s="28">
        <v>3737</v>
      </c>
      <c r="E882" s="2" t="str">
        <f t="shared" si="28"/>
        <v>Same</v>
      </c>
      <c r="F882" s="6" t="s">
        <v>1956</v>
      </c>
      <c r="G882" s="3">
        <v>46.5</v>
      </c>
      <c r="H882" s="2" t="s">
        <v>864</v>
      </c>
      <c r="I882" s="4">
        <f>[1]Sheet1!I882</f>
        <v>22</v>
      </c>
      <c r="J882" s="3" t="str">
        <f t="shared" si="27"/>
        <v>3737_A1C1.webp</v>
      </c>
      <c r="K882" s="5">
        <f>Sheet4!E882</f>
        <v>24</v>
      </c>
      <c r="L882" s="5"/>
      <c r="M882" s="4"/>
    </row>
    <row r="883" spans="1:13" x14ac:dyDescent="0.25">
      <c r="A883" t="s">
        <v>3258</v>
      </c>
      <c r="B883" t="s">
        <v>3259</v>
      </c>
      <c r="C883" s="25">
        <v>3740</v>
      </c>
      <c r="D883" s="28">
        <v>3740</v>
      </c>
      <c r="E883" s="2" t="str">
        <f t="shared" si="28"/>
        <v>Same</v>
      </c>
      <c r="F883" s="6" t="s">
        <v>1960</v>
      </c>
      <c r="G883" s="3">
        <v>69.95</v>
      </c>
      <c r="H883" s="2" t="s">
        <v>865</v>
      </c>
      <c r="I883" s="4">
        <f>[1]Sheet1!I883</f>
        <v>86</v>
      </c>
      <c r="J883" s="3" t="str">
        <f t="shared" si="27"/>
        <v>3740_A1C1.webp</v>
      </c>
      <c r="K883" s="5">
        <f>Sheet4!E883</f>
        <v>24</v>
      </c>
      <c r="L883" s="5"/>
      <c r="M883" s="4"/>
    </row>
    <row r="884" spans="1:13" x14ac:dyDescent="0.25">
      <c r="A884" t="s">
        <v>3258</v>
      </c>
      <c r="B884" t="s">
        <v>3259</v>
      </c>
      <c r="C884" s="25">
        <v>3741</v>
      </c>
      <c r="D884" s="28">
        <v>3741</v>
      </c>
      <c r="E884" s="2" t="str">
        <f t="shared" si="28"/>
        <v>Same</v>
      </c>
      <c r="F884" s="6" t="s">
        <v>1862</v>
      </c>
      <c r="G884" s="3">
        <v>41.95</v>
      </c>
      <c r="H884" s="2" t="s">
        <v>866</v>
      </c>
      <c r="I884" s="4">
        <f>[1]Sheet1!I884</f>
        <v>43</v>
      </c>
      <c r="J884" s="3" t="str">
        <f t="shared" si="27"/>
        <v>3741_A1C1.webp</v>
      </c>
      <c r="K884" s="5">
        <f>Sheet4!E884</f>
        <v>12</v>
      </c>
      <c r="L884" s="5"/>
      <c r="M884" s="4"/>
    </row>
    <row r="885" spans="1:13" x14ac:dyDescent="0.25">
      <c r="A885" t="s">
        <v>3258</v>
      </c>
      <c r="B885" t="s">
        <v>3259</v>
      </c>
      <c r="C885" s="25">
        <v>3742</v>
      </c>
      <c r="D885" s="28">
        <v>3742</v>
      </c>
      <c r="E885" s="2" t="str">
        <f t="shared" si="28"/>
        <v>Same</v>
      </c>
      <c r="F885" s="6" t="s">
        <v>1962</v>
      </c>
      <c r="G885" s="3">
        <v>39.5</v>
      </c>
      <c r="H885" s="2" t="s">
        <v>867</v>
      </c>
      <c r="I885" s="4">
        <f>[1]Sheet1!I885</f>
        <v>42</v>
      </c>
      <c r="J885" s="3" t="str">
        <f t="shared" si="27"/>
        <v>3742_A1C1.webp</v>
      </c>
      <c r="K885" s="5">
        <f>Sheet4!E885</f>
        <v>12</v>
      </c>
      <c r="L885" s="5"/>
      <c r="M885" s="4"/>
    </row>
    <row r="886" spans="1:13" x14ac:dyDescent="0.25">
      <c r="A886" t="s">
        <v>3258</v>
      </c>
      <c r="B886" t="s">
        <v>3259</v>
      </c>
      <c r="C886" s="25">
        <v>3743</v>
      </c>
      <c r="D886" s="28">
        <v>3743</v>
      </c>
      <c r="E886" s="2" t="str">
        <f t="shared" si="28"/>
        <v>Same</v>
      </c>
      <c r="F886" s="6" t="s">
        <v>1958</v>
      </c>
      <c r="G886" s="3">
        <v>29.95</v>
      </c>
      <c r="H886" s="2" t="s">
        <v>868</v>
      </c>
      <c r="I886" s="4">
        <f>[1]Sheet1!I886</f>
        <v>51</v>
      </c>
      <c r="J886" s="3" t="str">
        <f t="shared" si="27"/>
        <v>3743_A1C1.webp</v>
      </c>
      <c r="K886" s="5">
        <f>Sheet4!E886</f>
        <v>12</v>
      </c>
      <c r="L886" s="5"/>
      <c r="M886" s="4"/>
    </row>
    <row r="887" spans="1:13" x14ac:dyDescent="0.25">
      <c r="A887" t="s">
        <v>3258</v>
      </c>
      <c r="B887" t="s">
        <v>3259</v>
      </c>
      <c r="C887" s="25">
        <v>3746</v>
      </c>
      <c r="D887" s="28">
        <v>3746</v>
      </c>
      <c r="E887" s="2" t="str">
        <f t="shared" si="28"/>
        <v>Same</v>
      </c>
      <c r="F887" s="6" t="s">
        <v>1959</v>
      </c>
      <c r="G887" s="3">
        <v>58.95</v>
      </c>
      <c r="H887" s="2" t="s">
        <v>869</v>
      </c>
      <c r="I887" s="4">
        <f>[1]Sheet1!I887</f>
        <v>0</v>
      </c>
      <c r="J887" s="3" t="str">
        <f t="shared" si="27"/>
        <v>3746_A1C1.webp</v>
      </c>
      <c r="K887" s="5">
        <f>Sheet4!E887</f>
        <v>24</v>
      </c>
      <c r="L887" s="5"/>
      <c r="M887" s="4"/>
    </row>
    <row r="888" spans="1:13" x14ac:dyDescent="0.25">
      <c r="A888" t="s">
        <v>3258</v>
      </c>
      <c r="B888" t="s">
        <v>3259</v>
      </c>
      <c r="C888" s="25">
        <v>3748</v>
      </c>
      <c r="D888" s="28">
        <v>3748</v>
      </c>
      <c r="E888" s="2" t="str">
        <f t="shared" si="28"/>
        <v>Same</v>
      </c>
      <c r="F888" s="6" t="s">
        <v>1963</v>
      </c>
      <c r="G888" s="3">
        <v>58.5</v>
      </c>
      <c r="H888" s="2" t="s">
        <v>870</v>
      </c>
      <c r="I888" s="4">
        <f>[1]Sheet1!I888</f>
        <v>86</v>
      </c>
      <c r="J888" s="3" t="str">
        <f t="shared" si="27"/>
        <v>3748_A1C1.webp</v>
      </c>
      <c r="K888" s="5">
        <f>Sheet4!E888</f>
        <v>24</v>
      </c>
      <c r="L888" s="5"/>
      <c r="M888" s="4"/>
    </row>
    <row r="889" spans="1:13" x14ac:dyDescent="0.25">
      <c r="A889" t="s">
        <v>3258</v>
      </c>
      <c r="B889" t="s">
        <v>3259</v>
      </c>
      <c r="C889" s="25">
        <v>3750</v>
      </c>
      <c r="D889" s="28">
        <v>3750</v>
      </c>
      <c r="E889" s="2" t="str">
        <f t="shared" si="28"/>
        <v>Same</v>
      </c>
      <c r="F889" s="6" t="s">
        <v>1964</v>
      </c>
      <c r="G889" s="3">
        <v>41.95</v>
      </c>
      <c r="H889" s="2" t="s">
        <v>871</v>
      </c>
      <c r="I889" s="4">
        <f>[1]Sheet1!I889</f>
        <v>184</v>
      </c>
      <c r="J889" s="3" t="str">
        <f t="shared" si="27"/>
        <v>3750_A1C1.webp</v>
      </c>
      <c r="K889" s="5">
        <f>Sheet4!E889</f>
        <v>12</v>
      </c>
      <c r="L889" s="5"/>
      <c r="M889" s="4"/>
    </row>
    <row r="890" spans="1:13" x14ac:dyDescent="0.25">
      <c r="A890" t="s">
        <v>3258</v>
      </c>
      <c r="B890" t="s">
        <v>3259</v>
      </c>
      <c r="C890" s="25">
        <v>3756</v>
      </c>
      <c r="D890" s="28">
        <v>3756</v>
      </c>
      <c r="E890" s="2" t="str">
        <f t="shared" si="28"/>
        <v>Same</v>
      </c>
      <c r="F890" s="6" t="s">
        <v>1862</v>
      </c>
      <c r="G890" s="3">
        <v>67.5</v>
      </c>
      <c r="H890" s="2" t="s">
        <v>872</v>
      </c>
      <c r="I890" s="4">
        <f>[1]Sheet1!I890</f>
        <v>9</v>
      </c>
      <c r="J890" s="3" t="str">
        <f t="shared" si="27"/>
        <v>3756_A1C1.webp</v>
      </c>
      <c r="K890" s="5">
        <f>Sheet4!E890</f>
        <v>24</v>
      </c>
      <c r="L890" s="5"/>
      <c r="M890" s="4"/>
    </row>
    <row r="891" spans="1:13" x14ac:dyDescent="0.25">
      <c r="A891" t="s">
        <v>3258</v>
      </c>
      <c r="B891" t="s">
        <v>3259</v>
      </c>
      <c r="C891" s="25">
        <v>3760</v>
      </c>
      <c r="D891" s="28">
        <v>3760</v>
      </c>
      <c r="E891" s="2" t="str">
        <f t="shared" si="28"/>
        <v>Same</v>
      </c>
      <c r="F891" s="6" t="s">
        <v>1965</v>
      </c>
      <c r="G891" s="3">
        <v>29.5</v>
      </c>
      <c r="H891" s="2" t="s">
        <v>873</v>
      </c>
      <c r="I891" s="4">
        <f>[1]Sheet1!I891</f>
        <v>18</v>
      </c>
      <c r="J891" s="3" t="str">
        <f t="shared" si="27"/>
        <v>3760_A1C1.webp</v>
      </c>
      <c r="K891" s="5">
        <f>Sheet4!E891</f>
        <v>12</v>
      </c>
      <c r="L891" s="5"/>
      <c r="M891" s="4"/>
    </row>
    <row r="892" spans="1:13" x14ac:dyDescent="0.25">
      <c r="A892" t="s">
        <v>3258</v>
      </c>
      <c r="B892" t="s">
        <v>3259</v>
      </c>
      <c r="C892" s="25">
        <v>3761</v>
      </c>
      <c r="D892" s="28">
        <v>3761</v>
      </c>
      <c r="E892" s="2" t="str">
        <f t="shared" si="28"/>
        <v>Same</v>
      </c>
      <c r="F892" s="6" t="s">
        <v>1960</v>
      </c>
      <c r="G892" s="3">
        <v>36.950000000000003</v>
      </c>
      <c r="H892" s="2" t="s">
        <v>874</v>
      </c>
      <c r="I892" s="4">
        <f>[1]Sheet1!I892</f>
        <v>34</v>
      </c>
      <c r="J892" s="3" t="str">
        <f t="shared" si="27"/>
        <v>3761_A1C1.webp</v>
      </c>
      <c r="K892" s="5">
        <f>Sheet4!E892</f>
        <v>12</v>
      </c>
      <c r="L892" s="5"/>
      <c r="M892" s="4"/>
    </row>
    <row r="893" spans="1:13" x14ac:dyDescent="0.25">
      <c r="A893" t="s">
        <v>3258</v>
      </c>
      <c r="B893" t="s">
        <v>3259</v>
      </c>
      <c r="C893" s="25">
        <v>3763</v>
      </c>
      <c r="D893" s="28">
        <v>3763</v>
      </c>
      <c r="E893" s="2" t="str">
        <f t="shared" si="28"/>
        <v>Same</v>
      </c>
      <c r="F893" s="6" t="s">
        <v>1966</v>
      </c>
      <c r="G893" s="3">
        <v>38.950000000000003</v>
      </c>
      <c r="H893" s="2" t="s">
        <v>875</v>
      </c>
      <c r="I893" s="4">
        <f>[1]Sheet1!I893</f>
        <v>86</v>
      </c>
      <c r="J893" s="3" t="str">
        <f t="shared" si="27"/>
        <v>3763_A1C1.webp</v>
      </c>
      <c r="K893" s="5">
        <f>Sheet4!E893</f>
        <v>12</v>
      </c>
      <c r="L893" s="5"/>
      <c r="M893" s="4"/>
    </row>
    <row r="894" spans="1:13" x14ac:dyDescent="0.25">
      <c r="A894" t="s">
        <v>3258</v>
      </c>
      <c r="B894" t="s">
        <v>3259</v>
      </c>
      <c r="C894" s="25">
        <v>3767</v>
      </c>
      <c r="D894" s="28">
        <v>3767</v>
      </c>
      <c r="E894" s="2" t="str">
        <f t="shared" si="28"/>
        <v>Same</v>
      </c>
      <c r="F894" s="6" t="s">
        <v>1959</v>
      </c>
      <c r="G894" s="3">
        <v>53.95</v>
      </c>
      <c r="H894" s="2" t="s">
        <v>876</v>
      </c>
      <c r="I894" s="4">
        <f>[1]Sheet1!I894</f>
        <v>183</v>
      </c>
      <c r="J894" s="3" t="str">
        <f t="shared" si="27"/>
        <v>3767_A1C1.webp</v>
      </c>
      <c r="K894" s="5">
        <f>Sheet4!E894</f>
        <v>24</v>
      </c>
      <c r="L894" s="5"/>
      <c r="M894" s="4"/>
    </row>
    <row r="895" spans="1:13" x14ac:dyDescent="0.25">
      <c r="A895" t="s">
        <v>3258</v>
      </c>
      <c r="B895" t="s">
        <v>3930</v>
      </c>
      <c r="C895" s="25">
        <v>3769</v>
      </c>
      <c r="D895" s="28">
        <v>3769</v>
      </c>
      <c r="E895" s="2" t="str">
        <f t="shared" si="28"/>
        <v>Same</v>
      </c>
      <c r="F895" s="6" t="s">
        <v>1967</v>
      </c>
      <c r="G895" s="3">
        <v>44.55</v>
      </c>
      <c r="H895" s="2" t="s">
        <v>877</v>
      </c>
      <c r="I895" s="4">
        <f>[1]Sheet1!I895</f>
        <v>524</v>
      </c>
      <c r="J895" s="3" t="str">
        <f t="shared" si="27"/>
        <v>3769_A1C1.webp</v>
      </c>
      <c r="K895" s="5">
        <f>Sheet4!E895</f>
        <v>18</v>
      </c>
      <c r="L895" s="5"/>
      <c r="M895" s="4"/>
    </row>
    <row r="896" spans="1:13" x14ac:dyDescent="0.25">
      <c r="A896" t="s">
        <v>3258</v>
      </c>
      <c r="B896" t="s">
        <v>3930</v>
      </c>
      <c r="C896" s="25">
        <v>3772</v>
      </c>
      <c r="D896" s="28">
        <v>3772</v>
      </c>
      <c r="E896" s="2" t="str">
        <f t="shared" si="28"/>
        <v>Same</v>
      </c>
      <c r="F896" s="6" t="s">
        <v>1967</v>
      </c>
      <c r="G896" s="3">
        <v>176.85</v>
      </c>
      <c r="H896" s="2" t="s">
        <v>878</v>
      </c>
      <c r="I896" s="4">
        <f>[1]Sheet1!I896</f>
        <v>232</v>
      </c>
      <c r="J896" s="3" t="str">
        <f t="shared" si="27"/>
        <v>3772_A1C1.webp</v>
      </c>
      <c r="K896" s="5">
        <f>Sheet4!E896</f>
        <v>72</v>
      </c>
      <c r="L896" s="5"/>
      <c r="M896" s="4"/>
    </row>
    <row r="897" spans="1:13" x14ac:dyDescent="0.25">
      <c r="A897" t="s">
        <v>3258</v>
      </c>
      <c r="B897" t="s">
        <v>3930</v>
      </c>
      <c r="C897" s="25">
        <v>3773</v>
      </c>
      <c r="D897" s="28">
        <v>3773</v>
      </c>
      <c r="E897" s="2" t="str">
        <f t="shared" si="28"/>
        <v>Same</v>
      </c>
      <c r="F897" s="6" t="s">
        <v>1968</v>
      </c>
      <c r="G897" s="3">
        <v>132.5</v>
      </c>
      <c r="H897" s="2" t="s">
        <v>879</v>
      </c>
      <c r="I897" s="4">
        <f>[1]Sheet1!I897</f>
        <v>597</v>
      </c>
      <c r="J897" s="3" t="str">
        <f t="shared" si="27"/>
        <v>3773_A1C1.webp</v>
      </c>
      <c r="K897" s="5">
        <f>Sheet4!E897</f>
        <v>33</v>
      </c>
      <c r="L897" s="5"/>
      <c r="M897" s="4"/>
    </row>
    <row r="898" spans="1:13" x14ac:dyDescent="0.25">
      <c r="A898" t="s">
        <v>3258</v>
      </c>
      <c r="B898" t="s">
        <v>3930</v>
      </c>
      <c r="C898" s="25">
        <v>3774</v>
      </c>
      <c r="D898" s="28">
        <v>3774</v>
      </c>
      <c r="E898" s="2" t="str">
        <f t="shared" si="28"/>
        <v>Same</v>
      </c>
      <c r="F898" s="6" t="s">
        <v>1967</v>
      </c>
      <c r="G898" s="3">
        <v>44.55</v>
      </c>
      <c r="H898" s="2" t="s">
        <v>880</v>
      </c>
      <c r="I898" s="4">
        <f>[1]Sheet1!I898</f>
        <v>574</v>
      </c>
      <c r="J898" s="3" t="str">
        <f t="shared" ref="J898:J961" si="29">C898 &amp; "_A1C1.webp"</f>
        <v>3774_A1C1.webp</v>
      </c>
      <c r="K898" s="5">
        <f>Sheet4!E898</f>
        <v>18</v>
      </c>
      <c r="L898" s="5"/>
      <c r="M898" s="4"/>
    </row>
    <row r="899" spans="1:13" x14ac:dyDescent="0.25">
      <c r="A899" t="s">
        <v>3258</v>
      </c>
      <c r="B899" t="s">
        <v>3930</v>
      </c>
      <c r="C899" s="25">
        <v>3776</v>
      </c>
      <c r="D899" s="28">
        <v>3776</v>
      </c>
      <c r="E899" s="2" t="str">
        <f t="shared" si="28"/>
        <v>Same</v>
      </c>
      <c r="F899" s="6" t="s">
        <v>1968</v>
      </c>
      <c r="G899" s="3">
        <v>60.8</v>
      </c>
      <c r="H899" s="2" t="s">
        <v>881</v>
      </c>
      <c r="I899" s="4">
        <f>[1]Sheet1!I899</f>
        <v>15403</v>
      </c>
      <c r="J899" s="3" t="str">
        <f t="shared" si="29"/>
        <v>3776_A1C1.webp</v>
      </c>
      <c r="K899" s="5">
        <f>Sheet4!E899</f>
        <v>15</v>
      </c>
      <c r="L899" s="5"/>
      <c r="M899" s="4"/>
    </row>
    <row r="900" spans="1:13" x14ac:dyDescent="0.25">
      <c r="A900" t="s">
        <v>3258</v>
      </c>
      <c r="B900" t="s">
        <v>3930</v>
      </c>
      <c r="C900" s="25">
        <v>3777</v>
      </c>
      <c r="D900" s="28">
        <v>3777</v>
      </c>
      <c r="E900" s="2" t="str">
        <f t="shared" si="28"/>
        <v>Same</v>
      </c>
      <c r="F900" s="6" t="s">
        <v>1967</v>
      </c>
      <c r="G900" s="3">
        <v>44.55</v>
      </c>
      <c r="H900" s="2" t="s">
        <v>882</v>
      </c>
      <c r="I900" s="4">
        <f>[1]Sheet1!I900</f>
        <v>2501</v>
      </c>
      <c r="J900" s="3" t="str">
        <f t="shared" si="29"/>
        <v>3777_A1C1.webp</v>
      </c>
      <c r="K900" s="5">
        <f>Sheet4!E900</f>
        <v>18</v>
      </c>
      <c r="L900" s="5"/>
      <c r="M900" s="4"/>
    </row>
    <row r="901" spans="1:13" x14ac:dyDescent="0.25">
      <c r="A901" t="s">
        <v>3258</v>
      </c>
      <c r="B901" t="s">
        <v>3930</v>
      </c>
      <c r="C901" s="25">
        <v>3778</v>
      </c>
      <c r="D901" s="28">
        <v>3778</v>
      </c>
      <c r="E901" s="2" t="str">
        <f t="shared" si="28"/>
        <v>Same</v>
      </c>
      <c r="F901" s="6" t="s">
        <v>1967</v>
      </c>
      <c r="G901" s="3">
        <v>44.55</v>
      </c>
      <c r="H901" s="2" t="s">
        <v>883</v>
      </c>
      <c r="I901" s="4">
        <f>[1]Sheet1!I901</f>
        <v>1392</v>
      </c>
      <c r="J901" s="3" t="str">
        <f t="shared" si="29"/>
        <v>3778_A1C1.webp</v>
      </c>
      <c r="K901" s="5">
        <f>Sheet4!E901</f>
        <v>18</v>
      </c>
      <c r="L901" s="5"/>
      <c r="M901" s="4"/>
    </row>
    <row r="902" spans="1:13" x14ac:dyDescent="0.25">
      <c r="A902" t="s">
        <v>3258</v>
      </c>
      <c r="B902" t="s">
        <v>3930</v>
      </c>
      <c r="C902" s="25">
        <v>3779</v>
      </c>
      <c r="D902" s="28">
        <v>3779</v>
      </c>
      <c r="E902" s="2" t="str">
        <f t="shared" si="28"/>
        <v>Same</v>
      </c>
      <c r="F902" s="6" t="s">
        <v>1967</v>
      </c>
      <c r="G902" s="3">
        <v>44.55</v>
      </c>
      <c r="H902" s="2" t="s">
        <v>884</v>
      </c>
      <c r="I902" s="4">
        <f>[1]Sheet1!I902</f>
        <v>2152</v>
      </c>
      <c r="J902" s="3" t="str">
        <f t="shared" si="29"/>
        <v>3779_A1C1.webp</v>
      </c>
      <c r="K902" s="5">
        <f>Sheet4!E902</f>
        <v>18</v>
      </c>
      <c r="L902" s="5"/>
      <c r="M902" s="4"/>
    </row>
    <row r="903" spans="1:13" x14ac:dyDescent="0.25">
      <c r="A903" t="s">
        <v>3258</v>
      </c>
      <c r="B903" t="s">
        <v>3930</v>
      </c>
      <c r="C903" s="25">
        <v>3781</v>
      </c>
      <c r="D903" s="28">
        <v>3781</v>
      </c>
      <c r="E903" s="2" t="str">
        <f t="shared" ref="E903:E966" si="30">IF(C903=D903, "Same","New")</f>
        <v>Same</v>
      </c>
      <c r="F903" s="6" t="s">
        <v>1969</v>
      </c>
      <c r="G903" s="3">
        <v>33.299999999999997</v>
      </c>
      <c r="H903" s="2" t="s">
        <v>885</v>
      </c>
      <c r="I903" s="4">
        <f>[1]Sheet1!I903</f>
        <v>2040</v>
      </c>
      <c r="J903" s="3" t="str">
        <f t="shared" si="29"/>
        <v>3781_A1C1.webp</v>
      </c>
      <c r="K903" s="5">
        <f>Sheet4!E903</f>
        <v>24</v>
      </c>
      <c r="L903" s="5"/>
      <c r="M903" s="4"/>
    </row>
    <row r="904" spans="1:13" x14ac:dyDescent="0.25">
      <c r="A904" t="s">
        <v>3258</v>
      </c>
      <c r="B904" t="s">
        <v>3930</v>
      </c>
      <c r="C904" s="25">
        <v>3782</v>
      </c>
      <c r="D904" s="28">
        <v>3782</v>
      </c>
      <c r="E904" s="2" t="str">
        <f t="shared" si="30"/>
        <v>Same</v>
      </c>
      <c r="F904" s="6" t="s">
        <v>1970</v>
      </c>
      <c r="G904" s="3">
        <v>44.55</v>
      </c>
      <c r="H904" s="2" t="s">
        <v>886</v>
      </c>
      <c r="I904" s="4">
        <f>[1]Sheet1!I904</f>
        <v>6057</v>
      </c>
      <c r="J904" s="3" t="str">
        <f t="shared" si="29"/>
        <v>3782_A1C1.webp</v>
      </c>
      <c r="K904" s="5">
        <f>Sheet4!E904</f>
        <v>36</v>
      </c>
      <c r="L904" s="5"/>
      <c r="M904" s="4"/>
    </row>
    <row r="905" spans="1:13" x14ac:dyDescent="0.25">
      <c r="A905" t="s">
        <v>3258</v>
      </c>
      <c r="B905" t="s">
        <v>3930</v>
      </c>
      <c r="C905" s="25">
        <v>3783</v>
      </c>
      <c r="D905" s="28">
        <v>3783</v>
      </c>
      <c r="E905" s="2" t="str">
        <f t="shared" si="30"/>
        <v>Same</v>
      </c>
      <c r="F905" s="6" t="s">
        <v>1970</v>
      </c>
      <c r="G905" s="3">
        <v>22.65</v>
      </c>
      <c r="H905" s="2" t="s">
        <v>887</v>
      </c>
      <c r="I905" s="4">
        <f>[1]Sheet1!I905</f>
        <v>192</v>
      </c>
      <c r="J905" s="3" t="str">
        <f t="shared" si="29"/>
        <v>3783_A1C1.webp</v>
      </c>
      <c r="K905" s="5">
        <f>Sheet4!E905</f>
        <v>18</v>
      </c>
      <c r="L905" s="5"/>
      <c r="M905" s="4"/>
    </row>
    <row r="906" spans="1:13" x14ac:dyDescent="0.25">
      <c r="A906" t="s">
        <v>3258</v>
      </c>
      <c r="B906" t="s">
        <v>3930</v>
      </c>
      <c r="C906" s="25">
        <v>3784</v>
      </c>
      <c r="D906" s="28">
        <v>3784</v>
      </c>
      <c r="E906" s="2" t="str">
        <f t="shared" si="30"/>
        <v>Same</v>
      </c>
      <c r="F906" s="6" t="s">
        <v>1970</v>
      </c>
      <c r="G906" s="3">
        <v>44.45</v>
      </c>
      <c r="H906" s="2" t="s">
        <v>888</v>
      </c>
      <c r="I906" s="4">
        <f>[1]Sheet1!I906</f>
        <v>2231</v>
      </c>
      <c r="J906" s="3" t="str">
        <f t="shared" si="29"/>
        <v>3784_A1C1.webp</v>
      </c>
      <c r="K906" s="5">
        <f>Sheet4!E906</f>
        <v>36</v>
      </c>
      <c r="L906" s="5"/>
      <c r="M906" s="4"/>
    </row>
    <row r="907" spans="1:13" x14ac:dyDescent="0.25">
      <c r="A907" t="s">
        <v>2207</v>
      </c>
      <c r="B907" t="s">
        <v>3959</v>
      </c>
      <c r="C907" s="25">
        <v>3785</v>
      </c>
      <c r="D907" s="28">
        <v>3785</v>
      </c>
      <c r="E907" s="2" t="str">
        <f t="shared" si="30"/>
        <v>Same</v>
      </c>
      <c r="F907" s="6" t="s">
        <v>1842</v>
      </c>
      <c r="G907" s="3">
        <v>24.95</v>
      </c>
      <c r="H907" s="2" t="s">
        <v>889</v>
      </c>
      <c r="I907" s="4">
        <f>[1]Sheet1!I907</f>
        <v>372</v>
      </c>
      <c r="J907" s="3" t="str">
        <f t="shared" si="29"/>
        <v>3785_A1C1.webp</v>
      </c>
      <c r="K907" s="5">
        <f>Sheet4!E907</f>
        <v>12</v>
      </c>
      <c r="L907" s="5"/>
      <c r="M907" s="4"/>
    </row>
    <row r="908" spans="1:13" x14ac:dyDescent="0.25">
      <c r="A908" t="s">
        <v>3258</v>
      </c>
      <c r="B908" t="s">
        <v>3930</v>
      </c>
      <c r="C908" s="25">
        <v>3786</v>
      </c>
      <c r="D908" s="28">
        <v>3786</v>
      </c>
      <c r="E908" s="2" t="str">
        <f t="shared" si="30"/>
        <v>Same</v>
      </c>
      <c r="F908" s="6" t="s">
        <v>1970</v>
      </c>
      <c r="G908" s="3">
        <v>44.45</v>
      </c>
      <c r="H908" s="2" t="s">
        <v>890</v>
      </c>
      <c r="I908" s="4">
        <f>[1]Sheet1!I908</f>
        <v>760</v>
      </c>
      <c r="J908" s="3" t="str">
        <f t="shared" si="29"/>
        <v>3786_A1C1.webp</v>
      </c>
      <c r="K908" s="5">
        <f>Sheet4!E908</f>
        <v>36</v>
      </c>
      <c r="L908" s="5"/>
      <c r="M908" s="4"/>
    </row>
    <row r="909" spans="1:13" x14ac:dyDescent="0.25">
      <c r="A909" t="s">
        <v>2207</v>
      </c>
      <c r="B909" t="s">
        <v>3959</v>
      </c>
      <c r="C909" s="25">
        <v>3787</v>
      </c>
      <c r="D909" s="28">
        <v>3787</v>
      </c>
      <c r="E909" s="2" t="str">
        <f t="shared" si="30"/>
        <v>Same</v>
      </c>
      <c r="F909" s="6" t="s">
        <v>1842</v>
      </c>
      <c r="G909" s="3">
        <v>24.95</v>
      </c>
      <c r="H909" s="2" t="s">
        <v>891</v>
      </c>
      <c r="I909" s="4">
        <f>[1]Sheet1!I909</f>
        <v>944</v>
      </c>
      <c r="J909" s="3" t="str">
        <f t="shared" si="29"/>
        <v>3787_A1C1.webp</v>
      </c>
      <c r="K909" s="5">
        <f>Sheet4!E909</f>
        <v>12</v>
      </c>
      <c r="L909" s="5"/>
      <c r="M909" s="4"/>
    </row>
    <row r="910" spans="1:13" x14ac:dyDescent="0.25">
      <c r="A910" t="s">
        <v>2207</v>
      </c>
      <c r="B910" t="s">
        <v>3959</v>
      </c>
      <c r="C910" s="25">
        <v>3789</v>
      </c>
      <c r="D910" s="28">
        <v>3789</v>
      </c>
      <c r="E910" s="2" t="str">
        <f t="shared" si="30"/>
        <v>Same</v>
      </c>
      <c r="F910" s="6" t="s">
        <v>1842</v>
      </c>
      <c r="G910" s="3">
        <v>24.95</v>
      </c>
      <c r="H910" s="2" t="s">
        <v>892</v>
      </c>
      <c r="I910" s="4">
        <f>[1]Sheet1!I910</f>
        <v>1319</v>
      </c>
      <c r="J910" s="3" t="str">
        <f t="shared" si="29"/>
        <v>3789_A1C1.webp</v>
      </c>
      <c r="K910" s="5">
        <f>Sheet4!E910</f>
        <v>12</v>
      </c>
      <c r="L910" s="5"/>
      <c r="M910" s="4"/>
    </row>
    <row r="911" spans="1:13" x14ac:dyDescent="0.25">
      <c r="A911" t="s">
        <v>3258</v>
      </c>
      <c r="B911" t="s">
        <v>3930</v>
      </c>
      <c r="C911" s="25">
        <v>3790</v>
      </c>
      <c r="D911" s="28">
        <v>3790</v>
      </c>
      <c r="E911" s="2" t="str">
        <f t="shared" si="30"/>
        <v>Same</v>
      </c>
      <c r="F911" s="6" t="s">
        <v>1967</v>
      </c>
      <c r="G911" s="3">
        <v>46.1</v>
      </c>
      <c r="H911" s="2" t="s">
        <v>893</v>
      </c>
      <c r="I911" s="4">
        <f>[1]Sheet1!I911</f>
        <v>795</v>
      </c>
      <c r="J911" s="3" t="str">
        <f t="shared" si="29"/>
        <v>3790_A1C1.webp</v>
      </c>
      <c r="K911" s="5">
        <f>Sheet4!E911</f>
        <v>18</v>
      </c>
      <c r="L911" s="5"/>
      <c r="M911" s="4"/>
    </row>
    <row r="912" spans="1:13" x14ac:dyDescent="0.25">
      <c r="A912" t="s">
        <v>3258</v>
      </c>
      <c r="B912" t="s">
        <v>3967</v>
      </c>
      <c r="C912" s="25">
        <v>3791</v>
      </c>
      <c r="D912" s="28">
        <v>3791</v>
      </c>
      <c r="E912" s="2" t="str">
        <f t="shared" si="30"/>
        <v>Same</v>
      </c>
      <c r="F912" s="6" t="s">
        <v>1957</v>
      </c>
      <c r="G912" s="3">
        <v>26.95</v>
      </c>
      <c r="H912" s="2" t="s">
        <v>894</v>
      </c>
      <c r="I912" s="4">
        <f>[1]Sheet1!I912</f>
        <v>1595</v>
      </c>
      <c r="J912" s="3" t="str">
        <f t="shared" si="29"/>
        <v>3791_A1C1.webp</v>
      </c>
      <c r="K912" s="5">
        <f>Sheet4!E912</f>
        <v>24</v>
      </c>
      <c r="L912" s="5"/>
      <c r="M912" s="4"/>
    </row>
    <row r="913" spans="1:13" x14ac:dyDescent="0.25">
      <c r="A913" t="s">
        <v>3258</v>
      </c>
      <c r="B913" t="s">
        <v>3967</v>
      </c>
      <c r="C913" s="25">
        <v>3792</v>
      </c>
      <c r="D913" s="28">
        <v>3792</v>
      </c>
      <c r="E913" s="2" t="str">
        <f t="shared" si="30"/>
        <v>Same</v>
      </c>
      <c r="F913" s="6" t="s">
        <v>1957</v>
      </c>
      <c r="G913" s="3">
        <v>26.95</v>
      </c>
      <c r="H913" s="2" t="s">
        <v>895</v>
      </c>
      <c r="I913" s="4">
        <f>[1]Sheet1!I913</f>
        <v>2252</v>
      </c>
      <c r="J913" s="3" t="str">
        <f t="shared" si="29"/>
        <v>3792_A1C1.webp</v>
      </c>
      <c r="K913" s="5">
        <f>Sheet4!E913</f>
        <v>24</v>
      </c>
      <c r="L913" s="5"/>
      <c r="M913" s="4"/>
    </row>
    <row r="914" spans="1:13" x14ac:dyDescent="0.25">
      <c r="A914" t="s">
        <v>3258</v>
      </c>
      <c r="B914" t="s">
        <v>3967</v>
      </c>
      <c r="C914" s="25">
        <v>3793</v>
      </c>
      <c r="D914" s="28">
        <v>3793</v>
      </c>
      <c r="E914" s="2" t="str">
        <f t="shared" si="30"/>
        <v>Same</v>
      </c>
      <c r="F914" s="6" t="s">
        <v>1957</v>
      </c>
      <c r="G914" s="3">
        <v>26.95</v>
      </c>
      <c r="H914" s="2" t="s">
        <v>896</v>
      </c>
      <c r="I914" s="4">
        <f>[1]Sheet1!I914</f>
        <v>1388</v>
      </c>
      <c r="J914" s="3" t="str">
        <f t="shared" si="29"/>
        <v>3793_A1C1.webp</v>
      </c>
      <c r="K914" s="5">
        <f>Sheet4!E914</f>
        <v>24</v>
      </c>
      <c r="L914" s="5"/>
      <c r="M914" s="4"/>
    </row>
    <row r="915" spans="1:13" x14ac:dyDescent="0.25">
      <c r="A915" t="s">
        <v>3258</v>
      </c>
      <c r="B915" t="s">
        <v>3930</v>
      </c>
      <c r="C915" s="25">
        <v>3794</v>
      </c>
      <c r="D915" s="28">
        <v>3794</v>
      </c>
      <c r="E915" s="2" t="str">
        <f t="shared" si="30"/>
        <v>Same</v>
      </c>
      <c r="F915" s="6" t="s">
        <v>1968</v>
      </c>
      <c r="G915" s="3">
        <v>61.95</v>
      </c>
      <c r="H915" s="2" t="s">
        <v>897</v>
      </c>
      <c r="I915" s="4">
        <f>[1]Sheet1!I915</f>
        <v>164</v>
      </c>
      <c r="J915" s="3" t="str">
        <f t="shared" si="29"/>
        <v>3794_A1C1.webp</v>
      </c>
      <c r="K915" s="5">
        <f>Sheet4!E915</f>
        <v>15</v>
      </c>
      <c r="L915" s="5"/>
      <c r="M915" s="4"/>
    </row>
    <row r="916" spans="1:13" x14ac:dyDescent="0.25">
      <c r="A916" t="s">
        <v>2633</v>
      </c>
      <c r="B916" t="s">
        <v>3898</v>
      </c>
      <c r="C916" s="25">
        <v>3801</v>
      </c>
      <c r="D916" s="28">
        <v>3801</v>
      </c>
      <c r="E916" s="2" t="str">
        <f t="shared" si="30"/>
        <v>Same</v>
      </c>
      <c r="F916" s="6" t="s">
        <v>1939</v>
      </c>
      <c r="G916" s="3">
        <v>31.75</v>
      </c>
      <c r="H916" s="2" t="s">
        <v>898</v>
      </c>
      <c r="I916" s="4">
        <f>[1]Sheet1!I916</f>
        <v>385</v>
      </c>
      <c r="J916" s="3" t="str">
        <f t="shared" si="29"/>
        <v>3801_A1C1.webp</v>
      </c>
      <c r="K916" s="5">
        <f>Sheet4!E916</f>
        <v>12</v>
      </c>
      <c r="L916" s="5"/>
      <c r="M916" s="4"/>
    </row>
    <row r="917" spans="1:13" x14ac:dyDescent="0.25">
      <c r="A917" t="s">
        <v>3258</v>
      </c>
      <c r="B917" t="s">
        <v>3879</v>
      </c>
      <c r="C917" s="25">
        <v>3802</v>
      </c>
      <c r="D917" s="28">
        <v>3802</v>
      </c>
      <c r="E917" s="2" t="str">
        <f t="shared" si="30"/>
        <v>Same</v>
      </c>
      <c r="F917" s="6" t="s">
        <v>1922</v>
      </c>
      <c r="G917" s="3">
        <v>41.95</v>
      </c>
      <c r="H917" s="2" t="s">
        <v>899</v>
      </c>
      <c r="I917" s="4">
        <f>[1]Sheet1!I917</f>
        <v>1683</v>
      </c>
      <c r="J917" s="3" t="str">
        <f t="shared" si="29"/>
        <v>3802_A1C1.webp</v>
      </c>
      <c r="K917" s="5">
        <f>Sheet4!E917</f>
        <v>12</v>
      </c>
      <c r="L917" s="5"/>
      <c r="M917" s="4"/>
    </row>
    <row r="918" spans="1:13" x14ac:dyDescent="0.25">
      <c r="A918" t="s">
        <v>2207</v>
      </c>
      <c r="B918" t="s">
        <v>3959</v>
      </c>
      <c r="C918" s="25">
        <v>3804</v>
      </c>
      <c r="D918" s="28">
        <v>3804</v>
      </c>
      <c r="E918" s="2" t="str">
        <f t="shared" si="30"/>
        <v>Same</v>
      </c>
      <c r="F918" s="6" t="s">
        <v>1842</v>
      </c>
      <c r="G918" s="3">
        <v>26.35</v>
      </c>
      <c r="H918" s="2" t="s">
        <v>900</v>
      </c>
      <c r="I918" s="4">
        <f>[1]Sheet1!I918</f>
        <v>3165</v>
      </c>
      <c r="J918" s="3" t="str">
        <f t="shared" si="29"/>
        <v>3804_A1C1.webp</v>
      </c>
      <c r="K918" s="5">
        <f>Sheet4!E918</f>
        <v>12</v>
      </c>
      <c r="L918" s="5"/>
      <c r="M918" s="4"/>
    </row>
    <row r="919" spans="1:13" x14ac:dyDescent="0.25">
      <c r="A919" t="s">
        <v>2207</v>
      </c>
      <c r="B919" t="s">
        <v>3959</v>
      </c>
      <c r="C919" s="25">
        <v>3805</v>
      </c>
      <c r="D919" s="28">
        <v>3805</v>
      </c>
      <c r="E919" s="2" t="str">
        <f t="shared" si="30"/>
        <v>Same</v>
      </c>
      <c r="F919" s="6" t="s">
        <v>1842</v>
      </c>
      <c r="G919" s="3">
        <v>26.35</v>
      </c>
      <c r="H919" s="2" t="s">
        <v>901</v>
      </c>
      <c r="I919" s="4">
        <f>[1]Sheet1!I919</f>
        <v>1360</v>
      </c>
      <c r="J919" s="3" t="str">
        <f t="shared" si="29"/>
        <v>3805_A1C1.webp</v>
      </c>
      <c r="K919" s="5">
        <f>Sheet4!E919</f>
        <v>12</v>
      </c>
      <c r="L919" s="5"/>
      <c r="M919" s="4"/>
    </row>
    <row r="920" spans="1:13" x14ac:dyDescent="0.25">
      <c r="A920" t="s">
        <v>3258</v>
      </c>
      <c r="B920" t="s">
        <v>3259</v>
      </c>
      <c r="C920" s="25">
        <v>3806</v>
      </c>
      <c r="D920" s="28">
        <v>3806</v>
      </c>
      <c r="E920" s="2" t="str">
        <f t="shared" si="30"/>
        <v>Same</v>
      </c>
      <c r="F920" s="6" t="s">
        <v>1958</v>
      </c>
      <c r="G920" s="3">
        <v>54.95</v>
      </c>
      <c r="H920" s="2" t="s">
        <v>902</v>
      </c>
      <c r="I920" s="4">
        <f>[1]Sheet1!I920</f>
        <v>21</v>
      </c>
      <c r="J920" s="3" t="str">
        <f t="shared" si="29"/>
        <v>3806_A1C1.webp</v>
      </c>
      <c r="K920" s="5">
        <f>Sheet4!E920</f>
        <v>24</v>
      </c>
      <c r="L920" s="5"/>
      <c r="M920" s="4"/>
    </row>
    <row r="921" spans="1:13" x14ac:dyDescent="0.25">
      <c r="A921" t="s">
        <v>3258</v>
      </c>
      <c r="B921" t="s">
        <v>3259</v>
      </c>
      <c r="C921" s="25">
        <v>3807</v>
      </c>
      <c r="D921" s="28">
        <v>3807</v>
      </c>
      <c r="E921" s="2" t="str">
        <f t="shared" si="30"/>
        <v>Same</v>
      </c>
      <c r="F921" s="6" t="s">
        <v>1971</v>
      </c>
      <c r="G921" s="3">
        <v>29.5</v>
      </c>
      <c r="H921" s="2" t="s">
        <v>903</v>
      </c>
      <c r="I921" s="4">
        <f>[1]Sheet1!I921</f>
        <v>1</v>
      </c>
      <c r="J921" s="3" t="str">
        <f t="shared" si="29"/>
        <v>3807_A1C1.webp</v>
      </c>
      <c r="K921" s="5">
        <f>Sheet4!E921</f>
        <v>12</v>
      </c>
      <c r="L921" s="5"/>
      <c r="M921" s="4"/>
    </row>
    <row r="922" spans="1:13" x14ac:dyDescent="0.25">
      <c r="A922" t="s">
        <v>2207</v>
      </c>
      <c r="B922" t="s">
        <v>3959</v>
      </c>
      <c r="C922" s="25">
        <v>3808</v>
      </c>
      <c r="D922" s="28">
        <v>3808</v>
      </c>
      <c r="E922" s="2" t="str">
        <f t="shared" si="30"/>
        <v>Same</v>
      </c>
      <c r="F922" s="6" t="s">
        <v>1842</v>
      </c>
      <c r="G922" s="3">
        <v>26.35</v>
      </c>
      <c r="H922" s="2" t="s">
        <v>904</v>
      </c>
      <c r="I922" s="4">
        <f>[1]Sheet1!I922</f>
        <v>62</v>
      </c>
      <c r="J922" s="3" t="str">
        <f t="shared" si="29"/>
        <v>3808_A1C1.webp</v>
      </c>
      <c r="K922" s="5">
        <f>Sheet4!E922</f>
        <v>12</v>
      </c>
      <c r="L922" s="5"/>
      <c r="M922" s="4"/>
    </row>
    <row r="923" spans="1:13" x14ac:dyDescent="0.25">
      <c r="A923" t="s">
        <v>3258</v>
      </c>
      <c r="B923" t="s">
        <v>3259</v>
      </c>
      <c r="C923" s="25">
        <v>3810</v>
      </c>
      <c r="D923" s="28">
        <v>3810</v>
      </c>
      <c r="E923" s="2" t="str">
        <f t="shared" si="30"/>
        <v>Same</v>
      </c>
      <c r="F923" s="6" t="s">
        <v>1869</v>
      </c>
      <c r="G923" s="3">
        <v>92.5</v>
      </c>
      <c r="H923" s="2" t="s">
        <v>905</v>
      </c>
      <c r="I923" s="4">
        <f>[1]Sheet1!I923</f>
        <v>365</v>
      </c>
      <c r="J923" s="3" t="str">
        <f t="shared" si="29"/>
        <v>3810_A1C1.webp</v>
      </c>
      <c r="K923" s="5">
        <f>Sheet4!E923</f>
        <v>24</v>
      </c>
      <c r="L923" s="5"/>
      <c r="M923" s="4"/>
    </row>
    <row r="924" spans="1:13" x14ac:dyDescent="0.25">
      <c r="A924" t="s">
        <v>3258</v>
      </c>
      <c r="B924" t="s">
        <v>3259</v>
      </c>
      <c r="C924" s="25">
        <v>3811</v>
      </c>
      <c r="D924" s="28">
        <v>3811</v>
      </c>
      <c r="E924" s="2" t="str">
        <f t="shared" si="30"/>
        <v>Same</v>
      </c>
      <c r="F924" s="6" t="s">
        <v>1857</v>
      </c>
      <c r="G924" s="3">
        <v>92.5</v>
      </c>
      <c r="H924" s="2" t="s">
        <v>906</v>
      </c>
      <c r="I924" s="4">
        <f>[1]Sheet1!I924</f>
        <v>80</v>
      </c>
      <c r="J924" s="3" t="str">
        <f t="shared" si="29"/>
        <v>3811_A1C1.webp</v>
      </c>
      <c r="K924" s="5">
        <f>Sheet4!E924</f>
        <v>24</v>
      </c>
      <c r="L924" s="5"/>
      <c r="M924" s="4"/>
    </row>
    <row r="925" spans="1:13" x14ac:dyDescent="0.25">
      <c r="A925" t="s">
        <v>3258</v>
      </c>
      <c r="B925" t="s">
        <v>3259</v>
      </c>
      <c r="C925" s="25">
        <v>3812</v>
      </c>
      <c r="D925" s="28">
        <v>3812</v>
      </c>
      <c r="E925" s="2" t="str">
        <f t="shared" si="30"/>
        <v>Same</v>
      </c>
      <c r="F925" s="6" t="s">
        <v>1861</v>
      </c>
      <c r="G925" s="3">
        <v>84.5</v>
      </c>
      <c r="H925" s="2" t="s">
        <v>907</v>
      </c>
      <c r="I925" s="4">
        <f>[1]Sheet1!I925</f>
        <v>101</v>
      </c>
      <c r="J925" s="3" t="str">
        <f t="shared" si="29"/>
        <v>3812_A1C1.webp</v>
      </c>
      <c r="K925" s="5">
        <f>Sheet4!E925</f>
        <v>24</v>
      </c>
      <c r="L925" s="5"/>
      <c r="M925" s="4"/>
    </row>
    <row r="926" spans="1:13" x14ac:dyDescent="0.25">
      <c r="A926" t="s">
        <v>3258</v>
      </c>
      <c r="B926" t="s">
        <v>3259</v>
      </c>
      <c r="C926" s="25">
        <v>3813</v>
      </c>
      <c r="D926" s="28">
        <v>3813</v>
      </c>
      <c r="E926" s="2" t="str">
        <f t="shared" si="30"/>
        <v>Same</v>
      </c>
      <c r="F926" s="6" t="s">
        <v>1921</v>
      </c>
      <c r="G926" s="3">
        <v>48.95</v>
      </c>
      <c r="H926" s="2" t="s">
        <v>908</v>
      </c>
      <c r="I926" s="4">
        <f>[1]Sheet1!I926</f>
        <v>8</v>
      </c>
      <c r="J926" s="3" t="str">
        <f t="shared" si="29"/>
        <v>3813_A1C1.webp</v>
      </c>
      <c r="K926" s="5">
        <f>Sheet4!E926</f>
        <v>24</v>
      </c>
      <c r="L926" s="5"/>
      <c r="M926" s="4"/>
    </row>
    <row r="927" spans="1:13" x14ac:dyDescent="0.25">
      <c r="A927" t="s">
        <v>3258</v>
      </c>
      <c r="B927" t="s">
        <v>3259</v>
      </c>
      <c r="C927" s="25">
        <v>3814</v>
      </c>
      <c r="D927" s="28">
        <v>3814</v>
      </c>
      <c r="E927" s="2" t="str">
        <f t="shared" si="30"/>
        <v>Same</v>
      </c>
      <c r="F927" s="6" t="s">
        <v>1873</v>
      </c>
      <c r="G927" s="3">
        <v>151.94999999999999</v>
      </c>
      <c r="H927" s="2" t="s">
        <v>909</v>
      </c>
      <c r="I927" s="4">
        <f>[1]Sheet1!I927</f>
        <v>34</v>
      </c>
      <c r="J927" s="3" t="str">
        <f t="shared" si="29"/>
        <v>3814_A1C1.webp</v>
      </c>
      <c r="K927" s="5">
        <f>Sheet4!E927</f>
        <v>24</v>
      </c>
      <c r="L927" s="5"/>
      <c r="M927" s="4"/>
    </row>
    <row r="928" spans="1:13" x14ac:dyDescent="0.25">
      <c r="A928" t="s">
        <v>2633</v>
      </c>
      <c r="B928" t="s">
        <v>3898</v>
      </c>
      <c r="C928" s="25">
        <v>3815</v>
      </c>
      <c r="D928" s="28">
        <v>3815</v>
      </c>
      <c r="E928" s="2" t="str">
        <f t="shared" si="30"/>
        <v>Same</v>
      </c>
      <c r="F928" s="6" t="s">
        <v>1923</v>
      </c>
      <c r="G928">
        <v>28.95</v>
      </c>
      <c r="H928" s="2" t="s">
        <v>910</v>
      </c>
      <c r="I928" s="4">
        <f>[1]Sheet1!I928</f>
        <v>1139</v>
      </c>
      <c r="J928" s="3" t="str">
        <f t="shared" si="29"/>
        <v>3815_A1C1.webp</v>
      </c>
      <c r="K928" s="5">
        <f>Sheet4!E928</f>
        <v>24</v>
      </c>
      <c r="L928" s="5"/>
      <c r="M928" s="4"/>
    </row>
    <row r="929" spans="1:13" x14ac:dyDescent="0.25">
      <c r="A929" t="s">
        <v>3258</v>
      </c>
      <c r="B929" t="s">
        <v>3997</v>
      </c>
      <c r="C929" s="25">
        <v>3816</v>
      </c>
      <c r="D929" s="28">
        <v>3816</v>
      </c>
      <c r="E929" s="2" t="str">
        <f t="shared" si="30"/>
        <v>Same</v>
      </c>
      <c r="F929" s="6" t="s">
        <v>1869</v>
      </c>
      <c r="G929" s="3">
        <v>35.85</v>
      </c>
      <c r="H929" s="2" t="s">
        <v>911</v>
      </c>
      <c r="I929" s="4">
        <f>[1]Sheet1!I929</f>
        <v>783</v>
      </c>
      <c r="J929" s="3" t="str">
        <f t="shared" si="29"/>
        <v>3816_A1C1.webp</v>
      </c>
      <c r="K929" s="5">
        <f>Sheet4!E929</f>
        <v>24</v>
      </c>
      <c r="L929" s="5"/>
      <c r="M929" s="4"/>
    </row>
    <row r="930" spans="1:13" x14ac:dyDescent="0.25">
      <c r="A930" t="s">
        <v>3258</v>
      </c>
      <c r="B930" t="s">
        <v>3997</v>
      </c>
      <c r="C930" s="25">
        <v>3817</v>
      </c>
      <c r="D930" s="28">
        <v>3817</v>
      </c>
      <c r="E930" s="2" t="str">
        <f t="shared" si="30"/>
        <v>Same</v>
      </c>
      <c r="F930" s="6" t="s">
        <v>1869</v>
      </c>
      <c r="G930" s="3">
        <v>35.85</v>
      </c>
      <c r="H930" s="2" t="s">
        <v>912</v>
      </c>
      <c r="I930" s="4">
        <f>[1]Sheet1!I930</f>
        <v>889</v>
      </c>
      <c r="J930" s="3" t="str">
        <f t="shared" si="29"/>
        <v>3817_A1C1.webp</v>
      </c>
      <c r="K930" s="5">
        <f>Sheet4!E930</f>
        <v>24</v>
      </c>
      <c r="L930" s="5"/>
      <c r="M930" s="4"/>
    </row>
    <row r="931" spans="1:13" x14ac:dyDescent="0.25">
      <c r="A931" t="s">
        <v>3258</v>
      </c>
      <c r="B931" t="s">
        <v>3997</v>
      </c>
      <c r="C931" s="25">
        <v>3819</v>
      </c>
      <c r="D931" s="28">
        <v>3819</v>
      </c>
      <c r="E931" s="2" t="str">
        <f t="shared" si="30"/>
        <v>Same</v>
      </c>
      <c r="F931" s="6" t="s">
        <v>1869</v>
      </c>
      <c r="G931" s="3">
        <v>35.85</v>
      </c>
      <c r="H931" s="2" t="s">
        <v>913</v>
      </c>
      <c r="I931" s="4">
        <f>[1]Sheet1!I931</f>
        <v>54</v>
      </c>
      <c r="J931" s="3" t="str">
        <f t="shared" si="29"/>
        <v>3819_A1C1.webp</v>
      </c>
      <c r="K931" s="5">
        <f>Sheet4!E931</f>
        <v>24</v>
      </c>
      <c r="L931" s="5"/>
      <c r="M931" s="4"/>
    </row>
    <row r="932" spans="1:13" x14ac:dyDescent="0.25">
      <c r="A932" t="s">
        <v>3258</v>
      </c>
      <c r="B932" t="s">
        <v>3997</v>
      </c>
      <c r="C932" s="25">
        <v>3820</v>
      </c>
      <c r="D932" s="28">
        <v>3820</v>
      </c>
      <c r="E932" s="2" t="str">
        <f t="shared" si="30"/>
        <v>Same</v>
      </c>
      <c r="F932" s="6" t="s">
        <v>1869</v>
      </c>
      <c r="G932" s="3">
        <v>35.85</v>
      </c>
      <c r="H932" s="2" t="s">
        <v>914</v>
      </c>
      <c r="I932" s="4">
        <f>[1]Sheet1!I932</f>
        <v>1069</v>
      </c>
      <c r="J932" s="3" t="str">
        <f t="shared" si="29"/>
        <v>3820_A1C1.webp</v>
      </c>
      <c r="K932" s="5">
        <f>Sheet4!E932</f>
        <v>24</v>
      </c>
      <c r="L932" s="5"/>
      <c r="M932" s="4"/>
    </row>
    <row r="933" spans="1:13" x14ac:dyDescent="0.25">
      <c r="A933" t="s">
        <v>3258</v>
      </c>
      <c r="B933" t="s">
        <v>4004</v>
      </c>
      <c r="C933" s="25">
        <v>3821</v>
      </c>
      <c r="D933" s="28">
        <v>3821</v>
      </c>
      <c r="E933" s="2" t="str">
        <f t="shared" si="30"/>
        <v>Same</v>
      </c>
      <c r="F933" s="6" t="s">
        <v>1874</v>
      </c>
      <c r="G933" s="3">
        <v>43.95</v>
      </c>
      <c r="H933" s="2" t="s">
        <v>915</v>
      </c>
      <c r="I933" s="4">
        <f>[1]Sheet1!I933</f>
        <v>220</v>
      </c>
      <c r="J933" s="3" t="str">
        <f t="shared" si="29"/>
        <v>3821_A1C1.webp</v>
      </c>
      <c r="K933" s="5">
        <f>Sheet4!E933</f>
        <v>24</v>
      </c>
      <c r="L933" s="5"/>
      <c r="M933" s="4"/>
    </row>
    <row r="934" spans="1:13" x14ac:dyDescent="0.25">
      <c r="A934" t="s">
        <v>3258</v>
      </c>
      <c r="B934" t="s">
        <v>4006</v>
      </c>
      <c r="C934" s="25">
        <v>3822</v>
      </c>
      <c r="D934" s="28">
        <v>3822</v>
      </c>
      <c r="E934" s="2" t="str">
        <f t="shared" si="30"/>
        <v>Same</v>
      </c>
      <c r="F934" s="6" t="s">
        <v>1940</v>
      </c>
      <c r="G934" s="3">
        <v>58.95</v>
      </c>
      <c r="H934" s="2" t="s">
        <v>916</v>
      </c>
      <c r="I934" s="4">
        <f>[1]Sheet1!I934</f>
        <v>308</v>
      </c>
      <c r="J934" s="3" t="str">
        <f t="shared" si="29"/>
        <v>3822_A1C1.webp</v>
      </c>
      <c r="K934" s="5">
        <f>Sheet4!E934</f>
        <v>24</v>
      </c>
      <c r="L934" s="5"/>
      <c r="M934" s="4"/>
    </row>
    <row r="935" spans="1:13" x14ac:dyDescent="0.25">
      <c r="A935" t="s">
        <v>3258</v>
      </c>
      <c r="B935" t="s">
        <v>4004</v>
      </c>
      <c r="C935" s="25">
        <v>3823</v>
      </c>
      <c r="D935" s="28">
        <v>3823</v>
      </c>
      <c r="E935" s="2" t="str">
        <f t="shared" si="30"/>
        <v>Same</v>
      </c>
      <c r="F935" s="6" t="s">
        <v>1874</v>
      </c>
      <c r="G935" s="3">
        <v>43.95</v>
      </c>
      <c r="H935" s="2" t="s">
        <v>917</v>
      </c>
      <c r="I935" s="4">
        <f>[1]Sheet1!I935</f>
        <v>279</v>
      </c>
      <c r="J935" s="3" t="str">
        <f t="shared" si="29"/>
        <v>3823_A1C1.webp</v>
      </c>
      <c r="K935" s="5">
        <f>Sheet4!E935</f>
        <v>24</v>
      </c>
      <c r="L935" s="5"/>
      <c r="M935" s="4"/>
    </row>
    <row r="936" spans="1:13" x14ac:dyDescent="0.25">
      <c r="A936" t="s">
        <v>3258</v>
      </c>
      <c r="B936" t="s">
        <v>4004</v>
      </c>
      <c r="C936" s="25">
        <v>3824</v>
      </c>
      <c r="D936" s="28">
        <v>3824</v>
      </c>
      <c r="E936" s="2" t="str">
        <f t="shared" si="30"/>
        <v>Same</v>
      </c>
      <c r="F936" s="6" t="s">
        <v>1874</v>
      </c>
      <c r="G936" s="3">
        <v>43.95</v>
      </c>
      <c r="H936" s="2" t="s">
        <v>918</v>
      </c>
      <c r="I936" s="4">
        <f>[1]Sheet1!I936</f>
        <v>477</v>
      </c>
      <c r="J936" s="3" t="str">
        <f t="shared" si="29"/>
        <v>3824_A1C1.webp</v>
      </c>
      <c r="K936" s="5">
        <f>Sheet4!E936</f>
        <v>24</v>
      </c>
      <c r="L936" s="5"/>
      <c r="M936" s="4"/>
    </row>
    <row r="937" spans="1:13" x14ac:dyDescent="0.25">
      <c r="A937" t="s">
        <v>3258</v>
      </c>
      <c r="B937" t="s">
        <v>4010</v>
      </c>
      <c r="C937" s="25">
        <v>3825</v>
      </c>
      <c r="D937" s="28">
        <v>3825</v>
      </c>
      <c r="E937" s="2" t="str">
        <f t="shared" si="30"/>
        <v>Same</v>
      </c>
      <c r="F937" s="6" t="s">
        <v>1857</v>
      </c>
      <c r="G937" s="3">
        <v>17.75</v>
      </c>
      <c r="H937" s="2" t="s">
        <v>919</v>
      </c>
      <c r="I937" s="4">
        <f>[1]Sheet1!I937</f>
        <v>33</v>
      </c>
      <c r="J937" s="3" t="str">
        <f t="shared" si="29"/>
        <v>3825_A1C1.webp</v>
      </c>
      <c r="K937" s="5">
        <f>Sheet4!E937</f>
        <v>12</v>
      </c>
      <c r="L937" s="5"/>
      <c r="M937" s="4"/>
    </row>
    <row r="938" spans="1:13" x14ac:dyDescent="0.25">
      <c r="A938" t="s">
        <v>3258</v>
      </c>
      <c r="B938" t="s">
        <v>4010</v>
      </c>
      <c r="C938" s="25">
        <v>3826</v>
      </c>
      <c r="D938" s="28">
        <v>3826</v>
      </c>
      <c r="E938" s="2" t="str">
        <f t="shared" si="30"/>
        <v>Same</v>
      </c>
      <c r="F938" s="6" t="s">
        <v>1857</v>
      </c>
      <c r="G938" s="3">
        <v>17.75</v>
      </c>
      <c r="H938" s="2" t="s">
        <v>920</v>
      </c>
      <c r="I938" s="4">
        <f>[1]Sheet1!I938</f>
        <v>60</v>
      </c>
      <c r="J938" s="3" t="str">
        <f t="shared" si="29"/>
        <v>3826_A1C1.webp</v>
      </c>
      <c r="K938" s="5">
        <f>Sheet4!E938</f>
        <v>12</v>
      </c>
      <c r="L938" s="5"/>
      <c r="M938" s="4"/>
    </row>
    <row r="939" spans="1:13" x14ac:dyDescent="0.25">
      <c r="A939" t="s">
        <v>3258</v>
      </c>
      <c r="B939" t="s">
        <v>4006</v>
      </c>
      <c r="C939" s="25">
        <v>3827</v>
      </c>
      <c r="D939" s="28">
        <v>3827</v>
      </c>
      <c r="E939" s="2" t="str">
        <f t="shared" si="30"/>
        <v>Same</v>
      </c>
      <c r="F939" s="6" t="s">
        <v>1940</v>
      </c>
      <c r="G939" s="3">
        <v>58.95</v>
      </c>
      <c r="H939" s="2" t="s">
        <v>921</v>
      </c>
      <c r="I939" s="4">
        <f>[1]Sheet1!I939</f>
        <v>3444</v>
      </c>
      <c r="J939" s="3" t="str">
        <f t="shared" si="29"/>
        <v>3827_A1C1.webp</v>
      </c>
      <c r="K939" s="5">
        <f>Sheet4!E939</f>
        <v>24</v>
      </c>
      <c r="L939" s="5"/>
      <c r="M939" s="4"/>
    </row>
    <row r="940" spans="1:13" x14ac:dyDescent="0.25">
      <c r="A940" t="s">
        <v>3258</v>
      </c>
      <c r="B940" t="s">
        <v>3997</v>
      </c>
      <c r="C940" s="26">
        <v>3828</v>
      </c>
      <c r="D940" s="28">
        <v>3828</v>
      </c>
      <c r="E940" s="2" t="str">
        <f t="shared" si="30"/>
        <v>Same</v>
      </c>
      <c r="F940" s="6" t="s">
        <v>1869</v>
      </c>
      <c r="G940" s="3">
        <v>35.950000000000003</v>
      </c>
      <c r="H940" s="2" t="s">
        <v>922</v>
      </c>
      <c r="I940" s="4">
        <f>[1]Sheet1!I940</f>
        <v>4970</v>
      </c>
      <c r="J940" s="3" t="str">
        <f t="shared" si="29"/>
        <v>3828_A1C1.webp</v>
      </c>
      <c r="K940" s="5">
        <f>Sheet4!E940</f>
        <v>24</v>
      </c>
      <c r="L940" s="5"/>
      <c r="M940" s="4"/>
    </row>
    <row r="941" spans="1:13" x14ac:dyDescent="0.25">
      <c r="A941" t="s">
        <v>3258</v>
      </c>
      <c r="B941" t="s">
        <v>3997</v>
      </c>
      <c r="C941" s="25">
        <v>3829</v>
      </c>
      <c r="D941" s="28">
        <v>3829</v>
      </c>
      <c r="E941" s="2" t="str">
        <f t="shared" si="30"/>
        <v>Same</v>
      </c>
      <c r="F941" s="6" t="s">
        <v>1869</v>
      </c>
      <c r="G941" s="3">
        <v>35.950000000000003</v>
      </c>
      <c r="H941" s="2" t="s">
        <v>923</v>
      </c>
      <c r="I941" s="4">
        <f>[1]Sheet1!I941</f>
        <v>3676</v>
      </c>
      <c r="J941" s="3" t="str">
        <f t="shared" si="29"/>
        <v>3829_A1C1.webp</v>
      </c>
      <c r="K941" s="5">
        <f>Sheet4!E941</f>
        <v>24</v>
      </c>
      <c r="L941" s="5"/>
      <c r="M941" s="4"/>
    </row>
    <row r="942" spans="1:13" x14ac:dyDescent="0.25">
      <c r="A942" t="s">
        <v>3258</v>
      </c>
      <c r="B942" t="s">
        <v>4006</v>
      </c>
      <c r="C942" s="25">
        <v>3830</v>
      </c>
      <c r="D942" s="28">
        <v>3830</v>
      </c>
      <c r="E942" s="2" t="str">
        <f t="shared" si="30"/>
        <v>Same</v>
      </c>
      <c r="F942" s="6" t="s">
        <v>1940</v>
      </c>
      <c r="G942" s="3">
        <v>58.95</v>
      </c>
      <c r="H942" s="2" t="s">
        <v>924</v>
      </c>
      <c r="I942" s="4">
        <f>[1]Sheet1!I942</f>
        <v>2177</v>
      </c>
      <c r="J942" s="3" t="str">
        <f t="shared" si="29"/>
        <v>3830_A1C1.webp</v>
      </c>
      <c r="K942" s="5">
        <f>Sheet4!E942</f>
        <v>24</v>
      </c>
      <c r="L942" s="5"/>
      <c r="M942" s="4"/>
    </row>
    <row r="943" spans="1:13" x14ac:dyDescent="0.25">
      <c r="A943" t="s">
        <v>3258</v>
      </c>
      <c r="B943" t="s">
        <v>3259</v>
      </c>
      <c r="C943" s="25">
        <v>3831</v>
      </c>
      <c r="D943" s="28">
        <v>3831</v>
      </c>
      <c r="E943" s="2" t="str">
        <f t="shared" si="30"/>
        <v>Same</v>
      </c>
      <c r="F943" s="6" t="s">
        <v>1963</v>
      </c>
      <c r="G943" s="3">
        <v>33.5</v>
      </c>
      <c r="H943" s="2" t="s">
        <v>925</v>
      </c>
      <c r="I943" s="4">
        <f>[1]Sheet1!I943</f>
        <v>15</v>
      </c>
      <c r="J943" s="3" t="str">
        <f t="shared" si="29"/>
        <v>3831_A1C1.webp</v>
      </c>
      <c r="K943" s="5">
        <f>Sheet4!E943</f>
        <v>12</v>
      </c>
      <c r="L943" s="5"/>
      <c r="M943" s="4"/>
    </row>
    <row r="944" spans="1:13" x14ac:dyDescent="0.25">
      <c r="A944" t="s">
        <v>3258</v>
      </c>
      <c r="B944" t="s">
        <v>3259</v>
      </c>
      <c r="C944" s="25">
        <v>3832</v>
      </c>
      <c r="D944" s="28">
        <v>3832</v>
      </c>
      <c r="E944" s="2" t="str">
        <f t="shared" si="30"/>
        <v>Same</v>
      </c>
      <c r="F944" s="6" t="s">
        <v>1866</v>
      </c>
      <c r="G944" s="3">
        <v>87.5</v>
      </c>
      <c r="H944" s="2" t="s">
        <v>926</v>
      </c>
      <c r="I944" s="4">
        <f>[1]Sheet1!I944</f>
        <v>2</v>
      </c>
      <c r="J944" s="3" t="str">
        <f t="shared" si="29"/>
        <v>3832_A1C1.webp</v>
      </c>
      <c r="K944" s="5">
        <f>Sheet4!E944</f>
        <v>24</v>
      </c>
      <c r="L944" s="5"/>
      <c r="M944" s="4"/>
    </row>
    <row r="945" spans="1:13" x14ac:dyDescent="0.25">
      <c r="A945" t="s">
        <v>3258</v>
      </c>
      <c r="B945" t="s">
        <v>4006</v>
      </c>
      <c r="C945" s="25">
        <v>3834</v>
      </c>
      <c r="D945" s="28">
        <v>3834</v>
      </c>
      <c r="E945" s="2" t="str">
        <f t="shared" si="30"/>
        <v>Same</v>
      </c>
      <c r="F945" s="6" t="s">
        <v>1940</v>
      </c>
      <c r="G945" s="3">
        <v>65.95</v>
      </c>
      <c r="H945" s="2" t="s">
        <v>927</v>
      </c>
      <c r="I945" s="4">
        <f>[1]Sheet1!I945</f>
        <v>163</v>
      </c>
      <c r="J945" s="3" t="str">
        <f t="shared" si="29"/>
        <v>3834_A1C1.webp</v>
      </c>
      <c r="K945" s="5">
        <f>Sheet4!E945</f>
        <v>24</v>
      </c>
      <c r="L945" s="5"/>
      <c r="M945" s="4"/>
    </row>
    <row r="946" spans="1:13" x14ac:dyDescent="0.25">
      <c r="A946" t="s">
        <v>3258</v>
      </c>
      <c r="B946" t="s">
        <v>4006</v>
      </c>
      <c r="C946" s="25">
        <v>3835</v>
      </c>
      <c r="D946" s="28">
        <v>3835</v>
      </c>
      <c r="E946" s="2" t="str">
        <f t="shared" si="30"/>
        <v>Same</v>
      </c>
      <c r="F946" s="6" t="s">
        <v>1940</v>
      </c>
      <c r="G946" s="3">
        <v>65.95</v>
      </c>
      <c r="H946" s="2" t="s">
        <v>928</v>
      </c>
      <c r="I946" s="4">
        <f>[1]Sheet1!I946</f>
        <v>186</v>
      </c>
      <c r="J946" s="3" t="str">
        <f t="shared" si="29"/>
        <v>3835_A1C1.webp</v>
      </c>
      <c r="K946" s="5">
        <f>Sheet4!E946</f>
        <v>24</v>
      </c>
      <c r="L946" s="5"/>
      <c r="M946" s="4"/>
    </row>
    <row r="947" spans="1:13" x14ac:dyDescent="0.25">
      <c r="A947" t="s">
        <v>3258</v>
      </c>
      <c r="B947" t="s">
        <v>3997</v>
      </c>
      <c r="C947" s="25">
        <v>3836</v>
      </c>
      <c r="D947" s="28">
        <v>3836</v>
      </c>
      <c r="E947" s="2" t="str">
        <f t="shared" si="30"/>
        <v>Same</v>
      </c>
      <c r="F947" s="6" t="s">
        <v>1869</v>
      </c>
      <c r="G947" s="3">
        <v>45.95</v>
      </c>
      <c r="H947" s="2" t="s">
        <v>929</v>
      </c>
      <c r="I947" s="4">
        <f>[1]Sheet1!I947</f>
        <v>459</v>
      </c>
      <c r="J947" s="3" t="str">
        <f t="shared" si="29"/>
        <v>3836_A1C1.webp</v>
      </c>
      <c r="K947" s="5">
        <f>Sheet4!E947</f>
        <v>24</v>
      </c>
      <c r="L947" s="5"/>
      <c r="M947" s="4"/>
    </row>
    <row r="948" spans="1:13" x14ac:dyDescent="0.25">
      <c r="A948" t="s">
        <v>3258</v>
      </c>
      <c r="B948" t="s">
        <v>3930</v>
      </c>
      <c r="C948" s="25">
        <v>3837</v>
      </c>
      <c r="D948" s="28">
        <v>3837</v>
      </c>
      <c r="E948" s="2" t="str">
        <f t="shared" si="30"/>
        <v>Same</v>
      </c>
      <c r="F948" s="6" t="s">
        <v>1970</v>
      </c>
      <c r="G948" s="3">
        <v>39.65</v>
      </c>
      <c r="H948" s="2" t="s">
        <v>930</v>
      </c>
      <c r="I948" s="4">
        <f>[1]Sheet1!I948</f>
        <v>1784</v>
      </c>
      <c r="J948" s="3" t="str">
        <f t="shared" si="29"/>
        <v>3837_A1C1.webp</v>
      </c>
      <c r="K948" s="5">
        <f>Sheet4!E948</f>
        <v>36</v>
      </c>
      <c r="L948" s="5"/>
      <c r="M948" s="4"/>
    </row>
    <row r="949" spans="1:13" x14ac:dyDescent="0.25">
      <c r="A949" t="s">
        <v>3258</v>
      </c>
      <c r="B949" t="s">
        <v>3930</v>
      </c>
      <c r="C949" s="25">
        <v>3838</v>
      </c>
      <c r="D949" s="28">
        <v>3838</v>
      </c>
      <c r="E949" s="2" t="str">
        <f t="shared" si="30"/>
        <v>Same</v>
      </c>
      <c r="F949" s="6" t="s">
        <v>1967</v>
      </c>
      <c r="G949" s="3">
        <v>41.1</v>
      </c>
      <c r="H949" s="2" t="s">
        <v>931</v>
      </c>
      <c r="I949" s="4">
        <f>[1]Sheet1!I949</f>
        <v>1197</v>
      </c>
      <c r="J949" s="3" t="str">
        <f t="shared" si="29"/>
        <v>3838_A1C1.webp</v>
      </c>
      <c r="K949" s="5">
        <f>Sheet4!E949</f>
        <v>18</v>
      </c>
      <c r="L949" s="5"/>
      <c r="M949" s="4"/>
    </row>
    <row r="950" spans="1:13" x14ac:dyDescent="0.25">
      <c r="A950" t="s">
        <v>3258</v>
      </c>
      <c r="B950" t="s">
        <v>3997</v>
      </c>
      <c r="C950" s="25">
        <v>3839</v>
      </c>
      <c r="D950" s="28">
        <v>3839</v>
      </c>
      <c r="E950" s="2" t="str">
        <f t="shared" si="30"/>
        <v>Same</v>
      </c>
      <c r="F950" s="6" t="s">
        <v>1869</v>
      </c>
      <c r="G950" s="3">
        <v>45.95</v>
      </c>
      <c r="H950" s="2" t="s">
        <v>932</v>
      </c>
      <c r="I950" s="4">
        <f>[1]Sheet1!I950</f>
        <v>386</v>
      </c>
      <c r="J950" s="3" t="str">
        <f t="shared" si="29"/>
        <v>3839_A1C1.webp</v>
      </c>
      <c r="K950" s="5">
        <f>Sheet4!E950</f>
        <v>24</v>
      </c>
      <c r="L950" s="5"/>
      <c r="M950" s="4"/>
    </row>
    <row r="951" spans="1:13" x14ac:dyDescent="0.25">
      <c r="A951" t="s">
        <v>3258</v>
      </c>
      <c r="B951" t="s">
        <v>3930</v>
      </c>
      <c r="C951" s="25">
        <v>3840</v>
      </c>
      <c r="D951" s="28">
        <v>3840</v>
      </c>
      <c r="E951" s="2" t="str">
        <f t="shared" si="30"/>
        <v>Same</v>
      </c>
      <c r="F951" s="6" t="s">
        <v>1970</v>
      </c>
      <c r="G951" s="3">
        <v>27.75</v>
      </c>
      <c r="H951" s="2" t="s">
        <v>933</v>
      </c>
      <c r="I951" s="4">
        <f>[1]Sheet1!I951</f>
        <v>2285</v>
      </c>
      <c r="J951" s="3" t="str">
        <f t="shared" si="29"/>
        <v>3840_A1C1.webp</v>
      </c>
      <c r="K951" s="5">
        <f>Sheet4!E951</f>
        <v>24</v>
      </c>
      <c r="L951" s="5"/>
      <c r="M951" s="4"/>
    </row>
    <row r="952" spans="1:13" x14ac:dyDescent="0.25">
      <c r="A952" t="s">
        <v>3258</v>
      </c>
      <c r="B952" t="s">
        <v>3930</v>
      </c>
      <c r="C952" s="25">
        <v>3841</v>
      </c>
      <c r="D952" s="28">
        <v>3841</v>
      </c>
      <c r="E952" s="2" t="str">
        <f t="shared" si="30"/>
        <v>Same</v>
      </c>
      <c r="F952" s="6" t="s">
        <v>1967</v>
      </c>
      <c r="G952" s="3">
        <v>44.55</v>
      </c>
      <c r="H952" s="2" t="s">
        <v>934</v>
      </c>
      <c r="I952" s="4">
        <f>[1]Sheet1!I952</f>
        <v>1382</v>
      </c>
      <c r="J952" s="3" t="str">
        <f t="shared" si="29"/>
        <v>3841_A1C1.webp</v>
      </c>
      <c r="K952" s="5">
        <f>Sheet4!E952</f>
        <v>18</v>
      </c>
      <c r="L952" s="5"/>
      <c r="M952" s="4"/>
    </row>
    <row r="953" spans="1:13" x14ac:dyDescent="0.25">
      <c r="A953" t="s">
        <v>3258</v>
      </c>
      <c r="B953" t="s">
        <v>4037</v>
      </c>
      <c r="C953" s="25">
        <v>3842</v>
      </c>
      <c r="D953" s="28">
        <v>3842</v>
      </c>
      <c r="E953" s="2" t="str">
        <f t="shared" si="30"/>
        <v>Same</v>
      </c>
      <c r="F953" s="6" t="s">
        <v>1881</v>
      </c>
      <c r="G953" s="3">
        <v>49.5</v>
      </c>
      <c r="H953" s="2" t="s">
        <v>935</v>
      </c>
      <c r="I953" s="4">
        <f>[1]Sheet1!I953</f>
        <v>10174</v>
      </c>
      <c r="J953" s="3" t="str">
        <f t="shared" si="29"/>
        <v>3842_A1C1.webp</v>
      </c>
      <c r="K953" s="5">
        <f>Sheet4!E953</f>
        <v>12</v>
      </c>
      <c r="L953" s="5"/>
      <c r="M953" s="4"/>
    </row>
    <row r="954" spans="1:13" x14ac:dyDescent="0.25">
      <c r="A954" t="s">
        <v>3258</v>
      </c>
      <c r="B954" t="s">
        <v>4037</v>
      </c>
      <c r="C954" s="25">
        <v>3843</v>
      </c>
      <c r="D954" s="28">
        <v>3843</v>
      </c>
      <c r="E954" s="2" t="str">
        <f t="shared" si="30"/>
        <v>Same</v>
      </c>
      <c r="F954" s="6" t="s">
        <v>1881</v>
      </c>
      <c r="G954" s="3">
        <v>49.5</v>
      </c>
      <c r="H954" s="2" t="s">
        <v>936</v>
      </c>
      <c r="I954" s="4">
        <f>[1]Sheet1!I954</f>
        <v>13</v>
      </c>
      <c r="J954" s="3" t="str">
        <f t="shared" si="29"/>
        <v>3843_A1C1.webp</v>
      </c>
      <c r="K954" s="5">
        <f>Sheet4!E954</f>
        <v>12</v>
      </c>
      <c r="L954" s="5"/>
      <c r="M954" s="4"/>
    </row>
    <row r="955" spans="1:13" x14ac:dyDescent="0.25">
      <c r="A955" t="s">
        <v>3258</v>
      </c>
      <c r="B955" t="s">
        <v>4037</v>
      </c>
      <c r="C955" s="25">
        <v>3844</v>
      </c>
      <c r="D955" s="28">
        <v>3844</v>
      </c>
      <c r="E955" s="2" t="str">
        <f t="shared" si="30"/>
        <v>Same</v>
      </c>
      <c r="F955" s="6" t="s">
        <v>1881</v>
      </c>
      <c r="G955" s="3">
        <v>49.5</v>
      </c>
      <c r="H955" s="2" t="s">
        <v>937</v>
      </c>
      <c r="I955" s="4">
        <f>[1]Sheet1!I955</f>
        <v>707</v>
      </c>
      <c r="J955" s="3" t="str">
        <f t="shared" si="29"/>
        <v>3844_A1C1.webp</v>
      </c>
      <c r="K955" s="5">
        <f>Sheet4!E955</f>
        <v>12</v>
      </c>
      <c r="L955" s="5"/>
      <c r="M955" s="4"/>
    </row>
    <row r="956" spans="1:13" x14ac:dyDescent="0.25">
      <c r="A956" t="s">
        <v>2685</v>
      </c>
      <c r="B956" t="s">
        <v>4041</v>
      </c>
      <c r="C956" s="25">
        <v>3846</v>
      </c>
      <c r="D956" s="28">
        <v>3846</v>
      </c>
      <c r="E956" s="2" t="str">
        <f t="shared" si="30"/>
        <v>Same</v>
      </c>
      <c r="F956" s="6" t="s">
        <v>1972</v>
      </c>
      <c r="G956" s="3">
        <v>38.5</v>
      </c>
      <c r="H956" s="2" t="s">
        <v>938</v>
      </c>
      <c r="I956" s="4">
        <f>[1]Sheet1!I956</f>
        <v>1416</v>
      </c>
      <c r="J956" s="3" t="str">
        <f t="shared" si="29"/>
        <v>3846_A1C1.webp</v>
      </c>
      <c r="K956" s="5">
        <f>Sheet4!E956</f>
        <v>6</v>
      </c>
      <c r="L956" s="5"/>
      <c r="M956" s="4"/>
    </row>
    <row r="957" spans="1:13" x14ac:dyDescent="0.25">
      <c r="A957" t="s">
        <v>2685</v>
      </c>
      <c r="B957" t="s">
        <v>4041</v>
      </c>
      <c r="C957" s="25">
        <v>3847</v>
      </c>
      <c r="D957" s="28">
        <v>3847</v>
      </c>
      <c r="E957" s="2" t="str">
        <f t="shared" si="30"/>
        <v>Same</v>
      </c>
      <c r="F957" s="6" t="s">
        <v>1918</v>
      </c>
      <c r="G957" s="3">
        <v>38.5</v>
      </c>
      <c r="H957" s="2" t="s">
        <v>939</v>
      </c>
      <c r="I957" s="4">
        <f>[1]Sheet1!I957</f>
        <v>607</v>
      </c>
      <c r="J957" s="3" t="str">
        <f t="shared" si="29"/>
        <v>3847_A1C1.webp</v>
      </c>
      <c r="K957" s="5">
        <f>Sheet4!E957</f>
        <v>10</v>
      </c>
      <c r="L957" s="5"/>
      <c r="M957" s="4"/>
    </row>
    <row r="958" spans="1:13" x14ac:dyDescent="0.25">
      <c r="A958" t="s">
        <v>2514</v>
      </c>
      <c r="B958" t="s">
        <v>4047</v>
      </c>
      <c r="C958" s="25">
        <v>3852</v>
      </c>
      <c r="D958" s="28">
        <v>3852</v>
      </c>
      <c r="E958" s="2" t="str">
        <f t="shared" si="30"/>
        <v>Same</v>
      </c>
      <c r="F958" s="6" t="s">
        <v>1873</v>
      </c>
      <c r="G958" s="3">
        <v>25.5</v>
      </c>
      <c r="H958" s="2" t="s">
        <v>940</v>
      </c>
      <c r="I958" s="4">
        <f>[1]Sheet1!I958</f>
        <v>1575</v>
      </c>
      <c r="J958" s="3" t="str">
        <f t="shared" si="29"/>
        <v>3852_A1C1.webp</v>
      </c>
      <c r="K958" s="5">
        <f>Sheet4!E958</f>
        <v>12</v>
      </c>
      <c r="L958" s="5"/>
      <c r="M958" s="4"/>
    </row>
    <row r="959" spans="1:13" x14ac:dyDescent="0.25">
      <c r="A959" t="s">
        <v>2514</v>
      </c>
      <c r="B959" t="s">
        <v>4047</v>
      </c>
      <c r="C959" s="25">
        <v>3854</v>
      </c>
      <c r="D959" s="28">
        <v>3854</v>
      </c>
      <c r="E959" s="2" t="str">
        <f t="shared" si="30"/>
        <v>Same</v>
      </c>
      <c r="F959" s="6" t="s">
        <v>1873</v>
      </c>
      <c r="G959" s="3">
        <v>25.5</v>
      </c>
      <c r="H959" s="2" t="s">
        <v>941</v>
      </c>
      <c r="I959" s="4">
        <f>[1]Sheet1!I959</f>
        <v>3044</v>
      </c>
      <c r="J959" s="3" t="str">
        <f t="shared" si="29"/>
        <v>3854_A1C1.webp</v>
      </c>
      <c r="K959" s="5">
        <f>Sheet4!E959</f>
        <v>12</v>
      </c>
      <c r="L959" s="5"/>
      <c r="M959" s="4"/>
    </row>
    <row r="960" spans="1:13" x14ac:dyDescent="0.25">
      <c r="A960" t="s">
        <v>2633</v>
      </c>
      <c r="B960" t="s">
        <v>4051</v>
      </c>
      <c r="C960" s="25">
        <v>3855</v>
      </c>
      <c r="D960" s="28">
        <v>3855</v>
      </c>
      <c r="E960" s="2" t="str">
        <f t="shared" si="30"/>
        <v>Same</v>
      </c>
      <c r="F960" s="6" t="s">
        <v>1839</v>
      </c>
      <c r="G960">
        <v>28.5</v>
      </c>
      <c r="H960" s="2" t="s">
        <v>942</v>
      </c>
      <c r="I960" s="4">
        <f>[1]Sheet1!I960</f>
        <v>7</v>
      </c>
      <c r="J960" s="3" t="str">
        <f t="shared" si="29"/>
        <v>3855_A1C1.webp</v>
      </c>
      <c r="K960" s="5">
        <f>Sheet4!E960</f>
        <v>36</v>
      </c>
      <c r="L960" s="5"/>
      <c r="M960" s="4"/>
    </row>
    <row r="961" spans="1:13" x14ac:dyDescent="0.25">
      <c r="A961" t="s">
        <v>3258</v>
      </c>
      <c r="B961" t="s">
        <v>3997</v>
      </c>
      <c r="C961" s="25">
        <v>3856</v>
      </c>
      <c r="D961" s="28">
        <v>3856</v>
      </c>
      <c r="E961" s="2" t="str">
        <f t="shared" si="30"/>
        <v>Same</v>
      </c>
      <c r="F961" s="6" t="s">
        <v>1869</v>
      </c>
      <c r="G961" s="3">
        <v>49.5</v>
      </c>
      <c r="H961" s="2" t="s">
        <v>943</v>
      </c>
      <c r="I961" s="4">
        <f>[1]Sheet1!I961</f>
        <v>208</v>
      </c>
      <c r="J961" s="3" t="str">
        <f t="shared" si="29"/>
        <v>3856_A1C1.webp</v>
      </c>
      <c r="K961" s="5">
        <f>Sheet4!E961</f>
        <v>24</v>
      </c>
      <c r="L961" s="5"/>
      <c r="M961" s="4"/>
    </row>
    <row r="962" spans="1:13" x14ac:dyDescent="0.25">
      <c r="A962" t="s">
        <v>2633</v>
      </c>
      <c r="B962" t="s">
        <v>4051</v>
      </c>
      <c r="C962" s="25">
        <v>3857</v>
      </c>
      <c r="D962" s="28">
        <v>3857</v>
      </c>
      <c r="E962" s="2" t="str">
        <f t="shared" si="30"/>
        <v>Same</v>
      </c>
      <c r="F962" s="6" t="s">
        <v>1873</v>
      </c>
      <c r="G962" s="3">
        <v>26.95</v>
      </c>
      <c r="H962" s="2" t="s">
        <v>944</v>
      </c>
      <c r="I962" s="4">
        <f>[1]Sheet1!I962</f>
        <v>1774</v>
      </c>
      <c r="J962" s="3" t="str">
        <f t="shared" ref="J962:J1025" si="31">C962 &amp; "_A1C1.webp"</f>
        <v>3857_A1C1.webp</v>
      </c>
      <c r="K962" s="5">
        <f>Sheet4!E962</f>
        <v>24</v>
      </c>
      <c r="L962" s="5"/>
      <c r="M962" s="4"/>
    </row>
    <row r="963" spans="1:13" x14ac:dyDescent="0.25">
      <c r="A963" t="s">
        <v>3258</v>
      </c>
      <c r="B963" t="s">
        <v>4006</v>
      </c>
      <c r="C963" s="25">
        <v>3858</v>
      </c>
      <c r="D963" s="28">
        <v>3858</v>
      </c>
      <c r="E963" s="2" t="str">
        <f t="shared" si="30"/>
        <v>Same</v>
      </c>
      <c r="F963" s="6" t="s">
        <v>1940</v>
      </c>
      <c r="G963" s="3">
        <v>88.5</v>
      </c>
      <c r="H963" s="2" t="s">
        <v>945</v>
      </c>
      <c r="I963" s="4">
        <f>[1]Sheet1!I963</f>
        <v>17</v>
      </c>
      <c r="J963" s="3" t="str">
        <f t="shared" si="31"/>
        <v>3858_A1C1.webp</v>
      </c>
      <c r="K963" s="5">
        <f>Sheet4!E963</f>
        <v>24</v>
      </c>
      <c r="L963" s="5"/>
      <c r="M963" s="4"/>
    </row>
    <row r="964" spans="1:13" x14ac:dyDescent="0.25">
      <c r="A964" t="s">
        <v>2633</v>
      </c>
      <c r="B964" t="s">
        <v>4051</v>
      </c>
      <c r="C964" s="25">
        <v>3859</v>
      </c>
      <c r="D964" s="28">
        <v>3859</v>
      </c>
      <c r="E964" s="2" t="str">
        <f t="shared" si="30"/>
        <v>Same</v>
      </c>
      <c r="F964" s="6" t="s">
        <v>1874</v>
      </c>
      <c r="G964" s="3">
        <v>25.35</v>
      </c>
      <c r="H964" s="2" t="s">
        <v>946</v>
      </c>
      <c r="I964" s="4">
        <f>[1]Sheet1!I964</f>
        <v>1891</v>
      </c>
      <c r="J964" s="3" t="str">
        <f t="shared" si="31"/>
        <v>3859_A1C1.webp</v>
      </c>
      <c r="K964" s="5">
        <f>Sheet4!E964</f>
        <v>12</v>
      </c>
      <c r="L964" s="5"/>
      <c r="M964" s="4"/>
    </row>
    <row r="965" spans="1:13" x14ac:dyDescent="0.25">
      <c r="A965" t="s">
        <v>3258</v>
      </c>
      <c r="B965" t="s">
        <v>4037</v>
      </c>
      <c r="C965" s="25">
        <v>3860</v>
      </c>
      <c r="D965" s="28">
        <v>3860</v>
      </c>
      <c r="E965" s="2" t="str">
        <f t="shared" si="30"/>
        <v>Same</v>
      </c>
      <c r="F965" s="6" t="s">
        <v>1881</v>
      </c>
      <c r="G965" s="3">
        <v>59.5</v>
      </c>
      <c r="H965" s="2" t="s">
        <v>947</v>
      </c>
      <c r="I965" s="4">
        <f>[1]Sheet1!I965</f>
        <v>108</v>
      </c>
      <c r="J965" s="3" t="str">
        <f t="shared" si="31"/>
        <v>3860_A1C1.webp</v>
      </c>
      <c r="K965" s="5">
        <f>Sheet4!E965</f>
        <v>12</v>
      </c>
      <c r="L965" s="5"/>
      <c r="M965" s="4"/>
    </row>
    <row r="966" spans="1:13" x14ac:dyDescent="0.25">
      <c r="A966" t="s">
        <v>3258</v>
      </c>
      <c r="B966" t="s">
        <v>4037</v>
      </c>
      <c r="C966" s="25">
        <v>3861</v>
      </c>
      <c r="D966" s="28">
        <v>3861</v>
      </c>
      <c r="E966" s="2" t="str">
        <f t="shared" si="30"/>
        <v>Same</v>
      </c>
      <c r="F966" s="6" t="s">
        <v>1881</v>
      </c>
      <c r="G966" s="3">
        <v>59.5</v>
      </c>
      <c r="H966" s="2" t="s">
        <v>948</v>
      </c>
      <c r="I966" s="4">
        <f>[1]Sheet1!I966</f>
        <v>78</v>
      </c>
      <c r="J966" s="3" t="str">
        <f t="shared" si="31"/>
        <v>3861_A1C1.webp</v>
      </c>
      <c r="K966" s="5">
        <f>Sheet4!E966</f>
        <v>12</v>
      </c>
      <c r="L966" s="5"/>
      <c r="M966" s="4"/>
    </row>
    <row r="967" spans="1:13" x14ac:dyDescent="0.25">
      <c r="A967" t="s">
        <v>2633</v>
      </c>
      <c r="B967" t="s">
        <v>2634</v>
      </c>
      <c r="C967" s="25">
        <v>3862</v>
      </c>
      <c r="D967" s="28">
        <v>3862</v>
      </c>
      <c r="E967" s="2" t="str">
        <f t="shared" ref="E967:E1030" si="32">IF(C967=D967, "Same","New")</f>
        <v>Same</v>
      </c>
      <c r="F967" s="6" t="s">
        <v>1855</v>
      </c>
      <c r="G967" s="3">
        <v>29.5</v>
      </c>
      <c r="H967" s="2" t="s">
        <v>949</v>
      </c>
      <c r="I967" s="4">
        <f>[1]Sheet1!I967</f>
        <v>602</v>
      </c>
      <c r="J967" s="3" t="str">
        <f t="shared" si="31"/>
        <v>3862_A1C1.webp</v>
      </c>
      <c r="K967" s="5">
        <f>Sheet4!E967</f>
        <v>16</v>
      </c>
      <c r="L967" s="5"/>
      <c r="M967" s="4"/>
    </row>
    <row r="968" spans="1:13" x14ac:dyDescent="0.25">
      <c r="A968" t="s">
        <v>2633</v>
      </c>
      <c r="B968" t="s">
        <v>4069</v>
      </c>
      <c r="C968" s="25">
        <v>3864</v>
      </c>
      <c r="D968" s="28">
        <v>3864</v>
      </c>
      <c r="E968" s="2" t="str">
        <f t="shared" si="32"/>
        <v>Same</v>
      </c>
      <c r="F968" s="6" t="s">
        <v>1973</v>
      </c>
      <c r="G968" s="3">
        <v>31.25</v>
      </c>
      <c r="H968" s="2" t="s">
        <v>950</v>
      </c>
      <c r="I968" s="4">
        <f>[1]Sheet1!I968</f>
        <v>58</v>
      </c>
      <c r="J968" s="3" t="str">
        <f t="shared" si="31"/>
        <v>3864_A1C1.webp</v>
      </c>
      <c r="K968" s="5">
        <f>Sheet4!E968</f>
        <v>12</v>
      </c>
      <c r="L968" s="5"/>
      <c r="M968" s="4"/>
    </row>
    <row r="969" spans="1:13" x14ac:dyDescent="0.25">
      <c r="A969" t="s">
        <v>3258</v>
      </c>
      <c r="B969" t="s">
        <v>3930</v>
      </c>
      <c r="C969" s="25">
        <v>3865</v>
      </c>
      <c r="D969" s="28">
        <v>3865</v>
      </c>
      <c r="E969" s="2" t="str">
        <f t="shared" si="32"/>
        <v>Same</v>
      </c>
      <c r="F969" s="6" t="s">
        <v>1970</v>
      </c>
      <c r="G969" s="3">
        <v>40.75</v>
      </c>
      <c r="H969" s="2" t="s">
        <v>951</v>
      </c>
      <c r="I969" s="4">
        <f>[1]Sheet1!I969</f>
        <v>156</v>
      </c>
      <c r="J969" s="3" t="str">
        <f t="shared" si="31"/>
        <v>3865_A1C1.webp</v>
      </c>
      <c r="K969" s="5">
        <f>Sheet4!E969</f>
        <v>36</v>
      </c>
      <c r="L969" s="5"/>
      <c r="M969" s="4"/>
    </row>
    <row r="970" spans="1:13" x14ac:dyDescent="0.25">
      <c r="A970" t="s">
        <v>2633</v>
      </c>
      <c r="B970" t="s">
        <v>2634</v>
      </c>
      <c r="C970" s="25">
        <v>3867</v>
      </c>
      <c r="D970" s="28">
        <v>3867</v>
      </c>
      <c r="E970" s="2" t="str">
        <f t="shared" si="32"/>
        <v>Same</v>
      </c>
      <c r="F970" s="6" t="s">
        <v>1849</v>
      </c>
      <c r="G970" s="3">
        <v>38.950000000000003</v>
      </c>
      <c r="H970" s="2" t="s">
        <v>952</v>
      </c>
      <c r="I970" s="4">
        <f>[1]Sheet1!I970</f>
        <v>1273</v>
      </c>
      <c r="J970" s="3" t="str">
        <f t="shared" si="31"/>
        <v>3867_A1C1.webp</v>
      </c>
      <c r="K970" s="5">
        <f>Sheet4!E970</f>
        <v>12</v>
      </c>
      <c r="L970" s="5"/>
      <c r="M970" s="4"/>
    </row>
    <row r="971" spans="1:13" x14ac:dyDescent="0.25">
      <c r="A971" t="s">
        <v>2633</v>
      </c>
      <c r="B971" t="s">
        <v>2634</v>
      </c>
      <c r="C971" s="25">
        <v>3868</v>
      </c>
      <c r="D971" s="28">
        <v>3868</v>
      </c>
      <c r="E971" s="2" t="str">
        <f t="shared" si="32"/>
        <v>Same</v>
      </c>
      <c r="F971" s="6" t="s">
        <v>1879</v>
      </c>
      <c r="G971" s="3">
        <v>64.95</v>
      </c>
      <c r="H971" s="2" t="s">
        <v>953</v>
      </c>
      <c r="I971" s="4">
        <f>[1]Sheet1!I971</f>
        <v>662</v>
      </c>
      <c r="J971" s="3" t="str">
        <f t="shared" si="31"/>
        <v>3868_A1C1.webp</v>
      </c>
      <c r="K971" s="5">
        <f>Sheet4!E971</f>
        <v>12</v>
      </c>
      <c r="L971" s="5"/>
      <c r="M971" s="4"/>
    </row>
    <row r="972" spans="1:13" x14ac:dyDescent="0.25">
      <c r="A972" t="s">
        <v>2633</v>
      </c>
      <c r="B972" t="s">
        <v>2634</v>
      </c>
      <c r="C972" s="25">
        <v>3869</v>
      </c>
      <c r="D972" s="28">
        <v>3869</v>
      </c>
      <c r="E972" s="2" t="str">
        <f t="shared" si="32"/>
        <v>Same</v>
      </c>
      <c r="F972" s="6" t="s">
        <v>1849</v>
      </c>
      <c r="G972" s="3">
        <v>38.950000000000003</v>
      </c>
      <c r="H972" s="2" t="s">
        <v>954</v>
      </c>
      <c r="I972" s="4">
        <f>[1]Sheet1!I972</f>
        <v>1059</v>
      </c>
      <c r="J972" s="3" t="str">
        <f t="shared" si="31"/>
        <v>3869_A1C1.webp</v>
      </c>
      <c r="K972" s="5">
        <f>Sheet4!E972</f>
        <v>12</v>
      </c>
      <c r="L972" s="5"/>
      <c r="M972" s="4"/>
    </row>
    <row r="973" spans="1:13" x14ac:dyDescent="0.25">
      <c r="A973" t="s">
        <v>2633</v>
      </c>
      <c r="B973" t="s">
        <v>2634</v>
      </c>
      <c r="C973" s="25">
        <v>3870</v>
      </c>
      <c r="D973" s="28">
        <v>3870</v>
      </c>
      <c r="E973" s="2" t="str">
        <f t="shared" si="32"/>
        <v>Same</v>
      </c>
      <c r="F973" s="6" t="s">
        <v>1879</v>
      </c>
      <c r="G973" s="3">
        <v>64.95</v>
      </c>
      <c r="H973" s="2" t="s">
        <v>955</v>
      </c>
      <c r="I973" s="4">
        <f>[1]Sheet1!I973</f>
        <v>385</v>
      </c>
      <c r="J973" s="3" t="str">
        <f t="shared" si="31"/>
        <v>3870_A1C1.webp</v>
      </c>
      <c r="K973" s="5">
        <f>Sheet4!E973</f>
        <v>12</v>
      </c>
      <c r="L973" s="5"/>
      <c r="M973" s="4"/>
    </row>
    <row r="974" spans="1:13" x14ac:dyDescent="0.25">
      <c r="A974" t="s">
        <v>2633</v>
      </c>
      <c r="B974" t="s">
        <v>2634</v>
      </c>
      <c r="C974" s="25">
        <v>3871</v>
      </c>
      <c r="D974" s="28">
        <v>3871</v>
      </c>
      <c r="E974" s="2" t="str">
        <f t="shared" si="32"/>
        <v>Same</v>
      </c>
      <c r="F974" s="6" t="s">
        <v>1849</v>
      </c>
      <c r="G974" s="3">
        <v>39.950000000000003</v>
      </c>
      <c r="H974" s="2" t="s">
        <v>956</v>
      </c>
      <c r="I974" s="4">
        <f>[1]Sheet1!I974</f>
        <v>838</v>
      </c>
      <c r="J974" s="3" t="str">
        <f t="shared" si="31"/>
        <v>3871_A1C1.webp</v>
      </c>
      <c r="K974" s="5">
        <f>Sheet4!E974</f>
        <v>12</v>
      </c>
      <c r="L974" s="5"/>
      <c r="M974" s="4"/>
    </row>
    <row r="975" spans="1:13" x14ac:dyDescent="0.25">
      <c r="A975" t="s">
        <v>3258</v>
      </c>
      <c r="B975" t="s">
        <v>4037</v>
      </c>
      <c r="C975" s="25">
        <v>3874</v>
      </c>
      <c r="D975" s="28">
        <v>3874</v>
      </c>
      <c r="E975" s="2" t="str">
        <f t="shared" si="32"/>
        <v>Same</v>
      </c>
      <c r="F975" s="6" t="s">
        <v>1881</v>
      </c>
      <c r="G975" s="3">
        <v>56.5</v>
      </c>
      <c r="H975" s="2" t="s">
        <v>957</v>
      </c>
      <c r="I975" s="4">
        <f>[1]Sheet1!I975</f>
        <v>177</v>
      </c>
      <c r="J975" s="3" t="str">
        <f t="shared" si="31"/>
        <v>3874_A1C1.webp</v>
      </c>
      <c r="K975" s="5">
        <f>Sheet4!E975</f>
        <v>12</v>
      </c>
      <c r="L975" s="5"/>
      <c r="M975" s="4"/>
    </row>
    <row r="976" spans="1:13" x14ac:dyDescent="0.25">
      <c r="A976" t="s">
        <v>3258</v>
      </c>
      <c r="B976" t="s">
        <v>3930</v>
      </c>
      <c r="C976" s="25">
        <v>3875</v>
      </c>
      <c r="D976" s="28">
        <v>3875</v>
      </c>
      <c r="E976" s="2" t="str">
        <f t="shared" si="32"/>
        <v>Same</v>
      </c>
      <c r="F976" s="6" t="s">
        <v>1970</v>
      </c>
      <c r="G976" s="3">
        <v>39.65</v>
      </c>
      <c r="H976" s="2" t="s">
        <v>958</v>
      </c>
      <c r="I976" s="4">
        <f>[1]Sheet1!I976</f>
        <v>210</v>
      </c>
      <c r="J976" s="3" t="str">
        <f t="shared" si="31"/>
        <v>3875_A1C1.webp</v>
      </c>
      <c r="K976" s="5">
        <f>Sheet4!E976</f>
        <v>36</v>
      </c>
      <c r="L976" s="5"/>
      <c r="M976" s="4"/>
    </row>
    <row r="977" spans="1:13" x14ac:dyDescent="0.25">
      <c r="A977" t="s">
        <v>4082</v>
      </c>
      <c r="B977" t="s">
        <v>4083</v>
      </c>
      <c r="C977" s="25">
        <v>3876</v>
      </c>
      <c r="D977" s="28">
        <v>3876</v>
      </c>
      <c r="E977" s="2" t="str">
        <f t="shared" si="32"/>
        <v>Same</v>
      </c>
      <c r="F977" s="6" t="s">
        <v>1876</v>
      </c>
      <c r="G977" s="3">
        <v>28.95</v>
      </c>
      <c r="H977" s="2" t="s">
        <v>959</v>
      </c>
      <c r="I977" s="4">
        <f>[1]Sheet1!I977</f>
        <v>2940</v>
      </c>
      <c r="J977" s="3" t="str">
        <f t="shared" si="31"/>
        <v>3876_A1C1.webp</v>
      </c>
      <c r="K977" s="5">
        <f>Sheet4!E977</f>
        <v>12</v>
      </c>
      <c r="L977" s="5"/>
      <c r="M977" s="4"/>
    </row>
    <row r="978" spans="1:13" x14ac:dyDescent="0.25">
      <c r="A978" t="s">
        <v>3258</v>
      </c>
      <c r="B978" t="s">
        <v>4037</v>
      </c>
      <c r="C978" s="25">
        <v>3877</v>
      </c>
      <c r="D978" s="28">
        <v>3877</v>
      </c>
      <c r="E978" s="2" t="str">
        <f t="shared" si="32"/>
        <v>Same</v>
      </c>
      <c r="F978" s="6" t="s">
        <v>1881</v>
      </c>
      <c r="G978" s="3">
        <v>56.5</v>
      </c>
      <c r="H978" s="2" t="s">
        <v>960</v>
      </c>
      <c r="I978" s="4">
        <f>[1]Sheet1!I978</f>
        <v>153</v>
      </c>
      <c r="J978" s="3" t="str">
        <f t="shared" si="31"/>
        <v>3877_A1C1.webp</v>
      </c>
      <c r="K978" s="5">
        <f>Sheet4!E978</f>
        <v>12</v>
      </c>
      <c r="L978" s="5"/>
      <c r="M978" s="4"/>
    </row>
    <row r="979" spans="1:13" x14ac:dyDescent="0.25">
      <c r="A979" t="s">
        <v>2633</v>
      </c>
      <c r="B979" t="s">
        <v>4069</v>
      </c>
      <c r="C979" s="25">
        <v>3878</v>
      </c>
      <c r="D979" s="28">
        <v>3878</v>
      </c>
      <c r="E979" s="2" t="str">
        <f t="shared" si="32"/>
        <v>Same</v>
      </c>
      <c r="F979" s="6" t="s">
        <v>1973</v>
      </c>
      <c r="G979" s="3">
        <v>31.25</v>
      </c>
      <c r="H979" s="2" t="s">
        <v>961</v>
      </c>
      <c r="I979" s="4">
        <f>[1]Sheet1!I979</f>
        <v>27</v>
      </c>
      <c r="J979" s="3" t="str">
        <f t="shared" si="31"/>
        <v>3878_A1C1.webp</v>
      </c>
      <c r="K979" s="5">
        <f>Sheet4!E979</f>
        <v>12</v>
      </c>
      <c r="L979" s="5"/>
      <c r="M979" s="4"/>
    </row>
    <row r="980" spans="1:13" x14ac:dyDescent="0.25">
      <c r="A980" t="s">
        <v>2633</v>
      </c>
      <c r="B980" t="s">
        <v>4069</v>
      </c>
      <c r="C980" s="25">
        <v>3879</v>
      </c>
      <c r="D980" s="28">
        <v>3879</v>
      </c>
      <c r="E980" s="2" t="str">
        <f t="shared" si="32"/>
        <v>Same</v>
      </c>
      <c r="F980" s="6" t="s">
        <v>1973</v>
      </c>
      <c r="G980" s="3">
        <v>31.25</v>
      </c>
      <c r="H980" s="2" t="s">
        <v>962</v>
      </c>
      <c r="I980" s="4">
        <f>[1]Sheet1!I980</f>
        <v>85</v>
      </c>
      <c r="J980" s="3" t="str">
        <f t="shared" si="31"/>
        <v>3879_A1C1.webp</v>
      </c>
      <c r="K980" s="5">
        <f>Sheet4!E980</f>
        <v>12</v>
      </c>
      <c r="L980" s="5"/>
      <c r="M980" s="4"/>
    </row>
    <row r="981" spans="1:13" x14ac:dyDescent="0.25">
      <c r="A981" t="s">
        <v>2633</v>
      </c>
      <c r="B981" t="s">
        <v>4069</v>
      </c>
      <c r="C981" s="25">
        <v>3880</v>
      </c>
      <c r="D981" s="28">
        <v>3880</v>
      </c>
      <c r="E981" s="2" t="str">
        <f t="shared" si="32"/>
        <v>Same</v>
      </c>
      <c r="F981" s="6" t="s">
        <v>1973</v>
      </c>
      <c r="G981" s="3">
        <v>31.25</v>
      </c>
      <c r="H981" s="2" t="s">
        <v>963</v>
      </c>
      <c r="I981" s="4">
        <f>[1]Sheet1!I981</f>
        <v>8</v>
      </c>
      <c r="J981" s="3" t="str">
        <f t="shared" si="31"/>
        <v>3880_A1C1.webp</v>
      </c>
      <c r="K981" s="5">
        <f>Sheet4!E981</f>
        <v>12</v>
      </c>
      <c r="L981" s="5"/>
      <c r="M981" s="4"/>
    </row>
    <row r="982" spans="1:13" x14ac:dyDescent="0.25">
      <c r="A982" t="s">
        <v>2633</v>
      </c>
      <c r="B982" t="s">
        <v>4069</v>
      </c>
      <c r="C982" s="25">
        <v>3881</v>
      </c>
      <c r="D982" s="28">
        <v>3881</v>
      </c>
      <c r="E982" s="2" t="str">
        <f t="shared" si="32"/>
        <v>Same</v>
      </c>
      <c r="F982" s="6" t="s">
        <v>1973</v>
      </c>
      <c r="G982" s="3">
        <v>31.25</v>
      </c>
      <c r="H982" s="2" t="s">
        <v>964</v>
      </c>
      <c r="I982" s="4">
        <f>[1]Sheet1!I982</f>
        <v>10</v>
      </c>
      <c r="J982" s="3" t="str">
        <f t="shared" si="31"/>
        <v>3881_A1C1.webp</v>
      </c>
      <c r="K982" s="5">
        <f>Sheet4!E982</f>
        <v>12</v>
      </c>
      <c r="L982" s="5"/>
      <c r="M982" s="4"/>
    </row>
    <row r="983" spans="1:13" x14ac:dyDescent="0.25">
      <c r="A983" t="s">
        <v>3258</v>
      </c>
      <c r="B983" t="s">
        <v>3879</v>
      </c>
      <c r="C983" s="25">
        <v>3882</v>
      </c>
      <c r="D983" s="28">
        <v>3882</v>
      </c>
      <c r="E983" s="2" t="str">
        <f t="shared" si="32"/>
        <v>Same</v>
      </c>
      <c r="F983" s="6" t="s">
        <v>1879</v>
      </c>
      <c r="G983" s="3">
        <v>52.95</v>
      </c>
      <c r="H983" s="2" t="s">
        <v>965</v>
      </c>
      <c r="I983" s="4">
        <f>[1]Sheet1!I983</f>
        <v>345</v>
      </c>
      <c r="J983" s="3" t="str">
        <f t="shared" si="31"/>
        <v>3882_A1C1.webp</v>
      </c>
      <c r="K983" s="5">
        <f>Sheet4!E983</f>
        <v>6</v>
      </c>
      <c r="L983" s="5"/>
      <c r="M983" s="4"/>
    </row>
    <row r="984" spans="1:13" x14ac:dyDescent="0.25">
      <c r="A984" t="s">
        <v>3258</v>
      </c>
      <c r="B984" t="s">
        <v>3879</v>
      </c>
      <c r="C984" s="25">
        <v>3883</v>
      </c>
      <c r="D984" s="28">
        <v>3883</v>
      </c>
      <c r="E984" s="2" t="str">
        <f t="shared" si="32"/>
        <v>Same</v>
      </c>
      <c r="F984" s="6" t="s">
        <v>1938</v>
      </c>
      <c r="G984" s="3">
        <v>64.95</v>
      </c>
      <c r="H984" s="2" t="s">
        <v>966</v>
      </c>
      <c r="I984" s="4">
        <f>[1]Sheet1!I984</f>
        <v>989</v>
      </c>
      <c r="J984" s="3" t="str">
        <f t="shared" si="31"/>
        <v>3883_A1C1.webp</v>
      </c>
      <c r="K984" s="5">
        <f>Sheet4!E984</f>
        <v>12</v>
      </c>
      <c r="L984" s="5"/>
      <c r="M984" s="4"/>
    </row>
    <row r="985" spans="1:13" x14ac:dyDescent="0.25">
      <c r="A985" t="s">
        <v>3258</v>
      </c>
      <c r="B985" t="s">
        <v>3879</v>
      </c>
      <c r="C985" s="25">
        <v>3884</v>
      </c>
      <c r="D985" s="28">
        <v>3884</v>
      </c>
      <c r="E985" s="2" t="str">
        <f t="shared" si="32"/>
        <v>Same</v>
      </c>
      <c r="F985" s="6" t="s">
        <v>1922</v>
      </c>
      <c r="G985" s="3">
        <v>41.95</v>
      </c>
      <c r="H985" s="2" t="s">
        <v>967</v>
      </c>
      <c r="I985" s="4">
        <f>[1]Sheet1!I985</f>
        <v>4170</v>
      </c>
      <c r="J985" s="3" t="str">
        <f t="shared" si="31"/>
        <v>3884_A1C1.webp</v>
      </c>
      <c r="K985" s="5">
        <f>Sheet4!E985</f>
        <v>12</v>
      </c>
      <c r="L985" s="5"/>
      <c r="M985" s="4"/>
    </row>
    <row r="986" spans="1:13" x14ac:dyDescent="0.25">
      <c r="A986" t="s">
        <v>3258</v>
      </c>
      <c r="B986" t="s">
        <v>3879</v>
      </c>
      <c r="C986" s="25">
        <v>3885</v>
      </c>
      <c r="D986" s="28">
        <v>3885</v>
      </c>
      <c r="E986" s="2" t="str">
        <f t="shared" si="32"/>
        <v>Same</v>
      </c>
      <c r="F986" s="6" t="s">
        <v>1857</v>
      </c>
      <c r="G986" s="3">
        <v>44.95</v>
      </c>
      <c r="H986" s="2" t="s">
        <v>968</v>
      </c>
      <c r="I986" s="4">
        <f>[1]Sheet1!I986</f>
        <v>860</v>
      </c>
      <c r="J986" s="3" t="str">
        <f t="shared" si="31"/>
        <v>3885_A1C1.webp</v>
      </c>
      <c r="K986" s="5">
        <f>Sheet4!E986</f>
        <v>24</v>
      </c>
      <c r="L986" s="5"/>
      <c r="M986" s="4"/>
    </row>
    <row r="987" spans="1:13" x14ac:dyDescent="0.25">
      <c r="A987" t="s">
        <v>3258</v>
      </c>
      <c r="B987" t="s">
        <v>3879</v>
      </c>
      <c r="C987" s="25">
        <v>3886</v>
      </c>
      <c r="D987" s="28">
        <v>3886</v>
      </c>
      <c r="E987" s="2" t="str">
        <f t="shared" si="32"/>
        <v>Same</v>
      </c>
      <c r="F987" s="6" t="s">
        <v>1857</v>
      </c>
      <c r="G987" s="3">
        <v>44.95</v>
      </c>
      <c r="H987" s="2" t="s">
        <v>852</v>
      </c>
      <c r="I987" s="4">
        <f>[1]Sheet1!I987</f>
        <v>219</v>
      </c>
      <c r="J987" s="3" t="str">
        <f t="shared" si="31"/>
        <v>3886_A1C1.webp</v>
      </c>
      <c r="K987" s="5">
        <f>Sheet4!E987</f>
        <v>24</v>
      </c>
      <c r="L987" s="5"/>
      <c r="M987" s="4"/>
    </row>
    <row r="988" spans="1:13" x14ac:dyDescent="0.25">
      <c r="A988" t="s">
        <v>2633</v>
      </c>
      <c r="B988" t="s">
        <v>4098</v>
      </c>
      <c r="C988" s="25">
        <v>3888</v>
      </c>
      <c r="D988" s="28">
        <v>3888</v>
      </c>
      <c r="E988" s="2" t="str">
        <f t="shared" si="32"/>
        <v>Same</v>
      </c>
      <c r="F988" s="6" t="s">
        <v>1847</v>
      </c>
      <c r="G988" s="3">
        <v>54.5</v>
      </c>
      <c r="H988" s="2" t="s">
        <v>969</v>
      </c>
      <c r="I988" s="4">
        <f>[1]Sheet1!I988</f>
        <v>0</v>
      </c>
      <c r="J988" s="3" t="str">
        <f t="shared" si="31"/>
        <v>3888_A1C1.webp</v>
      </c>
      <c r="K988" s="5">
        <f>Sheet4!E988</f>
        <v>24</v>
      </c>
      <c r="L988" s="5"/>
      <c r="M988" s="4"/>
    </row>
    <row r="989" spans="1:13" x14ac:dyDescent="0.25">
      <c r="A989" t="s">
        <v>2633</v>
      </c>
      <c r="B989" t="s">
        <v>4098</v>
      </c>
      <c r="C989" s="25">
        <v>3889</v>
      </c>
      <c r="D989" s="28">
        <v>3889</v>
      </c>
      <c r="E989" s="2" t="str">
        <f t="shared" si="32"/>
        <v>Same</v>
      </c>
      <c r="F989" s="6" t="s">
        <v>1974</v>
      </c>
      <c r="G989" s="3">
        <v>69.95</v>
      </c>
      <c r="H989" s="2" t="s">
        <v>970</v>
      </c>
      <c r="I989" s="4">
        <f>[1]Sheet1!I989</f>
        <v>320</v>
      </c>
      <c r="J989" s="3" t="str">
        <f t="shared" si="31"/>
        <v>3889_A1C1.webp</v>
      </c>
      <c r="K989" s="5">
        <f>Sheet4!E989</f>
        <v>24</v>
      </c>
      <c r="L989" s="5"/>
      <c r="M989" s="4"/>
    </row>
    <row r="990" spans="1:13" x14ac:dyDescent="0.25">
      <c r="A990" t="s">
        <v>2633</v>
      </c>
      <c r="B990" t="s">
        <v>3898</v>
      </c>
      <c r="C990" s="25">
        <v>3890</v>
      </c>
      <c r="D990" s="28">
        <v>3890</v>
      </c>
      <c r="E990" s="2" t="str">
        <f t="shared" si="32"/>
        <v>Same</v>
      </c>
      <c r="F990" s="6" t="s">
        <v>1939</v>
      </c>
      <c r="G990" s="3">
        <v>25.95</v>
      </c>
      <c r="H990" s="2" t="s">
        <v>971</v>
      </c>
      <c r="I990" s="4">
        <f>[1]Sheet1!I990</f>
        <v>169</v>
      </c>
      <c r="J990" s="3" t="str">
        <f t="shared" si="31"/>
        <v>3890_A1C1.webp</v>
      </c>
      <c r="K990" s="5">
        <f>Sheet4!E990</f>
        <v>12</v>
      </c>
      <c r="L990" s="5"/>
      <c r="M990" s="4"/>
    </row>
    <row r="991" spans="1:13" x14ac:dyDescent="0.25">
      <c r="A991" t="s">
        <v>3258</v>
      </c>
      <c r="B991" t="s">
        <v>4104</v>
      </c>
      <c r="C991" s="25">
        <v>3892</v>
      </c>
      <c r="D991" s="28">
        <v>3892</v>
      </c>
      <c r="E991" s="2" t="str">
        <f t="shared" si="32"/>
        <v>Same</v>
      </c>
      <c r="F991" s="6" t="s">
        <v>1975</v>
      </c>
      <c r="G991" s="3">
        <v>66.5</v>
      </c>
      <c r="H991" s="2" t="s">
        <v>972</v>
      </c>
      <c r="I991" s="4">
        <f>[1]Sheet1!I991</f>
        <v>46</v>
      </c>
      <c r="J991" s="3" t="str">
        <f t="shared" si="31"/>
        <v>3892_A1C1.webp</v>
      </c>
      <c r="K991" s="5">
        <f>Sheet4!E991</f>
        <v>4</v>
      </c>
      <c r="L991" s="5"/>
      <c r="M991" s="4"/>
    </row>
    <row r="992" spans="1:13" x14ac:dyDescent="0.25">
      <c r="A992" t="s">
        <v>3258</v>
      </c>
      <c r="B992" t="s">
        <v>4104</v>
      </c>
      <c r="C992" s="25">
        <v>3893</v>
      </c>
      <c r="D992" s="28">
        <v>3893</v>
      </c>
      <c r="E992" s="2" t="str">
        <f t="shared" si="32"/>
        <v>Same</v>
      </c>
      <c r="F992" s="6" t="s">
        <v>1975</v>
      </c>
      <c r="G992" s="3">
        <v>66.5</v>
      </c>
      <c r="H992" s="2" t="s">
        <v>973</v>
      </c>
      <c r="I992" s="4">
        <f>[1]Sheet1!I992</f>
        <v>339</v>
      </c>
      <c r="J992" s="3" t="str">
        <f t="shared" si="31"/>
        <v>3893_A1C1.webp</v>
      </c>
      <c r="K992" s="5">
        <f>Sheet4!E992</f>
        <v>4</v>
      </c>
      <c r="L992" s="5"/>
      <c r="M992" s="4"/>
    </row>
    <row r="993" spans="1:13" x14ac:dyDescent="0.25">
      <c r="A993" t="s">
        <v>3258</v>
      </c>
      <c r="B993" t="s">
        <v>3997</v>
      </c>
      <c r="C993" s="25">
        <v>3903</v>
      </c>
      <c r="D993" s="28">
        <v>3903</v>
      </c>
      <c r="E993" s="2" t="str">
        <f t="shared" si="32"/>
        <v>Same</v>
      </c>
      <c r="F993" s="6" t="s">
        <v>1869</v>
      </c>
      <c r="G993" s="3">
        <v>41.5</v>
      </c>
      <c r="H993" s="2" t="s">
        <v>974</v>
      </c>
      <c r="I993" s="4">
        <f>[1]Sheet1!I993</f>
        <v>141</v>
      </c>
      <c r="J993" s="3" t="str">
        <f t="shared" si="31"/>
        <v>3903_A1C1.webp</v>
      </c>
      <c r="K993" s="5">
        <f>Sheet4!E993</f>
        <v>24</v>
      </c>
      <c r="L993" s="5"/>
      <c r="M993" s="4"/>
    </row>
    <row r="994" spans="1:13" x14ac:dyDescent="0.25">
      <c r="A994" t="s">
        <v>3258</v>
      </c>
      <c r="B994" t="s">
        <v>4037</v>
      </c>
      <c r="C994" s="25">
        <v>3904</v>
      </c>
      <c r="D994" s="28">
        <v>3904</v>
      </c>
      <c r="E994" s="2" t="str">
        <f t="shared" si="32"/>
        <v>Same</v>
      </c>
      <c r="F994" s="6" t="s">
        <v>1881</v>
      </c>
      <c r="G994" s="3">
        <v>65.5</v>
      </c>
      <c r="H994" s="2" t="s">
        <v>974</v>
      </c>
      <c r="I994" s="4">
        <f>[1]Sheet1!I994</f>
        <v>138</v>
      </c>
      <c r="J994" s="3" t="str">
        <f t="shared" si="31"/>
        <v>3904_A1C1.webp</v>
      </c>
      <c r="K994" s="5">
        <f>Sheet4!E994</f>
        <v>12</v>
      </c>
      <c r="L994" s="5"/>
      <c r="M994" s="4"/>
    </row>
    <row r="995" spans="1:13" x14ac:dyDescent="0.25">
      <c r="A995" t="s">
        <v>2633</v>
      </c>
      <c r="B995" t="s">
        <v>4112</v>
      </c>
      <c r="C995" s="25">
        <v>3905</v>
      </c>
      <c r="D995" s="28">
        <v>3905</v>
      </c>
      <c r="E995" s="2" t="str">
        <f t="shared" si="32"/>
        <v>Same</v>
      </c>
      <c r="F995" s="6" t="s">
        <v>1853</v>
      </c>
      <c r="G995" s="3">
        <v>58.75</v>
      </c>
      <c r="H995" s="2" t="s">
        <v>975</v>
      </c>
      <c r="I995" s="4">
        <f>[1]Sheet1!I995</f>
        <v>93</v>
      </c>
      <c r="J995" s="3" t="str">
        <f t="shared" si="31"/>
        <v>3905_A1C1.webp</v>
      </c>
      <c r="K995" s="5">
        <f>Sheet4!E995</f>
        <v>12</v>
      </c>
      <c r="L995" s="5"/>
      <c r="M995" s="4"/>
    </row>
    <row r="996" spans="1:13" x14ac:dyDescent="0.25">
      <c r="A996" t="s">
        <v>2633</v>
      </c>
      <c r="B996" t="s">
        <v>3354</v>
      </c>
      <c r="C996" s="25">
        <v>3907</v>
      </c>
      <c r="D996" s="28">
        <v>3907</v>
      </c>
      <c r="E996" s="2" t="str">
        <f t="shared" si="32"/>
        <v>Same</v>
      </c>
      <c r="F996" s="6" t="s">
        <v>1866</v>
      </c>
      <c r="G996">
        <v>22.35</v>
      </c>
      <c r="H996" s="2" t="s">
        <v>976</v>
      </c>
      <c r="I996" s="4">
        <f>[1]Sheet1!I996</f>
        <v>128</v>
      </c>
      <c r="J996" s="3" t="str">
        <f t="shared" si="31"/>
        <v>3907_A1C1.webp</v>
      </c>
      <c r="K996" s="5">
        <f>Sheet4!E996</f>
        <v>24</v>
      </c>
      <c r="L996" s="5"/>
      <c r="M996" s="4"/>
    </row>
    <row r="997" spans="1:13" x14ac:dyDescent="0.25">
      <c r="A997" t="s">
        <v>2633</v>
      </c>
      <c r="B997" t="s">
        <v>4118</v>
      </c>
      <c r="C997" s="25">
        <v>3909</v>
      </c>
      <c r="D997" s="28">
        <v>3909</v>
      </c>
      <c r="E997" s="2" t="str">
        <f t="shared" si="32"/>
        <v>Same</v>
      </c>
      <c r="F997" s="6" t="s">
        <v>1887</v>
      </c>
      <c r="G997" s="3">
        <v>25.35</v>
      </c>
      <c r="H997" s="2" t="s">
        <v>977</v>
      </c>
      <c r="I997" s="4">
        <f>[1]Sheet1!I997</f>
        <v>13</v>
      </c>
      <c r="J997" s="3" t="str">
        <f t="shared" si="31"/>
        <v>3909_A1C1.webp</v>
      </c>
      <c r="K997" s="5">
        <f>Sheet4!E997</f>
        <v>24</v>
      </c>
      <c r="L997" s="5"/>
      <c r="M997" s="4"/>
    </row>
    <row r="998" spans="1:13" x14ac:dyDescent="0.25">
      <c r="A998" t="s">
        <v>2633</v>
      </c>
      <c r="B998" t="s">
        <v>4112</v>
      </c>
      <c r="C998" s="25">
        <v>3910</v>
      </c>
      <c r="D998" s="28">
        <v>3910</v>
      </c>
      <c r="E998" s="2" t="str">
        <f t="shared" si="32"/>
        <v>Same</v>
      </c>
      <c r="F998" s="6" t="s">
        <v>1910</v>
      </c>
      <c r="G998" s="3">
        <v>56.95</v>
      </c>
      <c r="H998" s="2" t="s">
        <v>978</v>
      </c>
      <c r="I998" s="4">
        <f>[1]Sheet1!I998</f>
        <v>112</v>
      </c>
      <c r="J998" s="3" t="str">
        <f t="shared" si="31"/>
        <v>3910_A1C1.webp</v>
      </c>
      <c r="K998" s="5">
        <f>Sheet4!E998</f>
        <v>12</v>
      </c>
      <c r="L998" s="5"/>
      <c r="M998" s="4"/>
    </row>
    <row r="999" spans="1:13" x14ac:dyDescent="0.25">
      <c r="A999" t="s">
        <v>2633</v>
      </c>
      <c r="B999" t="s">
        <v>4112</v>
      </c>
      <c r="C999" s="25">
        <v>3911</v>
      </c>
      <c r="D999" s="28">
        <v>3911</v>
      </c>
      <c r="E999" s="2" t="str">
        <f t="shared" si="32"/>
        <v>Same</v>
      </c>
      <c r="F999" s="6" t="s">
        <v>1881</v>
      </c>
      <c r="G999" s="3">
        <v>74.95</v>
      </c>
      <c r="H999" s="2" t="s">
        <v>979</v>
      </c>
      <c r="I999" s="4">
        <f>[1]Sheet1!I999</f>
        <v>383</v>
      </c>
      <c r="J999" s="3" t="str">
        <f t="shared" si="31"/>
        <v>3911_A1C1.webp</v>
      </c>
      <c r="K999" s="5">
        <f>Sheet4!E999</f>
        <v>12</v>
      </c>
      <c r="L999" s="5"/>
      <c r="M999" s="4"/>
    </row>
    <row r="1000" spans="1:13" x14ac:dyDescent="0.25">
      <c r="A1000" t="s">
        <v>2633</v>
      </c>
      <c r="B1000" t="s">
        <v>4112</v>
      </c>
      <c r="C1000" s="25">
        <v>3912</v>
      </c>
      <c r="D1000" s="28">
        <v>3912</v>
      </c>
      <c r="E1000" s="2" t="str">
        <f t="shared" si="32"/>
        <v>Same</v>
      </c>
      <c r="F1000" s="6" t="s">
        <v>1903</v>
      </c>
      <c r="G1000" s="3">
        <v>29.25</v>
      </c>
      <c r="H1000" s="2" t="s">
        <v>980</v>
      </c>
      <c r="I1000" s="4">
        <f>[1]Sheet1!I1000</f>
        <v>4258</v>
      </c>
      <c r="J1000" s="3" t="str">
        <f t="shared" si="31"/>
        <v>3912_A1C1.webp</v>
      </c>
      <c r="K1000" s="5">
        <f>Sheet4!E1000</f>
        <v>12</v>
      </c>
      <c r="L1000" s="5"/>
      <c r="M1000" s="4"/>
    </row>
    <row r="1001" spans="1:13" x14ac:dyDescent="0.25">
      <c r="A1001" t="s">
        <v>2633</v>
      </c>
      <c r="B1001" t="s">
        <v>4112</v>
      </c>
      <c r="C1001" s="25">
        <v>3913</v>
      </c>
      <c r="D1001" s="28">
        <v>3913</v>
      </c>
      <c r="E1001" s="2" t="str">
        <f t="shared" si="32"/>
        <v>Same</v>
      </c>
      <c r="F1001" s="6" t="s">
        <v>1869</v>
      </c>
      <c r="G1001" s="3">
        <v>41.95</v>
      </c>
      <c r="H1001" s="2" t="s">
        <v>981</v>
      </c>
      <c r="I1001" s="4">
        <f>[1]Sheet1!I1001</f>
        <v>5031</v>
      </c>
      <c r="J1001" s="3" t="str">
        <f t="shared" si="31"/>
        <v>3913_A1C1.webp</v>
      </c>
      <c r="K1001" s="5">
        <f>Sheet4!E1001</f>
        <v>12</v>
      </c>
      <c r="L1001" s="5"/>
      <c r="M1001" s="4"/>
    </row>
    <row r="1002" spans="1:13" x14ac:dyDescent="0.25">
      <c r="A1002" t="s">
        <v>2633</v>
      </c>
      <c r="B1002" t="s">
        <v>4112</v>
      </c>
      <c r="C1002" s="25">
        <v>3914</v>
      </c>
      <c r="D1002" s="28">
        <v>3914</v>
      </c>
      <c r="E1002" s="2" t="str">
        <f t="shared" si="32"/>
        <v>Same</v>
      </c>
      <c r="F1002" s="6" t="s">
        <v>1910</v>
      </c>
      <c r="G1002" s="3">
        <v>69.95</v>
      </c>
      <c r="H1002" s="2" t="s">
        <v>982</v>
      </c>
      <c r="I1002" s="4">
        <f>[1]Sheet1!I1002</f>
        <v>1031</v>
      </c>
      <c r="J1002" s="3" t="str">
        <f t="shared" si="31"/>
        <v>3914_A1C1.webp</v>
      </c>
      <c r="K1002" s="5">
        <f>Sheet4!E1002</f>
        <v>12</v>
      </c>
      <c r="L1002" s="5"/>
      <c r="M1002" s="4"/>
    </row>
    <row r="1003" spans="1:13" x14ac:dyDescent="0.25">
      <c r="A1003" t="s">
        <v>2593</v>
      </c>
      <c r="B1003" t="s">
        <v>2594</v>
      </c>
      <c r="C1003" s="25">
        <v>3915</v>
      </c>
      <c r="D1003" s="28">
        <v>3915</v>
      </c>
      <c r="E1003" s="2" t="str">
        <f t="shared" si="32"/>
        <v>Same</v>
      </c>
      <c r="F1003" s="6" t="s">
        <v>1927</v>
      </c>
      <c r="G1003" s="3">
        <v>29.95</v>
      </c>
      <c r="H1003" s="2" t="s">
        <v>983</v>
      </c>
      <c r="I1003" s="4">
        <f>[1]Sheet1!I1003</f>
        <v>6459</v>
      </c>
      <c r="J1003" s="3" t="str">
        <f t="shared" si="31"/>
        <v>3915_A1C1.webp</v>
      </c>
      <c r="K1003" s="5">
        <f>Sheet4!E1003</f>
        <v>12</v>
      </c>
      <c r="L1003" s="5"/>
      <c r="M1003" s="4"/>
    </row>
    <row r="1004" spans="1:13" x14ac:dyDescent="0.25">
      <c r="A1004" t="s">
        <v>2593</v>
      </c>
      <c r="B1004" t="s">
        <v>2594</v>
      </c>
      <c r="C1004" s="25">
        <v>3916</v>
      </c>
      <c r="D1004" s="28">
        <v>3916</v>
      </c>
      <c r="E1004" s="2" t="str">
        <f t="shared" si="32"/>
        <v>Same</v>
      </c>
      <c r="F1004" s="6" t="s">
        <v>1927</v>
      </c>
      <c r="G1004" s="3">
        <v>22.95</v>
      </c>
      <c r="H1004" s="2" t="s">
        <v>984</v>
      </c>
      <c r="I1004" s="4">
        <f>[1]Sheet1!I1004</f>
        <v>864</v>
      </c>
      <c r="J1004" s="3" t="str">
        <f t="shared" si="31"/>
        <v>3916_A1C1.webp</v>
      </c>
      <c r="K1004" s="5">
        <f>Sheet4!E1004</f>
        <v>12</v>
      </c>
      <c r="L1004" s="5"/>
      <c r="M1004" s="4"/>
    </row>
    <row r="1005" spans="1:13" x14ac:dyDescent="0.25">
      <c r="A1005" t="s">
        <v>2633</v>
      </c>
      <c r="B1005" t="s">
        <v>4118</v>
      </c>
      <c r="C1005" s="25">
        <v>3917</v>
      </c>
      <c r="D1005" s="28">
        <v>3917</v>
      </c>
      <c r="E1005" s="2" t="str">
        <f t="shared" si="32"/>
        <v>Same</v>
      </c>
      <c r="F1005" s="6" t="s">
        <v>1881</v>
      </c>
      <c r="G1005" s="3">
        <v>25.95</v>
      </c>
      <c r="H1005" s="2" t="s">
        <v>985</v>
      </c>
      <c r="I1005" s="4">
        <f>[1]Sheet1!I1005</f>
        <v>116</v>
      </c>
      <c r="J1005" s="3" t="str">
        <f t="shared" si="31"/>
        <v>3917_A1C1.webp</v>
      </c>
      <c r="K1005" s="5">
        <f>Sheet4!E1005</f>
        <v>12</v>
      </c>
      <c r="L1005" s="5"/>
      <c r="M1005" s="4"/>
    </row>
    <row r="1006" spans="1:13" x14ac:dyDescent="0.25">
      <c r="A1006" t="s">
        <v>2997</v>
      </c>
      <c r="B1006" t="s">
        <v>4133</v>
      </c>
      <c r="C1006" s="25">
        <v>3918</v>
      </c>
      <c r="D1006" s="28">
        <v>3918</v>
      </c>
      <c r="E1006" s="2" t="str">
        <f t="shared" si="32"/>
        <v>Same</v>
      </c>
      <c r="F1006" s="6" t="s">
        <v>1873</v>
      </c>
      <c r="G1006" s="3">
        <v>20.75</v>
      </c>
      <c r="H1006" s="2" t="s">
        <v>986</v>
      </c>
      <c r="I1006" s="4">
        <f>[1]Sheet1!I1006</f>
        <v>255</v>
      </c>
      <c r="J1006" s="3" t="str">
        <f t="shared" si="31"/>
        <v>3918_A1C1.webp</v>
      </c>
      <c r="K1006" s="5">
        <f>Sheet4!E1006</f>
        <v>12</v>
      </c>
      <c r="L1006" s="5"/>
      <c r="M1006" s="4"/>
    </row>
    <row r="1007" spans="1:13" x14ac:dyDescent="0.25">
      <c r="A1007" t="s">
        <v>2997</v>
      </c>
      <c r="B1007" t="s">
        <v>4133</v>
      </c>
      <c r="C1007" s="25">
        <v>3919</v>
      </c>
      <c r="D1007" s="28">
        <v>3919</v>
      </c>
      <c r="E1007" s="2" t="str">
        <f t="shared" si="32"/>
        <v>Same</v>
      </c>
      <c r="F1007" s="6" t="s">
        <v>1882</v>
      </c>
      <c r="G1007" s="3">
        <v>70.95</v>
      </c>
      <c r="H1007" s="2" t="s">
        <v>987</v>
      </c>
      <c r="I1007" s="4">
        <f>[1]Sheet1!I1007</f>
        <v>69</v>
      </c>
      <c r="J1007" s="3" t="str">
        <f t="shared" si="31"/>
        <v>3919_A1C1.webp</v>
      </c>
      <c r="K1007" s="5">
        <f>Sheet4!E1007</f>
        <v>24</v>
      </c>
      <c r="L1007" s="5"/>
      <c r="M1007" s="4"/>
    </row>
    <row r="1008" spans="1:13" x14ac:dyDescent="0.25">
      <c r="A1008" t="s">
        <v>2593</v>
      </c>
      <c r="B1008" t="s">
        <v>2992</v>
      </c>
      <c r="C1008" s="25">
        <v>3920</v>
      </c>
      <c r="D1008" s="28">
        <v>3920</v>
      </c>
      <c r="E1008" s="2" t="str">
        <f t="shared" si="32"/>
        <v>Same</v>
      </c>
      <c r="F1008" s="6" t="s">
        <v>1976</v>
      </c>
      <c r="G1008" s="3">
        <v>14.95</v>
      </c>
      <c r="H1008" s="2" t="s">
        <v>988</v>
      </c>
      <c r="I1008" s="4">
        <f>[1]Sheet1!I1008</f>
        <v>1311</v>
      </c>
      <c r="J1008" s="3" t="str">
        <f t="shared" si="31"/>
        <v>3920_A1C1.webp</v>
      </c>
      <c r="K1008" s="5">
        <f>Sheet4!E1008</f>
        <v>12</v>
      </c>
      <c r="L1008" s="5"/>
      <c r="M1008" s="4"/>
    </row>
    <row r="1009" spans="1:13" x14ac:dyDescent="0.25">
      <c r="A1009" t="s">
        <v>2593</v>
      </c>
      <c r="B1009" t="s">
        <v>2696</v>
      </c>
      <c r="C1009" s="25">
        <v>3921</v>
      </c>
      <c r="D1009" s="28">
        <v>3921</v>
      </c>
      <c r="E1009" s="2" t="str">
        <f t="shared" si="32"/>
        <v>Same</v>
      </c>
      <c r="F1009" s="6" t="s">
        <v>1866</v>
      </c>
      <c r="G1009" s="3">
        <v>52.95</v>
      </c>
      <c r="H1009" s="2" t="s">
        <v>989</v>
      </c>
      <c r="I1009" s="4">
        <f>[1]Sheet1!I1009</f>
        <v>61</v>
      </c>
      <c r="J1009" s="3" t="str">
        <f t="shared" si="31"/>
        <v>3921_A1C1.webp</v>
      </c>
      <c r="K1009" s="5">
        <f>Sheet4!E1009</f>
        <v>48</v>
      </c>
      <c r="L1009" s="5"/>
      <c r="M1009" s="4"/>
    </row>
    <row r="1010" spans="1:13" x14ac:dyDescent="0.25">
      <c r="A1010" t="s">
        <v>2633</v>
      </c>
      <c r="B1010" t="s">
        <v>4118</v>
      </c>
      <c r="C1010" s="25">
        <v>3922</v>
      </c>
      <c r="D1010" s="28">
        <v>3922</v>
      </c>
      <c r="E1010" s="2" t="str">
        <f t="shared" si="32"/>
        <v>Same</v>
      </c>
      <c r="F1010" s="6" t="s">
        <v>1881</v>
      </c>
      <c r="G1010" s="3">
        <v>26.95</v>
      </c>
      <c r="H1010" s="2" t="s">
        <v>990</v>
      </c>
      <c r="I1010" s="4">
        <f>[1]Sheet1!I1010</f>
        <v>83</v>
      </c>
      <c r="J1010" s="3" t="str">
        <f t="shared" si="31"/>
        <v>3922_A1C1.webp</v>
      </c>
      <c r="K1010" s="5">
        <f>Sheet4!E1010</f>
        <v>12</v>
      </c>
      <c r="L1010" s="5"/>
      <c r="M1010" s="4"/>
    </row>
    <row r="1011" spans="1:13" x14ac:dyDescent="0.25">
      <c r="A1011" t="s">
        <v>2593</v>
      </c>
      <c r="B1011" t="s">
        <v>2696</v>
      </c>
      <c r="C1011" s="25">
        <v>3923</v>
      </c>
      <c r="D1011" s="28">
        <v>3923</v>
      </c>
      <c r="E1011" s="2" t="str">
        <f t="shared" si="32"/>
        <v>Same</v>
      </c>
      <c r="F1011" s="6" t="s">
        <v>1882</v>
      </c>
      <c r="G1011" s="3">
        <v>43.95</v>
      </c>
      <c r="H1011" s="2" t="s">
        <v>991</v>
      </c>
      <c r="I1011" s="4">
        <f>[1]Sheet1!I1011</f>
        <v>274</v>
      </c>
      <c r="J1011" s="3" t="str">
        <f t="shared" si="31"/>
        <v>3923_A1C1.webp</v>
      </c>
      <c r="K1011" s="5">
        <f>Sheet4!E1011</f>
        <v>24</v>
      </c>
      <c r="L1011" s="5"/>
      <c r="M1011" s="4"/>
    </row>
    <row r="1012" spans="1:13" x14ac:dyDescent="0.25">
      <c r="A1012" t="s">
        <v>2593</v>
      </c>
      <c r="B1012" t="s">
        <v>2992</v>
      </c>
      <c r="C1012" s="25">
        <v>3926</v>
      </c>
      <c r="D1012" s="28">
        <v>3926</v>
      </c>
      <c r="E1012" s="2" t="str">
        <f t="shared" si="32"/>
        <v>Same</v>
      </c>
      <c r="F1012" s="6" t="s">
        <v>1874</v>
      </c>
      <c r="G1012" s="3">
        <v>29.95</v>
      </c>
      <c r="H1012" s="2" t="s">
        <v>992</v>
      </c>
      <c r="I1012" s="4">
        <f>[1]Sheet1!I1012</f>
        <v>373</v>
      </c>
      <c r="J1012" s="3" t="str">
        <f t="shared" si="31"/>
        <v>3926_A1C1.webp</v>
      </c>
      <c r="K1012" s="5">
        <f>Sheet4!E1012</f>
        <v>12</v>
      </c>
      <c r="L1012" s="5"/>
      <c r="M1012" s="4"/>
    </row>
    <row r="1013" spans="1:13" x14ac:dyDescent="0.25">
      <c r="A1013" t="s">
        <v>2593</v>
      </c>
      <c r="B1013" t="s">
        <v>2992</v>
      </c>
      <c r="C1013" s="25">
        <v>3927</v>
      </c>
      <c r="D1013" s="28">
        <v>3927</v>
      </c>
      <c r="E1013" s="2" t="str">
        <f t="shared" si="32"/>
        <v>Same</v>
      </c>
      <c r="F1013" s="6" t="s">
        <v>1977</v>
      </c>
      <c r="G1013" s="3">
        <v>27.95</v>
      </c>
      <c r="H1013" s="2" t="s">
        <v>993</v>
      </c>
      <c r="I1013" s="4">
        <f>[1]Sheet1!I1013</f>
        <v>292</v>
      </c>
      <c r="J1013" s="3" t="str">
        <f t="shared" si="31"/>
        <v>3927_A1C1.webp</v>
      </c>
      <c r="K1013" s="5">
        <f>Sheet4!E1013</f>
        <v>12</v>
      </c>
      <c r="L1013" s="5"/>
      <c r="M1013" s="4"/>
    </row>
    <row r="1014" spans="1:13" x14ac:dyDescent="0.25">
      <c r="A1014" t="s">
        <v>2593</v>
      </c>
      <c r="B1014" t="s">
        <v>2992</v>
      </c>
      <c r="C1014" s="25">
        <v>3928</v>
      </c>
      <c r="D1014" s="28">
        <v>3928</v>
      </c>
      <c r="E1014" s="2" t="str">
        <f t="shared" si="32"/>
        <v>Same</v>
      </c>
      <c r="F1014" s="6" t="s">
        <v>1870</v>
      </c>
      <c r="G1014" s="3">
        <v>37.5</v>
      </c>
      <c r="H1014" s="2" t="s">
        <v>994</v>
      </c>
      <c r="I1014" s="4">
        <f>[1]Sheet1!I1014</f>
        <v>888</v>
      </c>
      <c r="J1014" s="3" t="str">
        <f t="shared" si="31"/>
        <v>3928_A1C1.webp</v>
      </c>
      <c r="K1014" s="5">
        <f>Sheet4!E1014</f>
        <v>24</v>
      </c>
      <c r="L1014" s="5"/>
      <c r="M1014" s="4"/>
    </row>
    <row r="1015" spans="1:13" x14ac:dyDescent="0.25">
      <c r="A1015" t="s">
        <v>2593</v>
      </c>
      <c r="B1015" t="s">
        <v>2992</v>
      </c>
      <c r="C1015" s="25">
        <v>3929</v>
      </c>
      <c r="D1015" s="28">
        <v>3929</v>
      </c>
      <c r="E1015" s="2" t="str">
        <f t="shared" si="32"/>
        <v>Same</v>
      </c>
      <c r="F1015" s="6" t="s">
        <v>1902</v>
      </c>
      <c r="G1015" s="3">
        <v>29.95</v>
      </c>
      <c r="H1015" s="2" t="s">
        <v>995</v>
      </c>
      <c r="I1015" s="4">
        <f>[1]Sheet1!I1015</f>
        <v>445</v>
      </c>
      <c r="J1015" s="3" t="str">
        <f t="shared" si="31"/>
        <v>3929_A1C1.webp</v>
      </c>
      <c r="K1015" s="5">
        <f>Sheet4!E1015</f>
        <v>24</v>
      </c>
      <c r="L1015" s="5"/>
      <c r="M1015" s="4"/>
    </row>
    <row r="1016" spans="1:13" x14ac:dyDescent="0.25">
      <c r="A1016" t="s">
        <v>2593</v>
      </c>
      <c r="B1016" t="s">
        <v>2992</v>
      </c>
      <c r="C1016" s="25">
        <v>3930</v>
      </c>
      <c r="D1016" s="28">
        <v>3930</v>
      </c>
      <c r="E1016" s="2" t="str">
        <f t="shared" si="32"/>
        <v>Same</v>
      </c>
      <c r="F1016" s="6" t="s">
        <v>1902</v>
      </c>
      <c r="G1016" s="3">
        <v>26.5</v>
      </c>
      <c r="H1016" s="2" t="s">
        <v>996</v>
      </c>
      <c r="I1016" s="4">
        <f>[1]Sheet1!I1016</f>
        <v>955</v>
      </c>
      <c r="J1016" s="3" t="str">
        <f t="shared" si="31"/>
        <v>3930_A1C1.webp</v>
      </c>
      <c r="K1016" s="5">
        <f>Sheet4!E1016</f>
        <v>24</v>
      </c>
      <c r="L1016" s="5"/>
      <c r="M1016" s="4"/>
    </row>
    <row r="1017" spans="1:13" x14ac:dyDescent="0.25">
      <c r="A1017" t="s">
        <v>2207</v>
      </c>
      <c r="B1017" t="s">
        <v>2208</v>
      </c>
      <c r="C1017" s="25">
        <v>3931</v>
      </c>
      <c r="D1017" s="28">
        <v>3931</v>
      </c>
      <c r="E1017" s="2" t="str">
        <f t="shared" si="32"/>
        <v>Same</v>
      </c>
      <c r="F1017" s="6" t="s">
        <v>1849</v>
      </c>
      <c r="G1017" s="3">
        <v>25.95</v>
      </c>
      <c r="H1017" s="2" t="s">
        <v>997</v>
      </c>
      <c r="I1017" s="4">
        <f>[1]Sheet1!I1017</f>
        <v>731</v>
      </c>
      <c r="J1017" s="3" t="str">
        <f t="shared" si="31"/>
        <v>3931_A1C1.webp</v>
      </c>
      <c r="K1017" s="5">
        <f>Sheet4!E1017</f>
        <v>24</v>
      </c>
      <c r="L1017" s="5"/>
      <c r="M1017" s="4"/>
    </row>
    <row r="1018" spans="1:13" x14ac:dyDescent="0.25">
      <c r="A1018" t="s">
        <v>3881</v>
      </c>
      <c r="B1018" t="s">
        <v>3881</v>
      </c>
      <c r="C1018" s="25">
        <v>3932</v>
      </c>
      <c r="D1018" s="28">
        <v>3932</v>
      </c>
      <c r="E1018" s="2" t="str">
        <f t="shared" si="32"/>
        <v>Same</v>
      </c>
      <c r="F1018" s="6" t="s">
        <v>1978</v>
      </c>
      <c r="G1018" s="3">
        <v>79.95</v>
      </c>
      <c r="H1018" s="2" t="s">
        <v>998</v>
      </c>
      <c r="I1018" s="4">
        <f>[1]Sheet1!I1018</f>
        <v>2634</v>
      </c>
      <c r="J1018" s="3" t="str">
        <f t="shared" si="31"/>
        <v>3932_A1C1.webp</v>
      </c>
      <c r="K1018" s="5">
        <f>Sheet4!E1018</f>
        <v>36</v>
      </c>
      <c r="L1018" s="5"/>
      <c r="M1018" s="4"/>
    </row>
    <row r="1019" spans="1:13" x14ac:dyDescent="0.25">
      <c r="A1019" t="s">
        <v>2207</v>
      </c>
      <c r="B1019" t="s">
        <v>2208</v>
      </c>
      <c r="C1019" s="25">
        <v>3933</v>
      </c>
      <c r="D1019" s="28">
        <v>3933</v>
      </c>
      <c r="E1019" s="2" t="str">
        <f t="shared" si="32"/>
        <v>Same</v>
      </c>
      <c r="F1019" s="6" t="s">
        <v>1910</v>
      </c>
      <c r="G1019" s="3">
        <v>20.5</v>
      </c>
      <c r="H1019" s="2" t="s">
        <v>999</v>
      </c>
      <c r="I1019" s="4">
        <f>[1]Sheet1!I1019</f>
        <v>963</v>
      </c>
      <c r="J1019" s="3" t="str">
        <f t="shared" si="31"/>
        <v>3933_A1C1.webp</v>
      </c>
      <c r="K1019" s="5">
        <f>Sheet4!E1019</f>
        <v>12</v>
      </c>
      <c r="L1019" s="5"/>
      <c r="M1019" s="4"/>
    </row>
    <row r="1020" spans="1:13" x14ac:dyDescent="0.25">
      <c r="A1020" t="s">
        <v>2633</v>
      </c>
      <c r="B1020" t="s">
        <v>4156</v>
      </c>
      <c r="C1020" s="25">
        <v>3934</v>
      </c>
      <c r="D1020" s="28">
        <v>3934</v>
      </c>
      <c r="E1020" s="2" t="str">
        <f t="shared" si="32"/>
        <v>Same</v>
      </c>
      <c r="F1020" s="6" t="s">
        <v>1869</v>
      </c>
      <c r="G1020">
        <v>35.950000000000003</v>
      </c>
      <c r="H1020" s="2" t="s">
        <v>1000</v>
      </c>
      <c r="I1020" s="4">
        <f>[1]Sheet1!I1020</f>
        <v>571</v>
      </c>
      <c r="J1020" s="3" t="str">
        <f t="shared" si="31"/>
        <v>3934_A1C1.webp</v>
      </c>
      <c r="K1020" s="5">
        <f>Sheet4!E1020</f>
        <v>48</v>
      </c>
      <c r="L1020" s="5"/>
      <c r="M1020" s="4"/>
    </row>
    <row r="1021" spans="1:13" x14ac:dyDescent="0.25">
      <c r="A1021" t="s">
        <v>2207</v>
      </c>
      <c r="B1021" t="s">
        <v>2208</v>
      </c>
      <c r="C1021" s="25">
        <v>3935</v>
      </c>
      <c r="D1021" s="28">
        <v>3935</v>
      </c>
      <c r="E1021" s="2" t="str">
        <f t="shared" si="32"/>
        <v>Same</v>
      </c>
      <c r="F1021" s="6" t="s">
        <v>1849</v>
      </c>
      <c r="G1021">
        <v>19.350000000000001</v>
      </c>
      <c r="H1021" s="2" t="s">
        <v>1001</v>
      </c>
      <c r="I1021" s="4">
        <f>[1]Sheet1!I1021</f>
        <v>1691</v>
      </c>
      <c r="J1021" s="3" t="str">
        <f t="shared" si="31"/>
        <v>3935_A1C1.webp</v>
      </c>
      <c r="K1021" s="5">
        <f>Sheet4!E1021</f>
        <v>24</v>
      </c>
      <c r="L1021" s="5"/>
      <c r="M1021" s="4"/>
    </row>
    <row r="1022" spans="1:13" x14ac:dyDescent="0.25">
      <c r="A1022" t="s">
        <v>2633</v>
      </c>
      <c r="B1022" t="s">
        <v>4156</v>
      </c>
      <c r="C1022" s="25">
        <v>3936</v>
      </c>
      <c r="D1022" s="28">
        <v>3936</v>
      </c>
      <c r="E1022" s="2" t="str">
        <f t="shared" si="32"/>
        <v>Same</v>
      </c>
      <c r="F1022" s="6" t="s">
        <v>1869</v>
      </c>
      <c r="G1022">
        <v>35.950000000000003</v>
      </c>
      <c r="H1022" s="2" t="s">
        <v>1002</v>
      </c>
      <c r="I1022" s="4">
        <f>[1]Sheet1!I1022</f>
        <v>1284</v>
      </c>
      <c r="J1022" s="3" t="str">
        <f t="shared" si="31"/>
        <v>3936_A1C1.webp</v>
      </c>
      <c r="K1022" s="5">
        <f>Sheet4!E1022</f>
        <v>48</v>
      </c>
      <c r="L1022" s="5"/>
      <c r="M1022" s="4"/>
    </row>
    <row r="1023" spans="1:13" x14ac:dyDescent="0.25">
      <c r="A1023" t="s">
        <v>2207</v>
      </c>
      <c r="B1023" t="s">
        <v>2208</v>
      </c>
      <c r="C1023" s="25">
        <v>3937</v>
      </c>
      <c r="D1023" s="28">
        <v>3937</v>
      </c>
      <c r="E1023" s="2" t="str">
        <f t="shared" si="32"/>
        <v>Same</v>
      </c>
      <c r="F1023" s="6" t="s">
        <v>1910</v>
      </c>
      <c r="G1023">
        <v>15.15</v>
      </c>
      <c r="H1023" s="2" t="s">
        <v>1003</v>
      </c>
      <c r="I1023" s="4">
        <f>[1]Sheet1!I1023</f>
        <v>3400</v>
      </c>
      <c r="J1023" s="3" t="str">
        <f t="shared" si="31"/>
        <v>3937_A1C1.webp</v>
      </c>
      <c r="K1023" s="5">
        <f>Sheet4!E1023</f>
        <v>12</v>
      </c>
      <c r="L1023" s="5"/>
      <c r="M1023" s="4"/>
    </row>
    <row r="1024" spans="1:13" x14ac:dyDescent="0.25">
      <c r="A1024" t="s">
        <v>2207</v>
      </c>
      <c r="B1024" t="s">
        <v>2208</v>
      </c>
      <c r="C1024" s="25">
        <v>3938</v>
      </c>
      <c r="D1024" s="28">
        <v>3938</v>
      </c>
      <c r="E1024" s="2" t="str">
        <f t="shared" si="32"/>
        <v>Same</v>
      </c>
      <c r="F1024" s="6" t="s">
        <v>1851</v>
      </c>
      <c r="G1024">
        <v>14.95</v>
      </c>
      <c r="H1024" s="2" t="s">
        <v>1004</v>
      </c>
      <c r="I1024" s="4">
        <f>[1]Sheet1!I1024</f>
        <v>3698</v>
      </c>
      <c r="J1024" s="3" t="str">
        <f t="shared" si="31"/>
        <v>3938_A1C1.webp</v>
      </c>
      <c r="K1024" s="5">
        <f>Sheet4!E1024</f>
        <v>4</v>
      </c>
      <c r="L1024" s="5"/>
      <c r="M1024" s="4"/>
    </row>
    <row r="1025" spans="1:13" x14ac:dyDescent="0.25">
      <c r="A1025" t="s">
        <v>2207</v>
      </c>
      <c r="B1025" t="s">
        <v>2208</v>
      </c>
      <c r="C1025" s="25">
        <v>3939</v>
      </c>
      <c r="D1025" s="28">
        <v>3939</v>
      </c>
      <c r="E1025" s="2" t="str">
        <f t="shared" si="32"/>
        <v>Same</v>
      </c>
      <c r="F1025" s="6" t="s">
        <v>1849</v>
      </c>
      <c r="G1025">
        <v>21.45</v>
      </c>
      <c r="H1025" s="2" t="s">
        <v>1005</v>
      </c>
      <c r="I1025" s="4">
        <f>[1]Sheet1!I1025</f>
        <v>238</v>
      </c>
      <c r="J1025" s="3" t="str">
        <f t="shared" si="31"/>
        <v>3939_A1C1.webp</v>
      </c>
      <c r="K1025" s="5">
        <f>Sheet4!E1025</f>
        <v>24</v>
      </c>
      <c r="L1025" s="5"/>
      <c r="M1025" s="4"/>
    </row>
    <row r="1026" spans="1:13" x14ac:dyDescent="0.25">
      <c r="A1026" t="s">
        <v>3380</v>
      </c>
      <c r="B1026" t="s">
        <v>4163</v>
      </c>
      <c r="C1026" s="25">
        <v>3941</v>
      </c>
      <c r="D1026" s="28">
        <v>3941</v>
      </c>
      <c r="E1026" s="2" t="str">
        <f t="shared" si="32"/>
        <v>Same</v>
      </c>
      <c r="F1026" s="6" t="s">
        <v>1866</v>
      </c>
      <c r="G1026">
        <v>11.95</v>
      </c>
      <c r="H1026" s="2" t="s">
        <v>1006</v>
      </c>
      <c r="I1026" s="4">
        <f>[1]Sheet1!I1026</f>
        <v>0</v>
      </c>
      <c r="J1026" s="3" t="str">
        <f t="shared" ref="J1026:J1089" si="33">C1026 &amp; "_A1C1.webp"</f>
        <v>3941_A1C1.webp</v>
      </c>
      <c r="K1026" s="5">
        <f>Sheet4!E1026</f>
        <v>20</v>
      </c>
      <c r="L1026" s="5"/>
      <c r="M1026" s="4"/>
    </row>
    <row r="1027" spans="1:13" x14ac:dyDescent="0.25">
      <c r="A1027" t="s">
        <v>4082</v>
      </c>
      <c r="B1027" t="s">
        <v>1115</v>
      </c>
      <c r="C1027" s="25">
        <v>3942</v>
      </c>
      <c r="D1027" s="28">
        <v>3942</v>
      </c>
      <c r="E1027" s="2" t="str">
        <f t="shared" si="32"/>
        <v>Same</v>
      </c>
      <c r="F1027" s="6" t="s">
        <v>1869</v>
      </c>
      <c r="G1027" s="3">
        <v>13.75</v>
      </c>
      <c r="H1027" s="2" t="s">
        <v>1007</v>
      </c>
      <c r="I1027" s="4">
        <f>[1]Sheet1!I1027</f>
        <v>4521</v>
      </c>
      <c r="J1027" s="3" t="str">
        <f t="shared" si="33"/>
        <v>3942_A1C1.webp</v>
      </c>
      <c r="K1027" s="5">
        <f>Sheet4!E1027</f>
        <v>6</v>
      </c>
      <c r="L1027" s="5"/>
      <c r="M1027" s="4"/>
    </row>
    <row r="1028" spans="1:13" x14ac:dyDescent="0.25">
      <c r="A1028" t="s">
        <v>2633</v>
      </c>
      <c r="B1028" t="s">
        <v>4156</v>
      </c>
      <c r="C1028" s="25">
        <v>3948</v>
      </c>
      <c r="D1028" s="28">
        <v>3948</v>
      </c>
      <c r="E1028" s="2" t="str">
        <f t="shared" si="32"/>
        <v>Same</v>
      </c>
      <c r="F1028" s="6" t="s">
        <v>1869</v>
      </c>
      <c r="G1028">
        <v>29.95</v>
      </c>
      <c r="H1028" s="2" t="s">
        <v>1008</v>
      </c>
      <c r="I1028" s="4">
        <f>[1]Sheet1!I1028</f>
        <v>1382</v>
      </c>
      <c r="J1028" s="3" t="str">
        <f t="shared" si="33"/>
        <v>3948_A1C1.webp</v>
      </c>
      <c r="K1028" s="5">
        <f>Sheet4!E1028</f>
        <v>48</v>
      </c>
      <c r="L1028" s="5"/>
      <c r="M1028" s="4"/>
    </row>
    <row r="1029" spans="1:13" x14ac:dyDescent="0.25">
      <c r="A1029" t="s">
        <v>4082</v>
      </c>
      <c r="B1029" t="s">
        <v>1115</v>
      </c>
      <c r="C1029" s="25">
        <v>3950</v>
      </c>
      <c r="D1029" s="28">
        <v>3950</v>
      </c>
      <c r="E1029" s="2" t="str">
        <f t="shared" si="32"/>
        <v>Same</v>
      </c>
      <c r="F1029" s="6" t="s">
        <v>1845</v>
      </c>
      <c r="G1029" s="3">
        <v>37.950000000000003</v>
      </c>
      <c r="H1029" s="2" t="s">
        <v>1009</v>
      </c>
      <c r="I1029" s="4">
        <f>[1]Sheet1!I1029</f>
        <v>7461</v>
      </c>
      <c r="J1029" s="3" t="str">
        <f t="shared" si="33"/>
        <v>3950_A1C1.webp</v>
      </c>
      <c r="K1029" s="5">
        <f>Sheet4!E1029</f>
        <v>6</v>
      </c>
      <c r="L1029" s="5"/>
      <c r="M1029" s="4"/>
    </row>
    <row r="1030" spans="1:13" x14ac:dyDescent="0.25">
      <c r="A1030" t="s">
        <v>3380</v>
      </c>
      <c r="B1030" t="s">
        <v>4163</v>
      </c>
      <c r="C1030" s="25">
        <v>3951</v>
      </c>
      <c r="D1030" s="28">
        <v>3951</v>
      </c>
      <c r="E1030" s="2" t="str">
        <f t="shared" si="32"/>
        <v>Same</v>
      </c>
      <c r="F1030" s="6" t="s">
        <v>1979</v>
      </c>
      <c r="G1030" s="3">
        <v>32.5</v>
      </c>
      <c r="H1030" s="2" t="s">
        <v>1010</v>
      </c>
      <c r="I1030" s="4">
        <f>[1]Sheet1!I1030</f>
        <v>0</v>
      </c>
      <c r="J1030" s="3" t="str">
        <f t="shared" si="33"/>
        <v>3951_A1C1.webp</v>
      </c>
      <c r="K1030" s="5">
        <f>Sheet4!E1030</f>
        <v>12</v>
      </c>
      <c r="L1030" s="5"/>
      <c r="M1030" s="4"/>
    </row>
    <row r="1031" spans="1:13" x14ac:dyDescent="0.25">
      <c r="A1031" t="s">
        <v>3380</v>
      </c>
      <c r="B1031" t="s">
        <v>4163</v>
      </c>
      <c r="C1031" s="25">
        <v>3952</v>
      </c>
      <c r="D1031" s="28">
        <v>3952</v>
      </c>
      <c r="E1031" s="2" t="str">
        <f t="shared" ref="E1031:E1094" si="34">IF(C1031=D1031, "Same","New")</f>
        <v>Same</v>
      </c>
      <c r="F1031" s="6" t="s">
        <v>1849</v>
      </c>
      <c r="G1031" s="3">
        <v>29.5</v>
      </c>
      <c r="H1031" s="2" t="s">
        <v>1011</v>
      </c>
      <c r="I1031" s="4">
        <f>[1]Sheet1!I1031</f>
        <v>163</v>
      </c>
      <c r="J1031" s="3" t="str">
        <f t="shared" si="33"/>
        <v>3952_A1C1.webp</v>
      </c>
      <c r="K1031" s="5">
        <f>Sheet4!E1031</f>
        <v>20</v>
      </c>
      <c r="L1031" s="5"/>
      <c r="M1031" s="4"/>
    </row>
    <row r="1032" spans="1:13" x14ac:dyDescent="0.25">
      <c r="A1032" t="s">
        <v>2633</v>
      </c>
      <c r="B1032" t="s">
        <v>4156</v>
      </c>
      <c r="C1032" s="25">
        <v>3953</v>
      </c>
      <c r="D1032" s="28">
        <v>3953</v>
      </c>
      <c r="E1032" s="2" t="str">
        <f t="shared" si="34"/>
        <v>Same</v>
      </c>
      <c r="F1032" s="6" t="s">
        <v>1877</v>
      </c>
      <c r="G1032" s="3">
        <v>26.95</v>
      </c>
      <c r="H1032" s="2" t="s">
        <v>1012</v>
      </c>
      <c r="I1032" s="4">
        <f>[1]Sheet1!I1032</f>
        <v>1518</v>
      </c>
      <c r="J1032" s="3" t="str">
        <f t="shared" si="33"/>
        <v>3953_A1C1.webp</v>
      </c>
      <c r="K1032" s="5">
        <f>Sheet4!E1032</f>
        <v>12</v>
      </c>
      <c r="L1032" s="5"/>
      <c r="M1032" s="4"/>
    </row>
    <row r="1033" spans="1:13" x14ac:dyDescent="0.25">
      <c r="A1033" t="s">
        <v>3881</v>
      </c>
      <c r="B1033" t="s">
        <v>3881</v>
      </c>
      <c r="C1033" s="25">
        <v>3955</v>
      </c>
      <c r="D1033" s="28">
        <v>3955</v>
      </c>
      <c r="E1033" s="2" t="str">
        <f t="shared" si="34"/>
        <v>Same</v>
      </c>
      <c r="F1033" s="6" t="s">
        <v>1866</v>
      </c>
      <c r="G1033" s="3">
        <v>72.95</v>
      </c>
      <c r="H1033" s="2" t="s">
        <v>1013</v>
      </c>
      <c r="I1033" s="4">
        <f>[1]Sheet1!I1033</f>
        <v>75</v>
      </c>
      <c r="J1033" s="3" t="str">
        <f t="shared" si="33"/>
        <v>3955_A1C1.webp</v>
      </c>
      <c r="K1033" s="5">
        <f>Sheet4!E1033</f>
        <v>20</v>
      </c>
      <c r="L1033" s="5"/>
      <c r="M1033" s="4"/>
    </row>
    <row r="1034" spans="1:13" x14ac:dyDescent="0.25">
      <c r="A1034" t="s">
        <v>3881</v>
      </c>
      <c r="B1034" t="s">
        <v>3881</v>
      </c>
      <c r="C1034" s="25">
        <v>3956</v>
      </c>
      <c r="D1034" s="28">
        <v>3956</v>
      </c>
      <c r="E1034" s="2" t="str">
        <f t="shared" si="34"/>
        <v>Same</v>
      </c>
      <c r="F1034" s="6" t="s">
        <v>1866</v>
      </c>
      <c r="G1034" s="3">
        <v>75.95</v>
      </c>
      <c r="H1034" s="2" t="s">
        <v>1014</v>
      </c>
      <c r="I1034" s="4">
        <f>[1]Sheet1!I1034</f>
        <v>54</v>
      </c>
      <c r="J1034" s="3" t="str">
        <f t="shared" si="33"/>
        <v>3956_A1C1.webp</v>
      </c>
      <c r="K1034" s="5">
        <f>Sheet4!E1034</f>
        <v>20</v>
      </c>
      <c r="L1034" s="5"/>
      <c r="M1034" s="4"/>
    </row>
    <row r="1035" spans="1:13" x14ac:dyDescent="0.25">
      <c r="A1035" t="s">
        <v>3881</v>
      </c>
      <c r="B1035" t="s">
        <v>3881</v>
      </c>
      <c r="C1035" s="25">
        <v>3957</v>
      </c>
      <c r="D1035" s="28">
        <v>3957</v>
      </c>
      <c r="E1035" s="2" t="str">
        <f t="shared" si="34"/>
        <v>Same</v>
      </c>
      <c r="F1035" s="6" t="s">
        <v>1866</v>
      </c>
      <c r="G1035" s="3">
        <v>54.95</v>
      </c>
      <c r="H1035" s="2" t="s">
        <v>1015</v>
      </c>
      <c r="I1035" s="4">
        <f>[1]Sheet1!I1035</f>
        <v>449</v>
      </c>
      <c r="J1035" s="3" t="str">
        <f t="shared" si="33"/>
        <v>3957_A1C1.webp</v>
      </c>
      <c r="K1035" s="5">
        <f>Sheet4!E1035</f>
        <v>20</v>
      </c>
      <c r="L1035" s="5"/>
      <c r="M1035" s="4"/>
    </row>
    <row r="1036" spans="1:13" x14ac:dyDescent="0.25">
      <c r="A1036" t="s">
        <v>3380</v>
      </c>
      <c r="B1036" t="s">
        <v>4163</v>
      </c>
      <c r="C1036" s="25">
        <v>3958</v>
      </c>
      <c r="D1036" s="28">
        <v>3958</v>
      </c>
      <c r="E1036" s="2" t="str">
        <f t="shared" si="34"/>
        <v>Same</v>
      </c>
      <c r="F1036" s="6" t="s">
        <v>1849</v>
      </c>
      <c r="G1036" s="3">
        <v>29.5</v>
      </c>
      <c r="H1036" s="2" t="s">
        <v>1016</v>
      </c>
      <c r="I1036" s="4">
        <f>[1]Sheet1!I1036</f>
        <v>42</v>
      </c>
      <c r="J1036" s="3" t="str">
        <f t="shared" si="33"/>
        <v>3958_A1C1.webp</v>
      </c>
      <c r="K1036" s="5">
        <f>Sheet4!E1036</f>
        <v>20</v>
      </c>
      <c r="L1036" s="5"/>
      <c r="M1036" s="4"/>
    </row>
    <row r="1037" spans="1:13" x14ac:dyDescent="0.25">
      <c r="A1037" t="s">
        <v>3380</v>
      </c>
      <c r="B1037" t="s">
        <v>4163</v>
      </c>
      <c r="C1037" s="25">
        <v>3959</v>
      </c>
      <c r="D1037" s="28">
        <v>3959</v>
      </c>
      <c r="E1037" s="2" t="str">
        <f t="shared" si="34"/>
        <v>Same</v>
      </c>
      <c r="F1037" s="6" t="s">
        <v>1849</v>
      </c>
      <c r="G1037" s="3">
        <v>29.5</v>
      </c>
      <c r="H1037" s="2" t="s">
        <v>1017</v>
      </c>
      <c r="I1037" s="4">
        <f>[1]Sheet1!I1037</f>
        <v>166</v>
      </c>
      <c r="J1037" s="3" t="str">
        <f t="shared" si="33"/>
        <v>3959_A1C1.webp</v>
      </c>
      <c r="K1037" s="5">
        <f>Sheet4!E1037</f>
        <v>20</v>
      </c>
      <c r="L1037" s="5"/>
      <c r="M1037" s="4"/>
    </row>
    <row r="1038" spans="1:13" x14ac:dyDescent="0.25">
      <c r="A1038" t="s">
        <v>2633</v>
      </c>
      <c r="B1038" t="s">
        <v>4156</v>
      </c>
      <c r="C1038" s="26">
        <v>3961</v>
      </c>
      <c r="D1038" s="28">
        <v>3961</v>
      </c>
      <c r="E1038" s="2" t="str">
        <f t="shared" si="34"/>
        <v>Same</v>
      </c>
      <c r="F1038" s="6" t="s">
        <v>1869</v>
      </c>
      <c r="G1038">
        <v>29.95</v>
      </c>
      <c r="H1038" s="2" t="s">
        <v>1018</v>
      </c>
      <c r="I1038" s="4">
        <f>[1]Sheet1!I1038</f>
        <v>15912</v>
      </c>
      <c r="J1038" s="3" t="str">
        <f t="shared" si="33"/>
        <v>3961_A1C1.webp</v>
      </c>
      <c r="K1038" s="5">
        <f>Sheet4!E1038</f>
        <v>48</v>
      </c>
      <c r="L1038" s="5"/>
      <c r="M1038" s="4"/>
    </row>
    <row r="1039" spans="1:13" x14ac:dyDescent="0.25">
      <c r="A1039" t="s">
        <v>3380</v>
      </c>
      <c r="B1039" t="s">
        <v>4163</v>
      </c>
      <c r="C1039" s="25">
        <v>3962</v>
      </c>
      <c r="D1039" s="28">
        <v>3962</v>
      </c>
      <c r="E1039" s="2" t="str">
        <f t="shared" si="34"/>
        <v>Same</v>
      </c>
      <c r="F1039" s="6" t="s">
        <v>1849</v>
      </c>
      <c r="G1039" s="3">
        <v>29.5</v>
      </c>
      <c r="H1039" s="2" t="s">
        <v>1019</v>
      </c>
      <c r="I1039" s="4">
        <f>[1]Sheet1!I1039</f>
        <v>223</v>
      </c>
      <c r="J1039" s="3" t="str">
        <f t="shared" si="33"/>
        <v>3962_A1C1.webp</v>
      </c>
      <c r="K1039" s="5">
        <f>Sheet4!E1039</f>
        <v>20</v>
      </c>
      <c r="L1039" s="5"/>
      <c r="M1039" s="4"/>
    </row>
    <row r="1040" spans="1:13" x14ac:dyDescent="0.25">
      <c r="A1040" t="s">
        <v>2633</v>
      </c>
      <c r="B1040" t="s">
        <v>4156</v>
      </c>
      <c r="C1040" s="25">
        <v>3963</v>
      </c>
      <c r="D1040" s="28">
        <v>3963</v>
      </c>
      <c r="E1040" s="2" t="str">
        <f t="shared" si="34"/>
        <v>Same</v>
      </c>
      <c r="F1040" s="6" t="s">
        <v>1876</v>
      </c>
      <c r="G1040" s="3">
        <v>29.95</v>
      </c>
      <c r="H1040" s="2" t="s">
        <v>1020</v>
      </c>
      <c r="I1040" s="4">
        <f>[1]Sheet1!I1040</f>
        <v>791</v>
      </c>
      <c r="J1040" s="3" t="str">
        <f t="shared" si="33"/>
        <v>3963_A1C1.webp</v>
      </c>
      <c r="K1040" s="5">
        <f>Sheet4!E1040</f>
        <v>24</v>
      </c>
      <c r="L1040" s="5"/>
      <c r="M1040" s="4"/>
    </row>
    <row r="1041" spans="1:13" x14ac:dyDescent="0.25">
      <c r="A1041" t="s">
        <v>3380</v>
      </c>
      <c r="B1041" t="s">
        <v>4163</v>
      </c>
      <c r="C1041" s="25">
        <v>3964</v>
      </c>
      <c r="D1041" s="28">
        <v>3964</v>
      </c>
      <c r="E1041" s="2" t="str">
        <f t="shared" si="34"/>
        <v>Same</v>
      </c>
      <c r="F1041" s="6" t="s">
        <v>1849</v>
      </c>
      <c r="G1041" s="3">
        <v>29.5</v>
      </c>
      <c r="H1041" s="2" t="s">
        <v>1021</v>
      </c>
      <c r="I1041" s="4">
        <f>[1]Sheet1!I1041</f>
        <v>1287</v>
      </c>
      <c r="J1041" s="3" t="str">
        <f t="shared" si="33"/>
        <v>3964_A1C1.webp</v>
      </c>
      <c r="K1041" s="5">
        <f>Sheet4!E1041</f>
        <v>20</v>
      </c>
      <c r="L1041" s="5"/>
      <c r="M1041" s="4"/>
    </row>
    <row r="1042" spans="1:13" x14ac:dyDescent="0.25">
      <c r="A1042" t="s">
        <v>3380</v>
      </c>
      <c r="B1042" t="s">
        <v>4163</v>
      </c>
      <c r="C1042" s="25">
        <v>3965</v>
      </c>
      <c r="D1042" s="28">
        <v>3965</v>
      </c>
      <c r="E1042" s="2" t="str">
        <f t="shared" si="34"/>
        <v>Same</v>
      </c>
      <c r="F1042" s="6" t="s">
        <v>1849</v>
      </c>
      <c r="G1042" s="3">
        <v>29.5</v>
      </c>
      <c r="H1042" s="2" t="s">
        <v>1022</v>
      </c>
      <c r="I1042" s="4">
        <f>[1]Sheet1!I1042</f>
        <v>7</v>
      </c>
      <c r="J1042" s="3" t="str">
        <f t="shared" si="33"/>
        <v>3965_A1C1.webp</v>
      </c>
      <c r="K1042" s="5">
        <f>Sheet4!E1042</f>
        <v>20</v>
      </c>
      <c r="L1042" s="5"/>
      <c r="M1042" s="4"/>
    </row>
    <row r="1043" spans="1:13" x14ac:dyDescent="0.25">
      <c r="A1043" t="s">
        <v>3380</v>
      </c>
      <c r="B1043" t="s">
        <v>4163</v>
      </c>
      <c r="C1043" s="25">
        <v>3966</v>
      </c>
      <c r="D1043" s="28">
        <v>3966</v>
      </c>
      <c r="E1043" s="2" t="str">
        <f t="shared" si="34"/>
        <v>Same</v>
      </c>
      <c r="F1043" s="6" t="s">
        <v>1849</v>
      </c>
      <c r="G1043" s="3">
        <v>29.5</v>
      </c>
      <c r="H1043" s="2" t="s">
        <v>1023</v>
      </c>
      <c r="I1043" s="4">
        <f>[1]Sheet1!I1043</f>
        <v>236</v>
      </c>
      <c r="J1043" s="3" t="str">
        <f t="shared" si="33"/>
        <v>3966_A1C1.webp</v>
      </c>
      <c r="K1043" s="5">
        <f>Sheet4!E1043</f>
        <v>20</v>
      </c>
      <c r="L1043" s="5"/>
      <c r="M1043" s="4"/>
    </row>
    <row r="1044" spans="1:13" x14ac:dyDescent="0.25">
      <c r="A1044" t="s">
        <v>3380</v>
      </c>
      <c r="B1044" t="s">
        <v>4163</v>
      </c>
      <c r="C1044" s="25">
        <v>3967</v>
      </c>
      <c r="D1044" s="28">
        <v>3967</v>
      </c>
      <c r="E1044" s="2" t="str">
        <f t="shared" si="34"/>
        <v>Same</v>
      </c>
      <c r="F1044" s="6" t="s">
        <v>1849</v>
      </c>
      <c r="G1044" s="3">
        <v>27.95</v>
      </c>
      <c r="H1044" s="2" t="s">
        <v>1024</v>
      </c>
      <c r="I1044" s="4">
        <f>[1]Sheet1!I1044</f>
        <v>188</v>
      </c>
      <c r="J1044" s="3" t="str">
        <f t="shared" si="33"/>
        <v>3967_A1C1.webp</v>
      </c>
      <c r="K1044" s="5">
        <f>Sheet4!E1044</f>
        <v>20</v>
      </c>
      <c r="L1044" s="5"/>
      <c r="M1044" s="4"/>
    </row>
    <row r="1045" spans="1:13" x14ac:dyDescent="0.25">
      <c r="A1045" t="s">
        <v>2633</v>
      </c>
      <c r="B1045" t="s">
        <v>4188</v>
      </c>
      <c r="C1045" s="25">
        <v>3968</v>
      </c>
      <c r="D1045" s="28">
        <v>3968</v>
      </c>
      <c r="E1045" s="2" t="str">
        <f t="shared" si="34"/>
        <v>Same</v>
      </c>
      <c r="F1045" s="6" t="s">
        <v>1938</v>
      </c>
      <c r="G1045" s="3">
        <v>56.95</v>
      </c>
      <c r="H1045" s="2" t="s">
        <v>1025</v>
      </c>
      <c r="I1045" s="4">
        <f>[1]Sheet1!I1045</f>
        <v>269</v>
      </c>
      <c r="J1045" s="3" t="str">
        <f t="shared" si="33"/>
        <v>3968_A1C1.webp</v>
      </c>
      <c r="K1045" s="5">
        <f>Sheet4!E1045</f>
        <v>24</v>
      </c>
      <c r="L1045" s="5"/>
      <c r="M1045" s="4"/>
    </row>
    <row r="1046" spans="1:13" x14ac:dyDescent="0.25">
      <c r="A1046" t="s">
        <v>2633</v>
      </c>
      <c r="B1046" t="s">
        <v>4188</v>
      </c>
      <c r="C1046" s="25">
        <v>3969</v>
      </c>
      <c r="D1046" s="28">
        <v>3969</v>
      </c>
      <c r="E1046" s="2" t="str">
        <f t="shared" si="34"/>
        <v>Same</v>
      </c>
      <c r="F1046" s="6" t="s">
        <v>1873</v>
      </c>
      <c r="G1046">
        <v>43.95</v>
      </c>
      <c r="H1046" s="2" t="s">
        <v>1026</v>
      </c>
      <c r="I1046" s="4">
        <f>[1]Sheet1!I1046</f>
        <v>1823</v>
      </c>
      <c r="J1046" s="3" t="str">
        <f t="shared" si="33"/>
        <v>3969_A1C1.webp</v>
      </c>
      <c r="K1046" s="5">
        <f>Sheet4!E1046</f>
        <v>48</v>
      </c>
      <c r="L1046" s="5"/>
      <c r="M1046" s="4"/>
    </row>
    <row r="1047" spans="1:13" x14ac:dyDescent="0.25">
      <c r="A1047" t="s">
        <v>2633</v>
      </c>
      <c r="B1047" t="s">
        <v>4188</v>
      </c>
      <c r="C1047" s="25">
        <v>3970</v>
      </c>
      <c r="D1047" s="28">
        <v>3970</v>
      </c>
      <c r="E1047" s="2" t="str">
        <f t="shared" si="34"/>
        <v>Same</v>
      </c>
      <c r="F1047" s="6" t="s">
        <v>1881</v>
      </c>
      <c r="G1047" s="3">
        <v>40.950000000000003</v>
      </c>
      <c r="H1047" s="2" t="s">
        <v>1027</v>
      </c>
      <c r="I1047" s="4">
        <f>[1]Sheet1!I1047</f>
        <v>1798</v>
      </c>
      <c r="J1047" s="3" t="str">
        <f t="shared" si="33"/>
        <v>3970_A1C1.webp</v>
      </c>
      <c r="K1047" s="5">
        <f>Sheet4!E1047</f>
        <v>12</v>
      </c>
      <c r="L1047" s="5"/>
      <c r="M1047" s="4"/>
    </row>
    <row r="1048" spans="1:13" x14ac:dyDescent="0.25">
      <c r="A1048" t="s">
        <v>3380</v>
      </c>
      <c r="B1048" t="s">
        <v>4163</v>
      </c>
      <c r="C1048" s="25">
        <v>3971</v>
      </c>
      <c r="D1048" s="28">
        <v>3971</v>
      </c>
      <c r="E1048" s="2" t="str">
        <f t="shared" si="34"/>
        <v>Same</v>
      </c>
      <c r="F1048" s="6" t="s">
        <v>1873</v>
      </c>
      <c r="G1048" s="3">
        <v>26.35</v>
      </c>
      <c r="H1048" s="2" t="s">
        <v>1028</v>
      </c>
      <c r="I1048" s="4">
        <f>[1]Sheet1!I1048</f>
        <v>50</v>
      </c>
      <c r="J1048" s="3" t="str">
        <f t="shared" si="33"/>
        <v>3971_A1C1.webp</v>
      </c>
      <c r="K1048" s="5">
        <f>Sheet4!E1048</f>
        <v>24</v>
      </c>
      <c r="L1048" s="5"/>
      <c r="M1048" s="4"/>
    </row>
    <row r="1049" spans="1:13" x14ac:dyDescent="0.25">
      <c r="A1049" t="s">
        <v>3380</v>
      </c>
      <c r="B1049" t="s">
        <v>4163</v>
      </c>
      <c r="C1049" s="25">
        <v>3972</v>
      </c>
      <c r="D1049" s="28">
        <v>3972</v>
      </c>
      <c r="E1049" s="2" t="str">
        <f t="shared" si="34"/>
        <v>Same</v>
      </c>
      <c r="F1049" s="6" t="s">
        <v>1866</v>
      </c>
      <c r="G1049">
        <v>12.95</v>
      </c>
      <c r="H1049" s="2" t="s">
        <v>1029</v>
      </c>
      <c r="I1049" s="4">
        <f>[1]Sheet1!I1049</f>
        <v>136</v>
      </c>
      <c r="J1049" s="3" t="str">
        <f t="shared" si="33"/>
        <v>3972_A1C1.webp</v>
      </c>
      <c r="K1049" s="5">
        <f>Sheet4!E1049</f>
        <v>20</v>
      </c>
      <c r="L1049" s="5"/>
      <c r="M1049" s="4"/>
    </row>
    <row r="1050" spans="1:13" x14ac:dyDescent="0.25">
      <c r="A1050" t="s">
        <v>3380</v>
      </c>
      <c r="B1050" t="s">
        <v>4163</v>
      </c>
      <c r="C1050" s="25">
        <v>3973</v>
      </c>
      <c r="D1050" s="28">
        <v>3973</v>
      </c>
      <c r="E1050" s="2" t="str">
        <f t="shared" si="34"/>
        <v>Same</v>
      </c>
      <c r="F1050" s="6" t="s">
        <v>1874</v>
      </c>
      <c r="G1050" s="3">
        <v>24.85</v>
      </c>
      <c r="H1050" s="2" t="s">
        <v>1030</v>
      </c>
      <c r="I1050" s="4">
        <f>[1]Sheet1!I1050</f>
        <v>393</v>
      </c>
      <c r="J1050" s="3" t="str">
        <f t="shared" si="33"/>
        <v>3973_A1C1.webp</v>
      </c>
      <c r="K1050" s="5">
        <f>Sheet4!E1050</f>
        <v>12</v>
      </c>
      <c r="L1050" s="5"/>
      <c r="M1050" s="4"/>
    </row>
    <row r="1051" spans="1:13" x14ac:dyDescent="0.25">
      <c r="A1051" t="s">
        <v>3380</v>
      </c>
      <c r="B1051" t="s">
        <v>4163</v>
      </c>
      <c r="C1051" s="25">
        <v>3974</v>
      </c>
      <c r="D1051" s="28">
        <v>3974</v>
      </c>
      <c r="E1051" s="2" t="str">
        <f t="shared" si="34"/>
        <v>Same</v>
      </c>
      <c r="F1051" s="6" t="s">
        <v>1866</v>
      </c>
      <c r="G1051">
        <v>11.95</v>
      </c>
      <c r="H1051" s="2" t="s">
        <v>1031</v>
      </c>
      <c r="I1051" s="4">
        <f>[1]Sheet1!I1051</f>
        <v>673</v>
      </c>
      <c r="J1051" s="3" t="str">
        <f t="shared" si="33"/>
        <v>3974_A1C1.webp</v>
      </c>
      <c r="K1051" s="5">
        <f>Sheet4!E1051</f>
        <v>20</v>
      </c>
      <c r="L1051" s="5"/>
      <c r="M1051" s="4"/>
    </row>
    <row r="1052" spans="1:13" x14ac:dyDescent="0.25">
      <c r="A1052" t="s">
        <v>3380</v>
      </c>
      <c r="B1052" t="s">
        <v>4163</v>
      </c>
      <c r="C1052" s="25">
        <v>3975</v>
      </c>
      <c r="D1052" s="28">
        <v>3975</v>
      </c>
      <c r="E1052" s="2" t="str">
        <f t="shared" si="34"/>
        <v>Same</v>
      </c>
      <c r="F1052" s="6" t="s">
        <v>1874</v>
      </c>
      <c r="G1052" s="3">
        <v>24.85</v>
      </c>
      <c r="H1052" s="2" t="s">
        <v>1032</v>
      </c>
      <c r="I1052" s="4">
        <f>[1]Sheet1!I1052</f>
        <v>0</v>
      </c>
      <c r="J1052" s="3" t="str">
        <f t="shared" si="33"/>
        <v>3975_A1C1.webp</v>
      </c>
      <c r="K1052" s="5">
        <f>Sheet4!E1052</f>
        <v>12</v>
      </c>
      <c r="L1052" s="5"/>
      <c r="M1052" s="4"/>
    </row>
    <row r="1053" spans="1:13" x14ac:dyDescent="0.25">
      <c r="A1053" t="s">
        <v>3380</v>
      </c>
      <c r="B1053" t="s">
        <v>4163</v>
      </c>
      <c r="C1053" s="25">
        <v>3976</v>
      </c>
      <c r="D1053" s="28">
        <v>3976</v>
      </c>
      <c r="E1053" s="2" t="str">
        <f t="shared" si="34"/>
        <v>Same</v>
      </c>
      <c r="F1053" s="6" t="s">
        <v>1873</v>
      </c>
      <c r="G1053" s="3">
        <v>26.35</v>
      </c>
      <c r="H1053" s="2" t="s">
        <v>1033</v>
      </c>
      <c r="I1053" s="4">
        <f>[1]Sheet1!I1053</f>
        <v>122</v>
      </c>
      <c r="J1053" s="3" t="str">
        <f t="shared" si="33"/>
        <v>3976_A1C1.webp</v>
      </c>
      <c r="K1053" s="5">
        <f>Sheet4!E1053</f>
        <v>24</v>
      </c>
      <c r="L1053" s="5"/>
      <c r="M1053" s="4"/>
    </row>
    <row r="1054" spans="1:13" x14ac:dyDescent="0.25">
      <c r="A1054" t="s">
        <v>3380</v>
      </c>
      <c r="B1054" t="s">
        <v>4163</v>
      </c>
      <c r="C1054" s="25">
        <v>3977</v>
      </c>
      <c r="D1054" s="28">
        <v>3977</v>
      </c>
      <c r="E1054" s="2" t="str">
        <f t="shared" si="34"/>
        <v>Same</v>
      </c>
      <c r="F1054" s="6" t="s">
        <v>1866</v>
      </c>
      <c r="G1054">
        <v>12.95</v>
      </c>
      <c r="H1054" s="2" t="s">
        <v>1034</v>
      </c>
      <c r="I1054" s="4">
        <f>[1]Sheet1!I1054</f>
        <v>174</v>
      </c>
      <c r="J1054" s="3" t="str">
        <f t="shared" si="33"/>
        <v>3977_A1C1.webp</v>
      </c>
      <c r="K1054" s="5">
        <f>Sheet4!E1054</f>
        <v>20</v>
      </c>
      <c r="L1054" s="5"/>
      <c r="M1054" s="4"/>
    </row>
    <row r="1055" spans="1:13" x14ac:dyDescent="0.25">
      <c r="A1055" t="s">
        <v>3380</v>
      </c>
      <c r="B1055" t="s">
        <v>4163</v>
      </c>
      <c r="C1055" s="25">
        <v>3978</v>
      </c>
      <c r="D1055" s="28">
        <v>3978</v>
      </c>
      <c r="E1055" s="2" t="str">
        <f t="shared" si="34"/>
        <v>Same</v>
      </c>
      <c r="F1055" s="6" t="s">
        <v>1866</v>
      </c>
      <c r="G1055">
        <v>12.95</v>
      </c>
      <c r="H1055" s="2" t="s">
        <v>1035</v>
      </c>
      <c r="I1055" s="4">
        <f>[1]Sheet1!I1055</f>
        <v>14</v>
      </c>
      <c r="J1055" s="3" t="str">
        <f t="shared" si="33"/>
        <v>3978_A1C1.webp</v>
      </c>
      <c r="K1055" s="5">
        <f>Sheet4!E1055</f>
        <v>20</v>
      </c>
      <c r="L1055" s="5"/>
      <c r="M1055" s="4"/>
    </row>
    <row r="1056" spans="1:13" x14ac:dyDescent="0.25">
      <c r="A1056" t="s">
        <v>3380</v>
      </c>
      <c r="B1056" t="s">
        <v>4163</v>
      </c>
      <c r="C1056" s="25">
        <v>3979</v>
      </c>
      <c r="D1056" s="28">
        <v>3979</v>
      </c>
      <c r="E1056" s="2" t="str">
        <f t="shared" si="34"/>
        <v>Same</v>
      </c>
      <c r="F1056" s="6" t="s">
        <v>1866</v>
      </c>
      <c r="G1056">
        <v>12.95</v>
      </c>
      <c r="H1056" s="2" t="s">
        <v>1036</v>
      </c>
      <c r="I1056" s="4">
        <f>[1]Sheet1!I1056</f>
        <v>153</v>
      </c>
      <c r="J1056" s="3" t="str">
        <f t="shared" si="33"/>
        <v>3979_A1C1.webp</v>
      </c>
      <c r="K1056" s="5">
        <f>Sheet4!E1056</f>
        <v>20</v>
      </c>
      <c r="L1056" s="5"/>
      <c r="M1056" s="4"/>
    </row>
    <row r="1057" spans="1:13" x14ac:dyDescent="0.25">
      <c r="A1057" t="s">
        <v>3380</v>
      </c>
      <c r="B1057" t="s">
        <v>4163</v>
      </c>
      <c r="C1057" s="25">
        <v>3980</v>
      </c>
      <c r="D1057" s="28">
        <v>3980</v>
      </c>
      <c r="E1057" s="2" t="str">
        <f t="shared" si="34"/>
        <v>Same</v>
      </c>
      <c r="F1057" s="6" t="s">
        <v>1866</v>
      </c>
      <c r="G1057">
        <v>12.95</v>
      </c>
      <c r="H1057" s="2" t="s">
        <v>1037</v>
      </c>
      <c r="I1057" s="4">
        <f>[1]Sheet1!I1057</f>
        <v>638</v>
      </c>
      <c r="J1057" s="3" t="str">
        <f t="shared" si="33"/>
        <v>3980_A1C1.webp</v>
      </c>
      <c r="K1057" s="5">
        <f>Sheet4!E1057</f>
        <v>20</v>
      </c>
      <c r="L1057" s="5"/>
      <c r="M1057" s="4"/>
    </row>
    <row r="1058" spans="1:13" x14ac:dyDescent="0.25">
      <c r="A1058" t="s">
        <v>3380</v>
      </c>
      <c r="B1058" t="s">
        <v>4163</v>
      </c>
      <c r="C1058" s="25">
        <v>3981</v>
      </c>
      <c r="D1058" s="28">
        <v>3981</v>
      </c>
      <c r="E1058" s="2" t="str">
        <f t="shared" si="34"/>
        <v>Same</v>
      </c>
      <c r="F1058" s="6" t="s">
        <v>1866</v>
      </c>
      <c r="G1058">
        <v>12.95</v>
      </c>
      <c r="H1058" s="2" t="s">
        <v>1038</v>
      </c>
      <c r="I1058" s="4">
        <f>[1]Sheet1!I1058</f>
        <v>85</v>
      </c>
      <c r="J1058" s="3" t="str">
        <f t="shared" si="33"/>
        <v>3981_A1C1.webp</v>
      </c>
      <c r="K1058" s="5">
        <f>Sheet4!E1058</f>
        <v>20</v>
      </c>
      <c r="L1058" s="5"/>
      <c r="M1058" s="4"/>
    </row>
    <row r="1059" spans="1:13" x14ac:dyDescent="0.25">
      <c r="A1059" t="s">
        <v>3380</v>
      </c>
      <c r="B1059" t="s">
        <v>4163</v>
      </c>
      <c r="C1059" s="25">
        <v>3982</v>
      </c>
      <c r="D1059" s="28">
        <v>3982</v>
      </c>
      <c r="E1059" s="2" t="str">
        <f t="shared" si="34"/>
        <v>Same</v>
      </c>
      <c r="F1059" s="6" t="s">
        <v>1866</v>
      </c>
      <c r="G1059">
        <v>12.95</v>
      </c>
      <c r="H1059" s="2" t="s">
        <v>1039</v>
      </c>
      <c r="I1059" s="4">
        <f>[1]Sheet1!I1059</f>
        <v>178</v>
      </c>
      <c r="J1059" s="3" t="str">
        <f t="shared" si="33"/>
        <v>3982_A1C1.webp</v>
      </c>
      <c r="K1059" s="5">
        <f>Sheet4!E1059</f>
        <v>20</v>
      </c>
      <c r="L1059" s="5"/>
      <c r="M1059" s="4"/>
    </row>
    <row r="1060" spans="1:13" x14ac:dyDescent="0.25">
      <c r="A1060" t="s">
        <v>3380</v>
      </c>
      <c r="B1060" t="s">
        <v>4163</v>
      </c>
      <c r="C1060" s="25">
        <v>3983</v>
      </c>
      <c r="D1060" s="28">
        <v>3983</v>
      </c>
      <c r="E1060" s="2" t="str">
        <f t="shared" si="34"/>
        <v>Same</v>
      </c>
      <c r="F1060" s="6" t="s">
        <v>1874</v>
      </c>
      <c r="G1060" s="3">
        <v>24.85</v>
      </c>
      <c r="H1060" s="2" t="s">
        <v>1040</v>
      </c>
      <c r="I1060" s="4">
        <f>[1]Sheet1!I1060</f>
        <v>0</v>
      </c>
      <c r="J1060" s="3" t="str">
        <f t="shared" si="33"/>
        <v>3983_A1C1.webp</v>
      </c>
      <c r="K1060" s="5">
        <f>Sheet4!E1060</f>
        <v>12</v>
      </c>
      <c r="L1060" s="5"/>
      <c r="M1060" s="4"/>
    </row>
    <row r="1061" spans="1:13" x14ac:dyDescent="0.25">
      <c r="A1061" t="s">
        <v>2685</v>
      </c>
      <c r="B1061" t="s">
        <v>4207</v>
      </c>
      <c r="C1061" s="25">
        <v>3984</v>
      </c>
      <c r="D1061" s="28">
        <v>3984</v>
      </c>
      <c r="E1061" s="2" t="str">
        <f t="shared" si="34"/>
        <v>Same</v>
      </c>
      <c r="F1061" s="6" t="s">
        <v>1980</v>
      </c>
      <c r="G1061" s="3">
        <v>19.95</v>
      </c>
      <c r="H1061" s="2" t="s">
        <v>1041</v>
      </c>
      <c r="I1061" s="4">
        <f>[1]Sheet1!I1061</f>
        <v>2990</v>
      </c>
      <c r="J1061" s="3" t="str">
        <f t="shared" si="33"/>
        <v>3984_A1C1.webp</v>
      </c>
      <c r="K1061" s="5">
        <f>Sheet4!E1061</f>
        <v>4</v>
      </c>
      <c r="L1061" s="5"/>
      <c r="M1061" s="4"/>
    </row>
    <row r="1062" spans="1:13" x14ac:dyDescent="0.25">
      <c r="A1062" t="s">
        <v>2685</v>
      </c>
      <c r="B1062" t="s">
        <v>4207</v>
      </c>
      <c r="C1062" s="25">
        <v>3985</v>
      </c>
      <c r="D1062" s="28">
        <v>3985</v>
      </c>
      <c r="E1062" s="2" t="str">
        <f t="shared" si="34"/>
        <v>Same</v>
      </c>
      <c r="F1062" s="6" t="s">
        <v>1874</v>
      </c>
      <c r="G1062">
        <v>19.5</v>
      </c>
      <c r="H1062" s="2" t="s">
        <v>1042</v>
      </c>
      <c r="I1062" s="4">
        <f>[1]Sheet1!I1062</f>
        <v>38618</v>
      </c>
      <c r="J1062" s="3" t="str">
        <f t="shared" si="33"/>
        <v>3985_A1C1.webp</v>
      </c>
      <c r="K1062" s="5">
        <f>Sheet4!E1062</f>
        <v>24</v>
      </c>
      <c r="L1062" s="5"/>
      <c r="M1062" s="4"/>
    </row>
    <row r="1063" spans="1:13" x14ac:dyDescent="0.25">
      <c r="A1063" t="s">
        <v>2685</v>
      </c>
      <c r="B1063" t="s">
        <v>4211</v>
      </c>
      <c r="C1063" s="25">
        <v>3986</v>
      </c>
      <c r="D1063" s="28">
        <v>3986</v>
      </c>
      <c r="E1063" s="2" t="str">
        <f t="shared" si="34"/>
        <v>Same</v>
      </c>
      <c r="F1063" s="6" t="s">
        <v>1874</v>
      </c>
      <c r="G1063">
        <v>22.95</v>
      </c>
      <c r="H1063" s="2" t="s">
        <v>1043</v>
      </c>
      <c r="I1063" s="4">
        <f>[1]Sheet1!I1063</f>
        <v>145</v>
      </c>
      <c r="J1063" s="3" t="str">
        <f t="shared" si="33"/>
        <v>3986_A1C1.webp</v>
      </c>
      <c r="K1063" s="5">
        <f>Sheet4!E1063</f>
        <v>24</v>
      </c>
      <c r="L1063" s="5"/>
      <c r="M1063" s="4"/>
    </row>
    <row r="1064" spans="1:13" x14ac:dyDescent="0.25">
      <c r="A1064" t="s">
        <v>2685</v>
      </c>
      <c r="B1064" t="s">
        <v>4211</v>
      </c>
      <c r="C1064" s="25">
        <v>3988</v>
      </c>
      <c r="D1064" s="28">
        <v>3988</v>
      </c>
      <c r="E1064" s="2" t="str">
        <f t="shared" si="34"/>
        <v>Same</v>
      </c>
      <c r="F1064" s="6" t="s">
        <v>1874</v>
      </c>
      <c r="G1064">
        <v>22.95</v>
      </c>
      <c r="H1064" s="2" t="s">
        <v>1044</v>
      </c>
      <c r="I1064" s="4">
        <f>[1]Sheet1!I1064</f>
        <v>233</v>
      </c>
      <c r="J1064" s="3" t="str">
        <f t="shared" si="33"/>
        <v>3988_A1C1.webp</v>
      </c>
      <c r="K1064" s="5">
        <f>Sheet4!E1064</f>
        <v>24</v>
      </c>
      <c r="L1064" s="5"/>
      <c r="M1064" s="4"/>
    </row>
    <row r="1065" spans="1:13" x14ac:dyDescent="0.25">
      <c r="A1065" t="s">
        <v>2685</v>
      </c>
      <c r="B1065" t="s">
        <v>4211</v>
      </c>
      <c r="C1065" s="25">
        <v>3990</v>
      </c>
      <c r="D1065" s="28">
        <v>3990</v>
      </c>
      <c r="E1065" s="2" t="str">
        <f t="shared" si="34"/>
        <v>Same</v>
      </c>
      <c r="F1065" s="6" t="s">
        <v>1874</v>
      </c>
      <c r="G1065">
        <v>22.95</v>
      </c>
      <c r="H1065" s="2" t="s">
        <v>1045</v>
      </c>
      <c r="I1065" s="4">
        <f>[1]Sheet1!I1065</f>
        <v>135</v>
      </c>
      <c r="J1065" s="3" t="str">
        <f t="shared" si="33"/>
        <v>3990_A1C1.webp</v>
      </c>
      <c r="K1065" s="5">
        <f>Sheet4!E1065</f>
        <v>24</v>
      </c>
      <c r="L1065" s="5"/>
      <c r="M1065" s="4"/>
    </row>
    <row r="1066" spans="1:13" x14ac:dyDescent="0.25">
      <c r="A1066" t="s">
        <v>2671</v>
      </c>
      <c r="B1066" t="s">
        <v>4214</v>
      </c>
      <c r="C1066" s="25">
        <v>3993</v>
      </c>
      <c r="D1066" s="28">
        <v>3993</v>
      </c>
      <c r="E1066" s="2" t="str">
        <f t="shared" si="34"/>
        <v>Same</v>
      </c>
      <c r="F1066" s="6" t="s">
        <v>1869</v>
      </c>
      <c r="G1066">
        <v>1077.95</v>
      </c>
      <c r="H1066" s="2" t="s">
        <v>1046</v>
      </c>
      <c r="I1066" s="4">
        <f>[1]Sheet1!I1066</f>
        <v>34</v>
      </c>
      <c r="J1066" s="3" t="str">
        <f t="shared" si="33"/>
        <v>3993_A1C1.webp</v>
      </c>
      <c r="K1066" s="5">
        <f>Sheet4!E1066</f>
        <v>728</v>
      </c>
      <c r="L1066" s="5"/>
      <c r="M1066" s="4"/>
    </row>
    <row r="1067" spans="1:13" x14ac:dyDescent="0.25">
      <c r="A1067" t="s">
        <v>4082</v>
      </c>
      <c r="B1067" t="s">
        <v>1115</v>
      </c>
      <c r="C1067" s="25">
        <v>3995</v>
      </c>
      <c r="D1067" s="28">
        <v>3995</v>
      </c>
      <c r="E1067" s="2" t="str">
        <f t="shared" si="34"/>
        <v>Same</v>
      </c>
      <c r="F1067" s="6" t="s">
        <v>1905</v>
      </c>
      <c r="G1067" s="3">
        <v>37.5</v>
      </c>
      <c r="H1067" s="2" t="s">
        <v>1047</v>
      </c>
      <c r="I1067" s="4">
        <f>[1]Sheet1!I1067</f>
        <v>1156</v>
      </c>
      <c r="J1067" s="3" t="str">
        <f t="shared" si="33"/>
        <v>3995_A1C1.webp</v>
      </c>
      <c r="K1067" s="5">
        <f>Sheet4!E1067</f>
        <v>6</v>
      </c>
      <c r="L1067" s="5"/>
      <c r="M1067" s="4"/>
    </row>
    <row r="1068" spans="1:13" x14ac:dyDescent="0.25">
      <c r="A1068" t="s">
        <v>2685</v>
      </c>
      <c r="B1068" t="s">
        <v>4211</v>
      </c>
      <c r="C1068" s="25">
        <v>3996</v>
      </c>
      <c r="D1068" s="28">
        <v>3996</v>
      </c>
      <c r="E1068" s="2" t="str">
        <f t="shared" si="34"/>
        <v>Same</v>
      </c>
      <c r="F1068" s="6" t="s">
        <v>1874</v>
      </c>
      <c r="G1068">
        <v>22.95</v>
      </c>
      <c r="H1068" s="2" t="s">
        <v>1048</v>
      </c>
      <c r="I1068" s="4">
        <f>[1]Sheet1!I1068</f>
        <v>120</v>
      </c>
      <c r="J1068" s="3" t="str">
        <f t="shared" si="33"/>
        <v>3996_A1C1.webp</v>
      </c>
      <c r="K1068" s="5">
        <f>Sheet4!E1068</f>
        <v>24</v>
      </c>
      <c r="L1068" s="5"/>
      <c r="M1068" s="4"/>
    </row>
    <row r="1069" spans="1:13" x14ac:dyDescent="0.25">
      <c r="A1069" t="s">
        <v>2685</v>
      </c>
      <c r="B1069" t="s">
        <v>4211</v>
      </c>
      <c r="C1069" s="25">
        <v>3998</v>
      </c>
      <c r="D1069" s="28">
        <v>3998</v>
      </c>
      <c r="E1069" s="2" t="str">
        <f t="shared" si="34"/>
        <v>Same</v>
      </c>
      <c r="F1069" s="6" t="s">
        <v>1874</v>
      </c>
      <c r="G1069">
        <v>22.95</v>
      </c>
      <c r="H1069" s="2" t="s">
        <v>1049</v>
      </c>
      <c r="I1069" s="4">
        <f>[1]Sheet1!I1069</f>
        <v>443</v>
      </c>
      <c r="J1069" s="3" t="str">
        <f t="shared" si="33"/>
        <v>3998_A1C1.webp</v>
      </c>
      <c r="K1069" s="5">
        <f>Sheet4!E1069</f>
        <v>24</v>
      </c>
      <c r="L1069" s="5"/>
      <c r="M1069" s="4"/>
    </row>
    <row r="1070" spans="1:13" x14ac:dyDescent="0.25">
      <c r="A1070" t="s">
        <v>2685</v>
      </c>
      <c r="B1070" t="s">
        <v>4211</v>
      </c>
      <c r="C1070" s="25">
        <v>4000</v>
      </c>
      <c r="D1070" s="28">
        <v>4000</v>
      </c>
      <c r="E1070" s="2" t="str">
        <f t="shared" si="34"/>
        <v>Same</v>
      </c>
      <c r="F1070" s="6" t="s">
        <v>1874</v>
      </c>
      <c r="G1070">
        <v>22.95</v>
      </c>
      <c r="H1070" s="2" t="s">
        <v>1050</v>
      </c>
      <c r="I1070" s="4">
        <f>[1]Sheet1!I1070</f>
        <v>180</v>
      </c>
      <c r="J1070" s="3" t="str">
        <f t="shared" si="33"/>
        <v>4000_A1C1.webp</v>
      </c>
      <c r="K1070" s="5">
        <f>Sheet4!E1070</f>
        <v>24</v>
      </c>
      <c r="L1070" s="5"/>
      <c r="M1070" s="4"/>
    </row>
    <row r="1071" spans="1:13" x14ac:dyDescent="0.25">
      <c r="A1071" t="s">
        <v>2685</v>
      </c>
      <c r="B1071" t="s">
        <v>4222</v>
      </c>
      <c r="C1071" s="25">
        <v>4002</v>
      </c>
      <c r="D1071" s="28">
        <v>4002</v>
      </c>
      <c r="E1071" s="2" t="str">
        <f t="shared" si="34"/>
        <v>Same</v>
      </c>
      <c r="F1071" s="6" t="s">
        <v>1874</v>
      </c>
      <c r="G1071">
        <v>22.95</v>
      </c>
      <c r="H1071" s="2" t="s">
        <v>1051</v>
      </c>
      <c r="I1071" s="4">
        <f>[1]Sheet1!I1071</f>
        <v>512</v>
      </c>
      <c r="J1071" s="3" t="str">
        <f t="shared" si="33"/>
        <v>4002_A1C1.webp</v>
      </c>
      <c r="K1071" s="5">
        <f>Sheet4!E1071</f>
        <v>24</v>
      </c>
      <c r="L1071" s="5"/>
      <c r="M1071" s="4"/>
    </row>
    <row r="1072" spans="1:13" x14ac:dyDescent="0.25">
      <c r="A1072" t="s">
        <v>2685</v>
      </c>
      <c r="B1072" t="s">
        <v>4222</v>
      </c>
      <c r="C1072" s="25">
        <v>4003</v>
      </c>
      <c r="D1072" s="28">
        <v>4003</v>
      </c>
      <c r="E1072" s="2" t="str">
        <f t="shared" si="34"/>
        <v>Same</v>
      </c>
      <c r="F1072" s="6" t="s">
        <v>1881</v>
      </c>
      <c r="G1072" s="3">
        <v>23.95</v>
      </c>
      <c r="H1072" s="2" t="s">
        <v>1052</v>
      </c>
      <c r="I1072" s="4">
        <f>[1]Sheet1!I1072</f>
        <v>173</v>
      </c>
      <c r="J1072" s="3" t="str">
        <f t="shared" si="33"/>
        <v>4003_A1C1.webp</v>
      </c>
      <c r="K1072" s="5">
        <f>Sheet4!E1072</f>
        <v>6</v>
      </c>
      <c r="L1072" s="5" t="s">
        <v>5278</v>
      </c>
      <c r="M1072" s="4"/>
    </row>
    <row r="1073" spans="1:14" x14ac:dyDescent="0.25">
      <c r="A1073" t="s">
        <v>2685</v>
      </c>
      <c r="B1073" t="s">
        <v>4211</v>
      </c>
      <c r="C1073" s="25">
        <v>4004</v>
      </c>
      <c r="D1073" s="28">
        <v>4004</v>
      </c>
      <c r="E1073" s="2" t="str">
        <f t="shared" si="34"/>
        <v>Same</v>
      </c>
      <c r="F1073" s="6" t="s">
        <v>1874</v>
      </c>
      <c r="G1073">
        <v>22.95</v>
      </c>
      <c r="H1073" s="2" t="s">
        <v>1053</v>
      </c>
      <c r="I1073" s="4">
        <f>[1]Sheet1!I1073</f>
        <v>235</v>
      </c>
      <c r="J1073" s="3" t="str">
        <f t="shared" si="33"/>
        <v>4004_A1C1.webp</v>
      </c>
      <c r="K1073" s="5">
        <f>Sheet4!E1073</f>
        <v>24</v>
      </c>
      <c r="L1073" s="5"/>
      <c r="M1073" s="4"/>
    </row>
    <row r="1074" spans="1:14" x14ac:dyDescent="0.25">
      <c r="A1074" t="s">
        <v>2685</v>
      </c>
      <c r="B1074" t="s">
        <v>4207</v>
      </c>
      <c r="C1074" s="25">
        <v>4006</v>
      </c>
      <c r="D1074" s="28">
        <v>4006</v>
      </c>
      <c r="E1074" s="2" t="str">
        <f t="shared" si="34"/>
        <v>Same</v>
      </c>
      <c r="F1074" s="6" t="s">
        <v>1914</v>
      </c>
      <c r="G1074" s="3">
        <v>15.95</v>
      </c>
      <c r="H1074" s="2" t="s">
        <v>1054</v>
      </c>
      <c r="I1074" s="4">
        <f>[1]Sheet1!I1074</f>
        <v>23588</v>
      </c>
      <c r="J1074" s="3" t="str">
        <f t="shared" si="33"/>
        <v>4006_A1C1.webp</v>
      </c>
      <c r="K1074" s="5">
        <f>Sheet4!E1074</f>
        <v>4</v>
      </c>
      <c r="L1074" s="5"/>
      <c r="M1074" s="4"/>
    </row>
    <row r="1075" spans="1:14" x14ac:dyDescent="0.25">
      <c r="A1075" t="s">
        <v>2685</v>
      </c>
      <c r="B1075" t="s">
        <v>4207</v>
      </c>
      <c r="C1075" s="25">
        <v>4008</v>
      </c>
      <c r="D1075" s="28">
        <v>4008</v>
      </c>
      <c r="E1075" s="2" t="str">
        <f t="shared" si="34"/>
        <v>Same</v>
      </c>
      <c r="F1075" s="6" t="s">
        <v>1981</v>
      </c>
      <c r="G1075" s="3">
        <v>22.95</v>
      </c>
      <c r="H1075" s="2" t="s">
        <v>1055</v>
      </c>
      <c r="I1075" s="4">
        <f>[1]Sheet1!I1075</f>
        <v>49508</v>
      </c>
      <c r="J1075" s="3" t="str">
        <f t="shared" si="33"/>
        <v>4008_A1C1.webp</v>
      </c>
      <c r="K1075" s="5">
        <f>Sheet4!E1075</f>
        <v>4</v>
      </c>
      <c r="L1075" s="5"/>
      <c r="M1075" s="4"/>
    </row>
    <row r="1076" spans="1:14" x14ac:dyDescent="0.25">
      <c r="A1076" t="s">
        <v>2685</v>
      </c>
      <c r="B1076" t="s">
        <v>4207</v>
      </c>
      <c r="C1076" s="25">
        <v>4012</v>
      </c>
      <c r="D1076" s="28">
        <v>4012</v>
      </c>
      <c r="E1076" s="2" t="str">
        <f t="shared" si="34"/>
        <v>Same</v>
      </c>
      <c r="F1076" s="6" t="s">
        <v>1874</v>
      </c>
      <c r="G1076">
        <v>19.5</v>
      </c>
      <c r="H1076" s="2" t="s">
        <v>1056</v>
      </c>
      <c r="I1076" s="4">
        <f>[1]Sheet1!I1076</f>
        <v>439</v>
      </c>
      <c r="J1076" s="3" t="str">
        <f t="shared" si="33"/>
        <v>4012_A1C1.webp</v>
      </c>
      <c r="K1076" s="5">
        <f>Sheet4!E1076</f>
        <v>24</v>
      </c>
      <c r="L1076" s="5"/>
      <c r="M1076" s="4"/>
    </row>
    <row r="1077" spans="1:14" x14ac:dyDescent="0.25">
      <c r="A1077" t="s">
        <v>2685</v>
      </c>
      <c r="B1077" t="s">
        <v>4207</v>
      </c>
      <c r="C1077" s="25">
        <v>4015</v>
      </c>
      <c r="D1077" s="28">
        <v>4015</v>
      </c>
      <c r="E1077" s="2" t="str">
        <f t="shared" si="34"/>
        <v>Same</v>
      </c>
      <c r="F1077" s="6" t="s">
        <v>1866</v>
      </c>
      <c r="G1077" s="3">
        <v>413</v>
      </c>
      <c r="H1077" s="2" t="s">
        <v>1057</v>
      </c>
      <c r="I1077" s="4">
        <f>[1]Sheet1!I1077</f>
        <v>133</v>
      </c>
      <c r="J1077" s="3" t="str">
        <f t="shared" si="33"/>
        <v>4015_A1C1.webp</v>
      </c>
      <c r="K1077" s="5">
        <f>Sheet4!E1077</f>
        <v>72</v>
      </c>
      <c r="L1077" s="5"/>
      <c r="M1077" s="4"/>
    </row>
    <row r="1078" spans="1:14" x14ac:dyDescent="0.25">
      <c r="A1078" t="s">
        <v>2685</v>
      </c>
      <c r="B1078" t="s">
        <v>4207</v>
      </c>
      <c r="C1078" s="25">
        <v>4018</v>
      </c>
      <c r="D1078" s="28">
        <v>4018</v>
      </c>
      <c r="E1078" s="2" t="str">
        <f t="shared" si="34"/>
        <v>Same</v>
      </c>
      <c r="F1078" s="6" t="s">
        <v>1874</v>
      </c>
      <c r="G1078" s="3">
        <v>25.95</v>
      </c>
      <c r="H1078" s="2" t="s">
        <v>1058</v>
      </c>
      <c r="I1078" s="4">
        <f>[1]Sheet1!I1078</f>
        <v>612</v>
      </c>
      <c r="J1078" s="3" t="str">
        <f t="shared" si="33"/>
        <v>4018_A1C1.webp</v>
      </c>
      <c r="K1078" s="5">
        <f>Sheet4!E1078</f>
        <v>24</v>
      </c>
      <c r="L1078" s="5"/>
      <c r="M1078" s="4"/>
    </row>
    <row r="1079" spans="1:14" x14ac:dyDescent="0.25">
      <c r="A1079" t="s">
        <v>2685</v>
      </c>
      <c r="B1079" t="s">
        <v>4211</v>
      </c>
      <c r="C1079" s="25">
        <v>4021</v>
      </c>
      <c r="D1079" s="28">
        <v>4021</v>
      </c>
      <c r="E1079" s="2" t="str">
        <f t="shared" si="34"/>
        <v>Same</v>
      </c>
      <c r="F1079" s="6" t="s">
        <v>1874</v>
      </c>
      <c r="G1079">
        <v>22.95</v>
      </c>
      <c r="H1079" s="2" t="s">
        <v>1059</v>
      </c>
      <c r="I1079" s="4">
        <f>[1]Sheet1!I1079</f>
        <v>90</v>
      </c>
      <c r="J1079" s="3" t="str">
        <f t="shared" si="33"/>
        <v>4021_A1C1.webp</v>
      </c>
      <c r="K1079" s="5">
        <f>Sheet4!E1079</f>
        <v>24</v>
      </c>
      <c r="L1079" s="5"/>
      <c r="M1079" s="4"/>
    </row>
    <row r="1080" spans="1:14" x14ac:dyDescent="0.25">
      <c r="A1080" t="s">
        <v>2685</v>
      </c>
      <c r="B1080" t="s">
        <v>4207</v>
      </c>
      <c r="C1080" s="25">
        <v>4025</v>
      </c>
      <c r="D1080" s="28">
        <v>4025</v>
      </c>
      <c r="E1080" s="2" t="str">
        <f t="shared" si="34"/>
        <v>Same</v>
      </c>
      <c r="F1080" s="6" t="s">
        <v>1982</v>
      </c>
      <c r="G1080" s="3">
        <v>20.95</v>
      </c>
      <c r="H1080" s="2" t="s">
        <v>1060</v>
      </c>
      <c r="I1080" s="4">
        <f>[1]Sheet1!I1080</f>
        <v>2737</v>
      </c>
      <c r="J1080" s="3" t="str">
        <f t="shared" si="33"/>
        <v>4025_A1C1.webp</v>
      </c>
      <c r="K1080" s="5">
        <f>Sheet4!E1080</f>
        <v>2</v>
      </c>
      <c r="L1080" s="5"/>
      <c r="M1080" s="4"/>
    </row>
    <row r="1081" spans="1:14" x14ac:dyDescent="0.25">
      <c r="A1081" t="s">
        <v>3258</v>
      </c>
      <c r="B1081" t="s">
        <v>3879</v>
      </c>
      <c r="C1081" s="8">
        <v>4035</v>
      </c>
      <c r="D1081" s="28">
        <v>4035</v>
      </c>
      <c r="E1081" s="2" t="str">
        <f t="shared" si="34"/>
        <v>Same</v>
      </c>
      <c r="F1081" s="2" t="s">
        <v>1879</v>
      </c>
      <c r="G1081" t="s">
        <v>5278</v>
      </c>
      <c r="H1081" s="2" t="s">
        <v>2102</v>
      </c>
      <c r="I1081" s="4">
        <f>[1]Sheet1!I1081</f>
        <v>34</v>
      </c>
      <c r="J1081" s="3" t="str">
        <f t="shared" si="33"/>
        <v>4035_A1C1.webp</v>
      </c>
      <c r="K1081" s="5">
        <f>Sheet4!E1081</f>
        <v>6</v>
      </c>
      <c r="L1081" t="s">
        <v>5278</v>
      </c>
      <c r="M1081" s="4"/>
    </row>
    <row r="1082" spans="1:14" x14ac:dyDescent="0.25">
      <c r="A1082" t="s">
        <v>2685</v>
      </c>
      <c r="B1082" t="s">
        <v>4207</v>
      </c>
      <c r="C1082" s="25">
        <v>4037</v>
      </c>
      <c r="D1082" s="28">
        <v>4037</v>
      </c>
      <c r="E1082" s="2" t="str">
        <f t="shared" si="34"/>
        <v>Same</v>
      </c>
      <c r="F1082" s="6" t="s">
        <v>1914</v>
      </c>
      <c r="G1082" s="3">
        <v>17.5</v>
      </c>
      <c r="H1082" s="2" t="s">
        <v>1061</v>
      </c>
      <c r="I1082" s="4">
        <f>[1]Sheet1!I1082</f>
        <v>71</v>
      </c>
      <c r="J1082" s="3" t="str">
        <f t="shared" si="33"/>
        <v>4037_A1C1.webp</v>
      </c>
      <c r="K1082" s="5">
        <f>Sheet4!E1082</f>
        <v>4</v>
      </c>
      <c r="L1082" s="5"/>
      <c r="M1082" s="4"/>
    </row>
    <row r="1083" spans="1:14" x14ac:dyDescent="0.25">
      <c r="A1083" t="s">
        <v>2685</v>
      </c>
      <c r="B1083" t="s">
        <v>4207</v>
      </c>
      <c r="C1083" s="25">
        <v>4039</v>
      </c>
      <c r="D1083" s="28">
        <v>4039</v>
      </c>
      <c r="E1083" s="2" t="str">
        <f t="shared" si="34"/>
        <v>Same</v>
      </c>
      <c r="F1083" s="6" t="s">
        <v>1980</v>
      </c>
      <c r="G1083" s="3">
        <v>22.95</v>
      </c>
      <c r="H1083" s="2" t="s">
        <v>1062</v>
      </c>
      <c r="I1083" s="4">
        <f>[1]Sheet1!I1083</f>
        <v>88</v>
      </c>
      <c r="J1083" s="3" t="str">
        <f t="shared" si="33"/>
        <v>4039_A1C1.webp</v>
      </c>
      <c r="K1083" s="5">
        <f>Sheet4!E1083</f>
        <v>4</v>
      </c>
      <c r="L1083" s="5"/>
      <c r="M1083" s="4"/>
    </row>
    <row r="1084" spans="1:14" x14ac:dyDescent="0.25">
      <c r="A1084" t="s">
        <v>2685</v>
      </c>
      <c r="B1084" t="s">
        <v>4207</v>
      </c>
      <c r="C1084" s="13">
        <v>4053</v>
      </c>
      <c r="D1084" s="28">
        <v>4053</v>
      </c>
      <c r="E1084" s="2" t="str">
        <f t="shared" si="34"/>
        <v>Same</v>
      </c>
      <c r="F1084" s="2" t="s">
        <v>5276</v>
      </c>
      <c r="G1084" s="3" t="s">
        <v>5278</v>
      </c>
      <c r="H1084" s="2" t="s">
        <v>5277</v>
      </c>
      <c r="I1084" s="4">
        <f>[1]Sheet1!I1084</f>
        <v>146</v>
      </c>
      <c r="J1084" s="3" t="str">
        <f t="shared" si="33"/>
        <v>4053_A1C1.webp</v>
      </c>
      <c r="K1084" s="5">
        <f>Sheet4!E1084</f>
        <v>6</v>
      </c>
      <c r="L1084" t="s">
        <v>5278</v>
      </c>
      <c r="M1084" s="2"/>
      <c r="N1084" s="2"/>
    </row>
    <row r="1085" spans="1:14" x14ac:dyDescent="0.25">
      <c r="A1085" t="s">
        <v>2685</v>
      </c>
      <c r="B1085" t="s">
        <v>4207</v>
      </c>
      <c r="C1085" s="25">
        <v>4056</v>
      </c>
      <c r="D1085" s="28">
        <v>4056</v>
      </c>
      <c r="E1085" s="2" t="str">
        <f t="shared" si="34"/>
        <v>Same</v>
      </c>
      <c r="F1085" s="6" t="s">
        <v>1874</v>
      </c>
      <c r="G1085">
        <v>22.75</v>
      </c>
      <c r="H1085" s="2" t="s">
        <v>1063</v>
      </c>
      <c r="I1085" s="4">
        <f>[1]Sheet1!I1085</f>
        <v>298</v>
      </c>
      <c r="J1085" s="3" t="str">
        <f t="shared" si="33"/>
        <v>4056_A1C1.webp</v>
      </c>
      <c r="K1085" s="5">
        <f>Sheet4!E1085</f>
        <v>24</v>
      </c>
      <c r="L1085" s="5"/>
      <c r="M1085" s="4"/>
    </row>
    <row r="1086" spans="1:14" x14ac:dyDescent="0.25">
      <c r="A1086" t="s">
        <v>2685</v>
      </c>
      <c r="B1086" t="s">
        <v>4242</v>
      </c>
      <c r="C1086" s="25">
        <v>4060</v>
      </c>
      <c r="D1086" s="28">
        <v>4060</v>
      </c>
      <c r="E1086" s="2" t="str">
        <f t="shared" si="34"/>
        <v>Same</v>
      </c>
      <c r="F1086" s="6" t="s">
        <v>1980</v>
      </c>
      <c r="G1086">
        <v>9.9499999999999993</v>
      </c>
      <c r="H1086" s="2" t="s">
        <v>1064</v>
      </c>
      <c r="I1086" s="4">
        <f>[1]Sheet1!I1086</f>
        <v>2630</v>
      </c>
      <c r="J1086" s="3" t="str">
        <f t="shared" si="33"/>
        <v>4060_A1C1.webp</v>
      </c>
      <c r="K1086" s="5">
        <f>Sheet4!E1086</f>
        <v>4</v>
      </c>
      <c r="L1086" s="5"/>
      <c r="M1086" s="4"/>
    </row>
    <row r="1087" spans="1:14" x14ac:dyDescent="0.25">
      <c r="A1087" t="s">
        <v>2685</v>
      </c>
      <c r="B1087" t="s">
        <v>4242</v>
      </c>
      <c r="C1087" s="25">
        <v>4063</v>
      </c>
      <c r="D1087" s="28">
        <v>4063</v>
      </c>
      <c r="E1087" s="2" t="str">
        <f t="shared" si="34"/>
        <v>Same</v>
      </c>
      <c r="F1087" s="6" t="s">
        <v>1980</v>
      </c>
      <c r="G1087">
        <v>9.9499999999999993</v>
      </c>
      <c r="H1087" s="2" t="s">
        <v>1065</v>
      </c>
      <c r="I1087" s="4">
        <f>[1]Sheet1!I1087</f>
        <v>413</v>
      </c>
      <c r="J1087" s="3" t="str">
        <f t="shared" si="33"/>
        <v>4063_A1C1.webp</v>
      </c>
      <c r="K1087" s="5">
        <f>Sheet4!E1087</f>
        <v>4</v>
      </c>
      <c r="L1087" s="5"/>
      <c r="M1087" s="4"/>
    </row>
    <row r="1088" spans="1:14" x14ac:dyDescent="0.25">
      <c r="A1088" t="s">
        <v>2685</v>
      </c>
      <c r="B1088" t="s">
        <v>4242</v>
      </c>
      <c r="C1088" s="25">
        <v>4100</v>
      </c>
      <c r="D1088" s="28">
        <v>4100</v>
      </c>
      <c r="E1088" s="2" t="str">
        <f t="shared" si="34"/>
        <v>Same</v>
      </c>
      <c r="F1088" s="6" t="s">
        <v>1983</v>
      </c>
      <c r="G1088">
        <v>9.5</v>
      </c>
      <c r="H1088" s="2" t="s">
        <v>1066</v>
      </c>
      <c r="I1088" s="4">
        <f>[1]Sheet1!I1088</f>
        <v>790</v>
      </c>
      <c r="J1088" s="3" t="str">
        <f t="shared" si="33"/>
        <v>4100_A1C1.webp</v>
      </c>
      <c r="K1088" s="5">
        <f>Sheet4!E1088</f>
        <v>8</v>
      </c>
      <c r="L1088" s="5"/>
      <c r="M1088" s="4"/>
    </row>
    <row r="1089" spans="1:13" x14ac:dyDescent="0.25">
      <c r="A1089" t="s">
        <v>2685</v>
      </c>
      <c r="B1089" t="s">
        <v>4242</v>
      </c>
      <c r="C1089" s="25">
        <v>4101</v>
      </c>
      <c r="D1089" s="28">
        <v>4101</v>
      </c>
      <c r="E1089" s="2" t="str">
        <f t="shared" si="34"/>
        <v>Same</v>
      </c>
      <c r="F1089" s="6" t="s">
        <v>1983</v>
      </c>
      <c r="G1089">
        <v>9.5</v>
      </c>
      <c r="H1089" s="2" t="s">
        <v>1067</v>
      </c>
      <c r="I1089" s="4">
        <f>[1]Sheet1!I1089</f>
        <v>208</v>
      </c>
      <c r="J1089" s="3" t="str">
        <f t="shared" si="33"/>
        <v>4101_A1C1.webp</v>
      </c>
      <c r="K1089" s="5">
        <f>Sheet4!E1089</f>
        <v>8</v>
      </c>
      <c r="L1089" s="5"/>
      <c r="M1089" s="4"/>
    </row>
    <row r="1090" spans="1:13" x14ac:dyDescent="0.25">
      <c r="A1090" t="s">
        <v>2685</v>
      </c>
      <c r="B1090" t="s">
        <v>4242</v>
      </c>
      <c r="C1090" s="25">
        <v>4102</v>
      </c>
      <c r="D1090" s="28">
        <v>4102</v>
      </c>
      <c r="E1090" s="2" t="str">
        <f t="shared" si="34"/>
        <v>Same</v>
      </c>
      <c r="F1090" s="6" t="s">
        <v>1983</v>
      </c>
      <c r="G1090">
        <v>9.5</v>
      </c>
      <c r="H1090" s="2" t="s">
        <v>1068</v>
      </c>
      <c r="I1090" s="4">
        <f>[1]Sheet1!I1090</f>
        <v>280</v>
      </c>
      <c r="J1090" s="3" t="str">
        <f t="shared" ref="J1090:J1153" si="35">C1090 &amp; "_A1C1.webp"</f>
        <v>4102_A1C1.webp</v>
      </c>
      <c r="K1090" s="5">
        <f>Sheet4!E1090</f>
        <v>8</v>
      </c>
      <c r="L1090" s="5"/>
      <c r="M1090" s="4"/>
    </row>
    <row r="1091" spans="1:13" x14ac:dyDescent="0.25">
      <c r="A1091" t="s">
        <v>2685</v>
      </c>
      <c r="B1091" t="s">
        <v>4242</v>
      </c>
      <c r="C1091" s="25">
        <v>4103</v>
      </c>
      <c r="D1091" s="28">
        <v>4103</v>
      </c>
      <c r="E1091" s="2" t="str">
        <f t="shared" si="34"/>
        <v>Same</v>
      </c>
      <c r="F1091" s="6" t="s">
        <v>1983</v>
      </c>
      <c r="G1091">
        <v>9.5</v>
      </c>
      <c r="H1091" s="2" t="s">
        <v>1069</v>
      </c>
      <c r="I1091" s="4">
        <f>[1]Sheet1!I1091</f>
        <v>115</v>
      </c>
      <c r="J1091" s="3" t="str">
        <f t="shared" si="35"/>
        <v>4103_A1C1.webp</v>
      </c>
      <c r="K1091" s="5">
        <f>Sheet4!E1091</f>
        <v>8</v>
      </c>
      <c r="L1091" s="5"/>
      <c r="M1091" s="4"/>
    </row>
    <row r="1092" spans="1:13" x14ac:dyDescent="0.25">
      <c r="A1092" t="s">
        <v>2685</v>
      </c>
      <c r="B1092" t="s">
        <v>4222</v>
      </c>
      <c r="C1092" s="25">
        <v>4104</v>
      </c>
      <c r="D1092" s="28">
        <v>4104</v>
      </c>
      <c r="E1092" s="2" t="str">
        <f t="shared" si="34"/>
        <v>Same</v>
      </c>
      <c r="F1092" s="6" t="s">
        <v>1983</v>
      </c>
      <c r="G1092">
        <v>9.5</v>
      </c>
      <c r="H1092" s="2" t="s">
        <v>1070</v>
      </c>
      <c r="I1092" s="4">
        <f>[1]Sheet1!I1092</f>
        <v>296</v>
      </c>
      <c r="J1092" s="3" t="str">
        <f t="shared" si="35"/>
        <v>4104_A1C1.webp</v>
      </c>
      <c r="K1092" s="5">
        <f>Sheet4!E1092</f>
        <v>8</v>
      </c>
      <c r="L1092" s="5"/>
      <c r="M1092" s="4"/>
    </row>
    <row r="1093" spans="1:13" x14ac:dyDescent="0.25">
      <c r="A1093" t="s">
        <v>2685</v>
      </c>
      <c r="B1093" t="s">
        <v>4242</v>
      </c>
      <c r="C1093" s="25">
        <v>4105</v>
      </c>
      <c r="D1093" s="28">
        <v>4105</v>
      </c>
      <c r="E1093" s="2" t="str">
        <f t="shared" si="34"/>
        <v>Same</v>
      </c>
      <c r="F1093" s="6" t="s">
        <v>1983</v>
      </c>
      <c r="G1093">
        <v>9.5</v>
      </c>
      <c r="H1093" s="2" t="s">
        <v>1071</v>
      </c>
      <c r="I1093" s="4">
        <f>[1]Sheet1!I1093</f>
        <v>94</v>
      </c>
      <c r="J1093" s="3" t="str">
        <f t="shared" si="35"/>
        <v>4105_A1C1.webp</v>
      </c>
      <c r="K1093" s="5">
        <f>Sheet4!E1093</f>
        <v>8</v>
      </c>
      <c r="L1093" s="5"/>
      <c r="M1093" s="4"/>
    </row>
    <row r="1094" spans="1:13" x14ac:dyDescent="0.25">
      <c r="A1094" t="s">
        <v>2685</v>
      </c>
      <c r="B1094" t="s">
        <v>4242</v>
      </c>
      <c r="C1094" s="25">
        <v>4106</v>
      </c>
      <c r="D1094" s="28">
        <v>4106</v>
      </c>
      <c r="E1094" s="2" t="str">
        <f t="shared" si="34"/>
        <v>Same</v>
      </c>
      <c r="F1094" s="6" t="s">
        <v>1983</v>
      </c>
      <c r="G1094">
        <v>9.5</v>
      </c>
      <c r="H1094" s="2" t="s">
        <v>1072</v>
      </c>
      <c r="I1094" s="4">
        <f>[1]Sheet1!I1094</f>
        <v>542</v>
      </c>
      <c r="J1094" s="3" t="str">
        <f t="shared" si="35"/>
        <v>4106_A1C1.webp</v>
      </c>
      <c r="K1094" s="5">
        <f>Sheet4!E1094</f>
        <v>8</v>
      </c>
      <c r="L1094" s="5"/>
      <c r="M1094" s="4"/>
    </row>
    <row r="1095" spans="1:13" x14ac:dyDescent="0.25">
      <c r="A1095" t="s">
        <v>2685</v>
      </c>
      <c r="B1095" t="s">
        <v>4207</v>
      </c>
      <c r="C1095" s="25">
        <v>4132</v>
      </c>
      <c r="D1095" s="28">
        <v>4132</v>
      </c>
      <c r="E1095" s="2" t="str">
        <f t="shared" ref="E1095:E1158" si="36">IF(C1095=D1095, "Same","New")</f>
        <v>Same</v>
      </c>
      <c r="F1095" s="2" t="s">
        <v>5399</v>
      </c>
      <c r="H1095" s="2" t="s">
        <v>5398</v>
      </c>
      <c r="I1095" s="4">
        <f>[1]Sheet1!I1095</f>
        <v>308</v>
      </c>
      <c r="J1095" s="3" t="str">
        <f t="shared" si="35"/>
        <v>4132_A1C1.webp</v>
      </c>
      <c r="K1095" s="5">
        <f>Sheet4!E1095</f>
        <v>24</v>
      </c>
      <c r="L1095" s="5" t="s">
        <v>5278</v>
      </c>
      <c r="M1095" s="4"/>
    </row>
    <row r="1096" spans="1:13" x14ac:dyDescent="0.25">
      <c r="A1096" t="s">
        <v>2685</v>
      </c>
      <c r="B1096" t="s">
        <v>4211</v>
      </c>
      <c r="C1096" s="25">
        <v>4134</v>
      </c>
      <c r="D1096" s="28">
        <v>4134</v>
      </c>
      <c r="E1096" s="2" t="str">
        <f t="shared" si="36"/>
        <v>Same</v>
      </c>
      <c r="F1096" s="6" t="s">
        <v>1874</v>
      </c>
      <c r="G1096">
        <v>22.95</v>
      </c>
      <c r="H1096" s="2" t="s">
        <v>1073</v>
      </c>
      <c r="I1096" s="4">
        <f>[1]Sheet1!I1096</f>
        <v>0</v>
      </c>
      <c r="J1096" s="3" t="str">
        <f t="shared" si="35"/>
        <v>4134_A1C1.webp</v>
      </c>
      <c r="K1096" s="5">
        <f>Sheet4!E1096</f>
        <v>24</v>
      </c>
      <c r="L1096" s="5" t="s">
        <v>5278</v>
      </c>
      <c r="M1096" s="4"/>
    </row>
    <row r="1097" spans="1:13" x14ac:dyDescent="0.25">
      <c r="A1097" t="s">
        <v>2633</v>
      </c>
      <c r="B1097" t="s">
        <v>2634</v>
      </c>
      <c r="C1097" s="25">
        <v>4135</v>
      </c>
      <c r="D1097" s="28">
        <v>4135</v>
      </c>
      <c r="E1097" s="2" t="str">
        <f t="shared" si="36"/>
        <v>Same</v>
      </c>
      <c r="F1097" s="6" t="s">
        <v>1849</v>
      </c>
      <c r="G1097" s="3">
        <v>42.95</v>
      </c>
      <c r="H1097" s="2" t="s">
        <v>1074</v>
      </c>
      <c r="I1097" s="4">
        <f>[1]Sheet1!I1097</f>
        <v>0</v>
      </c>
      <c r="J1097" s="3" t="str">
        <f t="shared" si="35"/>
        <v>4135_A1C1.webp</v>
      </c>
      <c r="K1097" s="5">
        <f>Sheet4!E1097</f>
        <v>12</v>
      </c>
      <c r="L1097" s="5"/>
      <c r="M1097" s="4"/>
    </row>
    <row r="1098" spans="1:13" x14ac:dyDescent="0.25">
      <c r="A1098" t="s">
        <v>3258</v>
      </c>
      <c r="B1098" t="s">
        <v>3879</v>
      </c>
      <c r="C1098" s="28">
        <v>4142</v>
      </c>
      <c r="D1098" s="28">
        <v>4142</v>
      </c>
      <c r="E1098" s="2" t="str">
        <f t="shared" si="36"/>
        <v>Same</v>
      </c>
      <c r="F1098" s="2" t="s">
        <v>1857</v>
      </c>
      <c r="H1098" s="2" t="s">
        <v>5409</v>
      </c>
      <c r="I1098" s="4">
        <f>[1]Sheet1!I1098</f>
        <v>431</v>
      </c>
      <c r="J1098" s="3" t="str">
        <f t="shared" si="35"/>
        <v>4142_A1C1.webp</v>
      </c>
      <c r="K1098" s="5">
        <f>Sheet4!E1098</f>
        <v>24</v>
      </c>
      <c r="L1098" s="5" t="s">
        <v>5278</v>
      </c>
      <c r="M1098" s="4"/>
    </row>
    <row r="1099" spans="1:13" x14ac:dyDescent="0.25">
      <c r="A1099" t="s">
        <v>3365</v>
      </c>
      <c r="B1099" t="s">
        <v>5269</v>
      </c>
      <c r="C1099" s="25">
        <v>4162</v>
      </c>
      <c r="D1099" s="28">
        <v>4162</v>
      </c>
      <c r="E1099" s="2" t="str">
        <f t="shared" si="36"/>
        <v>Same</v>
      </c>
      <c r="F1099" s="6" t="s">
        <v>1849</v>
      </c>
      <c r="H1099" s="2" t="s">
        <v>1075</v>
      </c>
      <c r="I1099" s="4">
        <f>[1]Sheet1!I1099</f>
        <v>4</v>
      </c>
      <c r="J1099" s="3" t="str">
        <f t="shared" si="35"/>
        <v>4162_A1C1.webp</v>
      </c>
      <c r="K1099" s="5">
        <f>Sheet4!E1099</f>
        <v>25</v>
      </c>
      <c r="L1099" s="5" t="s">
        <v>5278</v>
      </c>
      <c r="M1099" s="4"/>
    </row>
    <row r="1100" spans="1:13" x14ac:dyDescent="0.25">
      <c r="A1100" t="s">
        <v>3365</v>
      </c>
      <c r="B1100" t="s">
        <v>5268</v>
      </c>
      <c r="C1100" s="25">
        <v>4165</v>
      </c>
      <c r="D1100" s="28">
        <v>4165</v>
      </c>
      <c r="E1100" s="2" t="str">
        <f t="shared" si="36"/>
        <v>Same</v>
      </c>
      <c r="F1100" s="6" t="s">
        <v>1963</v>
      </c>
      <c r="H1100" s="2" t="s">
        <v>1076</v>
      </c>
      <c r="I1100" s="4">
        <f>[1]Sheet1!I1100</f>
        <v>287</v>
      </c>
      <c r="J1100" s="3" t="str">
        <f t="shared" si="35"/>
        <v>4165_A1C1.webp</v>
      </c>
      <c r="K1100" s="5">
        <f>Sheet4!E1100</f>
        <v>24</v>
      </c>
      <c r="L1100" s="5" t="s">
        <v>5278</v>
      </c>
      <c r="M1100" s="4"/>
    </row>
    <row r="1101" spans="1:13" x14ac:dyDescent="0.25">
      <c r="A1101" t="s">
        <v>2685</v>
      </c>
      <c r="B1101" t="s">
        <v>4254</v>
      </c>
      <c r="C1101" s="25">
        <v>4166</v>
      </c>
      <c r="D1101" s="28">
        <v>4166</v>
      </c>
      <c r="E1101" s="2" t="str">
        <f t="shared" si="36"/>
        <v>Same</v>
      </c>
      <c r="F1101" s="6" t="s">
        <v>1984</v>
      </c>
      <c r="G1101" s="3">
        <v>10.95</v>
      </c>
      <c r="H1101" s="2" t="s">
        <v>1077</v>
      </c>
      <c r="I1101" s="4">
        <f>[1]Sheet1!I1101</f>
        <v>619</v>
      </c>
      <c r="J1101" s="3" t="str">
        <f t="shared" si="35"/>
        <v>4166_A1C1.webp</v>
      </c>
      <c r="K1101" s="5">
        <f>Sheet4!E1101</f>
        <v>4</v>
      </c>
      <c r="L1101" s="5"/>
      <c r="M1101" s="4"/>
    </row>
    <row r="1102" spans="1:13" x14ac:dyDescent="0.25">
      <c r="A1102" t="s">
        <v>3258</v>
      </c>
      <c r="B1102" t="s">
        <v>3879</v>
      </c>
      <c r="C1102" s="25">
        <v>4169</v>
      </c>
      <c r="D1102" s="28">
        <v>4169</v>
      </c>
      <c r="E1102" s="2" t="str">
        <f t="shared" si="36"/>
        <v>Same</v>
      </c>
      <c r="F1102" s="6" t="s">
        <v>1922</v>
      </c>
      <c r="G1102" s="3">
        <v>41.95</v>
      </c>
      <c r="H1102" s="2" t="s">
        <v>1078</v>
      </c>
      <c r="I1102" s="4">
        <f>[1]Sheet1!I1102</f>
        <v>296</v>
      </c>
      <c r="J1102" s="3" t="str">
        <f t="shared" si="35"/>
        <v>4169_A1C1.webp</v>
      </c>
      <c r="K1102" s="5">
        <f>Sheet4!E1102</f>
        <v>12</v>
      </c>
      <c r="L1102" s="5"/>
      <c r="M1102" s="4"/>
    </row>
    <row r="1103" spans="1:13" x14ac:dyDescent="0.25">
      <c r="A1103" t="s">
        <v>3365</v>
      </c>
      <c r="B1103" t="s">
        <v>4260</v>
      </c>
      <c r="C1103" s="25">
        <v>4170</v>
      </c>
      <c r="D1103" s="28">
        <v>4170</v>
      </c>
      <c r="E1103" s="2" t="str">
        <f t="shared" si="36"/>
        <v>Same</v>
      </c>
      <c r="F1103" s="6" t="s">
        <v>1859</v>
      </c>
      <c r="G1103" s="3">
        <v>26.95</v>
      </c>
      <c r="H1103" s="2" t="s">
        <v>1079</v>
      </c>
      <c r="I1103" s="4">
        <f>[1]Sheet1!I1103</f>
        <v>513</v>
      </c>
      <c r="J1103" s="3" t="str">
        <f t="shared" si="35"/>
        <v>4170_A1C1.webp</v>
      </c>
      <c r="K1103" s="5">
        <f>Sheet4!E1103</f>
        <v>12</v>
      </c>
      <c r="L1103" s="5"/>
      <c r="M1103" s="4"/>
    </row>
    <row r="1104" spans="1:13" x14ac:dyDescent="0.25">
      <c r="A1104" t="s">
        <v>2685</v>
      </c>
      <c r="B1104" t="s">
        <v>4254</v>
      </c>
      <c r="C1104" s="25">
        <v>4174</v>
      </c>
      <c r="D1104" s="28">
        <v>4174</v>
      </c>
      <c r="E1104" s="2" t="str">
        <f t="shared" si="36"/>
        <v>Same</v>
      </c>
      <c r="F1104" s="6" t="s">
        <v>1984</v>
      </c>
      <c r="G1104" s="3">
        <v>10.95</v>
      </c>
      <c r="H1104" s="2" t="s">
        <v>1080</v>
      </c>
      <c r="I1104" s="4">
        <f>[1]Sheet1!I1104</f>
        <v>1297</v>
      </c>
      <c r="J1104" s="3" t="str">
        <f t="shared" si="35"/>
        <v>4174_A1C1.webp</v>
      </c>
      <c r="K1104" s="5">
        <f>Sheet4!E1104</f>
        <v>4</v>
      </c>
      <c r="L1104" s="5"/>
      <c r="M1104" s="4"/>
    </row>
    <row r="1105" spans="1:13" x14ac:dyDescent="0.25">
      <c r="A1105" t="s">
        <v>2685</v>
      </c>
      <c r="B1105" t="s">
        <v>4254</v>
      </c>
      <c r="C1105" s="25">
        <v>4176</v>
      </c>
      <c r="D1105" s="28">
        <v>4176</v>
      </c>
      <c r="E1105" s="2" t="str">
        <f t="shared" si="36"/>
        <v>Same</v>
      </c>
      <c r="F1105" s="6" t="s">
        <v>1984</v>
      </c>
      <c r="G1105" s="3">
        <v>10.95</v>
      </c>
      <c r="H1105" s="2" t="s">
        <v>1081</v>
      </c>
      <c r="I1105" s="4">
        <f>[1]Sheet1!I1105</f>
        <v>2530</v>
      </c>
      <c r="J1105" s="3" t="str">
        <f t="shared" si="35"/>
        <v>4176_A1C1.webp</v>
      </c>
      <c r="K1105" s="5">
        <f>Sheet4!E1105</f>
        <v>4</v>
      </c>
      <c r="L1105" s="5"/>
      <c r="M1105" s="4"/>
    </row>
    <row r="1106" spans="1:13" x14ac:dyDescent="0.25">
      <c r="A1106" t="s">
        <v>2685</v>
      </c>
      <c r="B1106" t="s">
        <v>4254</v>
      </c>
      <c r="C1106" s="25">
        <v>4178</v>
      </c>
      <c r="D1106" s="28">
        <v>4178</v>
      </c>
      <c r="E1106" s="2" t="str">
        <f t="shared" si="36"/>
        <v>Same</v>
      </c>
      <c r="F1106" s="6" t="s">
        <v>1984</v>
      </c>
      <c r="G1106" s="3">
        <v>10.95</v>
      </c>
      <c r="H1106" s="2" t="s">
        <v>1082</v>
      </c>
      <c r="I1106" s="4">
        <f>[1]Sheet1!I1106</f>
        <v>1710</v>
      </c>
      <c r="J1106" s="3" t="str">
        <f t="shared" si="35"/>
        <v>4178_A1C1.webp</v>
      </c>
      <c r="K1106" s="5">
        <f>Sheet4!E1106</f>
        <v>4</v>
      </c>
      <c r="L1106" s="5"/>
      <c r="M1106" s="4"/>
    </row>
    <row r="1107" spans="1:13" x14ac:dyDescent="0.25">
      <c r="A1107" t="s">
        <v>3365</v>
      </c>
      <c r="B1107" t="s">
        <v>4266</v>
      </c>
      <c r="C1107" s="25">
        <v>4231</v>
      </c>
      <c r="D1107" s="28">
        <v>4231</v>
      </c>
      <c r="E1107" s="2" t="str">
        <f t="shared" si="36"/>
        <v>Same</v>
      </c>
      <c r="F1107" s="6" t="s">
        <v>1985</v>
      </c>
      <c r="G1107" s="3">
        <v>21.95</v>
      </c>
      <c r="H1107" s="2" t="s">
        <v>1083</v>
      </c>
      <c r="I1107" s="4">
        <f>[1]Sheet1!I1107</f>
        <v>99</v>
      </c>
      <c r="J1107" s="3" t="str">
        <f t="shared" si="35"/>
        <v>4231_A1C1.webp</v>
      </c>
      <c r="K1107" s="5">
        <f>Sheet4!E1107</f>
        <v>12</v>
      </c>
      <c r="L1107" s="5"/>
      <c r="M1107" s="4"/>
    </row>
    <row r="1108" spans="1:13" x14ac:dyDescent="0.25">
      <c r="A1108" t="s">
        <v>2207</v>
      </c>
      <c r="B1108" t="s">
        <v>3959</v>
      </c>
      <c r="C1108" s="25">
        <v>4240</v>
      </c>
      <c r="D1108" s="28">
        <v>4240</v>
      </c>
      <c r="E1108" s="2" t="str">
        <f t="shared" si="36"/>
        <v>Same</v>
      </c>
      <c r="F1108" s="6" t="s">
        <v>1931</v>
      </c>
      <c r="G1108" s="3">
        <v>10.95</v>
      </c>
      <c r="H1108" s="2" t="s">
        <v>1084</v>
      </c>
      <c r="I1108" s="4">
        <f>[1]Sheet1!I1108</f>
        <v>734</v>
      </c>
      <c r="J1108" s="3" t="str">
        <f t="shared" si="35"/>
        <v>4240_A1C1.webp</v>
      </c>
      <c r="K1108" s="5">
        <f>Sheet4!E1108</f>
        <v>6</v>
      </c>
      <c r="L1108" s="5" t="s">
        <v>5278</v>
      </c>
      <c r="M1108" s="4"/>
    </row>
    <row r="1109" spans="1:13" x14ac:dyDescent="0.25">
      <c r="A1109" t="s">
        <v>2207</v>
      </c>
      <c r="B1109" t="s">
        <v>3959</v>
      </c>
      <c r="C1109" s="25">
        <v>4241</v>
      </c>
      <c r="D1109" s="28">
        <v>4241</v>
      </c>
      <c r="E1109" s="2" t="str">
        <f t="shared" si="36"/>
        <v>Same</v>
      </c>
      <c r="F1109" s="6" t="s">
        <v>1931</v>
      </c>
      <c r="G1109" s="3">
        <v>10.95</v>
      </c>
      <c r="H1109" s="2" t="s">
        <v>1085</v>
      </c>
      <c r="I1109" s="4">
        <f>[1]Sheet1!I1109</f>
        <v>286</v>
      </c>
      <c r="J1109" s="3" t="str">
        <f t="shared" si="35"/>
        <v>4241_A1C1.webp</v>
      </c>
      <c r="K1109" s="5">
        <f>Sheet4!E1109</f>
        <v>6</v>
      </c>
      <c r="L1109" s="5" t="s">
        <v>5278</v>
      </c>
      <c r="M1109" s="4"/>
    </row>
    <row r="1110" spans="1:13" x14ac:dyDescent="0.25">
      <c r="A1110" t="s">
        <v>2207</v>
      </c>
      <c r="B1110" t="s">
        <v>3959</v>
      </c>
      <c r="C1110" s="25">
        <v>4242</v>
      </c>
      <c r="D1110" s="28">
        <v>4242</v>
      </c>
      <c r="E1110" s="2" t="str">
        <f t="shared" si="36"/>
        <v>Same</v>
      </c>
      <c r="F1110" s="6" t="s">
        <v>1931</v>
      </c>
      <c r="G1110" s="3">
        <v>10.95</v>
      </c>
      <c r="H1110" s="2" t="s">
        <v>1086</v>
      </c>
      <c r="I1110" s="4">
        <f>[1]Sheet1!I1110</f>
        <v>303</v>
      </c>
      <c r="J1110" s="3" t="str">
        <f t="shared" si="35"/>
        <v>4242_A1C1.webp</v>
      </c>
      <c r="K1110" s="5">
        <f>Sheet4!E1110</f>
        <v>6</v>
      </c>
      <c r="L1110" s="5" t="s">
        <v>5278</v>
      </c>
      <c r="M1110" s="4"/>
    </row>
    <row r="1111" spans="1:13" x14ac:dyDescent="0.25">
      <c r="A1111" t="s">
        <v>2207</v>
      </c>
      <c r="B1111" t="s">
        <v>3959</v>
      </c>
      <c r="C1111" s="25">
        <v>4243</v>
      </c>
      <c r="D1111" s="28">
        <v>4243</v>
      </c>
      <c r="E1111" s="2" t="str">
        <f t="shared" si="36"/>
        <v>Same</v>
      </c>
      <c r="F1111" s="6" t="s">
        <v>1931</v>
      </c>
      <c r="G1111" s="3">
        <v>10.95</v>
      </c>
      <c r="H1111" s="2" t="s">
        <v>1087</v>
      </c>
      <c r="I1111" s="4">
        <f>[1]Sheet1!I1111</f>
        <v>421</v>
      </c>
      <c r="J1111" s="3" t="str">
        <f t="shared" si="35"/>
        <v>4243_A1C1.webp</v>
      </c>
      <c r="K1111" s="5">
        <f>Sheet4!E1111</f>
        <v>6</v>
      </c>
      <c r="L1111" s="5"/>
      <c r="M1111" s="4"/>
    </row>
    <row r="1112" spans="1:13" x14ac:dyDescent="0.25">
      <c r="A1112" t="s">
        <v>2207</v>
      </c>
      <c r="B1112" t="s">
        <v>3959</v>
      </c>
      <c r="C1112" s="25">
        <v>4244</v>
      </c>
      <c r="D1112" s="28">
        <v>4244</v>
      </c>
      <c r="E1112" s="2" t="str">
        <f t="shared" si="36"/>
        <v>Same</v>
      </c>
      <c r="F1112" s="6" t="s">
        <v>1931</v>
      </c>
      <c r="G1112" s="3">
        <v>10.95</v>
      </c>
      <c r="H1112" s="2" t="s">
        <v>1088</v>
      </c>
      <c r="I1112" s="4">
        <f>[1]Sheet1!I1112</f>
        <v>14</v>
      </c>
      <c r="J1112" s="3" t="str">
        <f t="shared" si="35"/>
        <v>4244_A1C1.webp</v>
      </c>
      <c r="K1112" s="5">
        <f>Sheet4!E1112</f>
        <v>6</v>
      </c>
      <c r="L1112" s="5"/>
      <c r="M1112" s="4"/>
    </row>
    <row r="1113" spans="1:13" x14ac:dyDescent="0.25">
      <c r="A1113" t="s">
        <v>2633</v>
      </c>
      <c r="B1113" t="s">
        <v>3572</v>
      </c>
      <c r="C1113" s="25">
        <v>4280</v>
      </c>
      <c r="D1113" s="28">
        <v>4280</v>
      </c>
      <c r="E1113" s="2" t="str">
        <f t="shared" si="36"/>
        <v>Same</v>
      </c>
      <c r="F1113" s="6" t="s">
        <v>1986</v>
      </c>
      <c r="G1113" s="3">
        <v>23.95</v>
      </c>
      <c r="H1113" s="2" t="s">
        <v>1089</v>
      </c>
      <c r="I1113" s="4">
        <f>[1]Sheet1!I1113</f>
        <v>638</v>
      </c>
      <c r="J1113" s="3" t="str">
        <f t="shared" si="35"/>
        <v>4280_A1C1.webp</v>
      </c>
      <c r="K1113" s="5">
        <f>Sheet4!E1113</f>
        <v>12</v>
      </c>
      <c r="L1113" s="5" t="s">
        <v>5278</v>
      </c>
      <c r="M1113" s="4"/>
    </row>
    <row r="1114" spans="1:13" x14ac:dyDescent="0.25">
      <c r="A1114" t="s">
        <v>2633</v>
      </c>
      <c r="B1114" t="s">
        <v>3572</v>
      </c>
      <c r="C1114" s="25">
        <v>4281</v>
      </c>
      <c r="D1114" s="28">
        <v>4281</v>
      </c>
      <c r="E1114" s="2" t="str">
        <f t="shared" si="36"/>
        <v>Same</v>
      </c>
      <c r="F1114" s="6" t="s">
        <v>1986</v>
      </c>
      <c r="G1114" s="3">
        <v>23.95</v>
      </c>
      <c r="H1114" s="2" t="s">
        <v>1090</v>
      </c>
      <c r="I1114" s="4">
        <f>[1]Sheet1!I1114</f>
        <v>0</v>
      </c>
      <c r="J1114" s="3" t="str">
        <f t="shared" si="35"/>
        <v>4281_A1C1.webp</v>
      </c>
      <c r="K1114" s="5">
        <f>Sheet4!E1114</f>
        <v>12</v>
      </c>
      <c r="L1114" s="5" t="s">
        <v>5278</v>
      </c>
      <c r="M1114" s="4"/>
    </row>
    <row r="1115" spans="1:13" x14ac:dyDescent="0.25">
      <c r="A1115" t="s">
        <v>2633</v>
      </c>
      <c r="B1115" t="s">
        <v>3572</v>
      </c>
      <c r="C1115" s="25">
        <v>4288</v>
      </c>
      <c r="D1115" s="28">
        <v>4288</v>
      </c>
      <c r="E1115" s="2" t="str">
        <f t="shared" si="36"/>
        <v>Same</v>
      </c>
      <c r="F1115" s="6" t="s">
        <v>1986</v>
      </c>
      <c r="G1115" s="3">
        <v>23.95</v>
      </c>
      <c r="H1115" s="2" t="s">
        <v>1091</v>
      </c>
      <c r="I1115" s="4">
        <f>[1]Sheet1!I1115</f>
        <v>0</v>
      </c>
      <c r="J1115" s="3" t="str">
        <f t="shared" si="35"/>
        <v>4288_A1C1.webp</v>
      </c>
      <c r="K1115" s="5">
        <f>Sheet4!E1115</f>
        <v>12</v>
      </c>
      <c r="L1115" s="5" t="s">
        <v>5278</v>
      </c>
      <c r="M1115" s="4"/>
    </row>
    <row r="1116" spans="1:13" x14ac:dyDescent="0.25">
      <c r="A1116" t="s">
        <v>2685</v>
      </c>
      <c r="B1116" t="s">
        <v>4278</v>
      </c>
      <c r="C1116" s="28">
        <v>4327</v>
      </c>
      <c r="D1116" s="28">
        <v>4327</v>
      </c>
      <c r="E1116" s="2" t="str">
        <f t="shared" si="36"/>
        <v>Same</v>
      </c>
      <c r="F1116" s="2" t="str">
        <f>Sheet4!F1116</f>
        <v>16.9 OZ</v>
      </c>
      <c r="G1116" s="2"/>
      <c r="H1116" s="2" t="str">
        <f>Sheet4!H1116</f>
        <v>GOYA ALOE VERA DRNK WTRMLN FLV</v>
      </c>
      <c r="I1116" s="4">
        <f>[1]Sheet1!I1116</f>
        <v>0</v>
      </c>
      <c r="J1116" s="3" t="str">
        <f t="shared" si="35"/>
        <v>4327_A1C1.webp</v>
      </c>
      <c r="K1116" s="5">
        <f>Sheet4!E1116</f>
        <v>12</v>
      </c>
      <c r="L1116" s="5" t="s">
        <v>5278</v>
      </c>
      <c r="M1116" s="4"/>
    </row>
    <row r="1117" spans="1:13" x14ac:dyDescent="0.25">
      <c r="A1117" t="s">
        <v>2685</v>
      </c>
      <c r="B1117" t="s">
        <v>4278</v>
      </c>
      <c r="C1117" s="25">
        <v>4334</v>
      </c>
      <c r="D1117" s="28">
        <v>4334</v>
      </c>
      <c r="E1117" s="2" t="str">
        <f t="shared" si="36"/>
        <v>Same</v>
      </c>
      <c r="F1117" s="6" t="s">
        <v>1916</v>
      </c>
      <c r="G1117" s="3">
        <v>17.95</v>
      </c>
      <c r="H1117" s="2" t="s">
        <v>1092</v>
      </c>
      <c r="I1117" s="4">
        <f>[1]Sheet1!I1117</f>
        <v>503</v>
      </c>
      <c r="J1117" s="3" t="str">
        <f t="shared" si="35"/>
        <v>4334_A1C1.webp</v>
      </c>
      <c r="K1117" s="5">
        <f>Sheet4!E1117</f>
        <v>12</v>
      </c>
      <c r="L1117" s="5" t="s">
        <v>5278</v>
      </c>
      <c r="M1117" s="4"/>
    </row>
    <row r="1118" spans="1:13" x14ac:dyDescent="0.25">
      <c r="A1118" t="s">
        <v>2685</v>
      </c>
      <c r="B1118" t="s">
        <v>4278</v>
      </c>
      <c r="C1118" s="28">
        <v>4335</v>
      </c>
      <c r="D1118" s="28">
        <v>4335</v>
      </c>
      <c r="E1118" s="2" t="str">
        <f t="shared" si="36"/>
        <v>Same</v>
      </c>
      <c r="F1118" s="6" t="s">
        <v>1916</v>
      </c>
      <c r="G1118" s="3"/>
      <c r="H1118" s="2" t="s">
        <v>1092</v>
      </c>
      <c r="I1118" s="4">
        <f>[1]Sheet1!I1118</f>
        <v>674</v>
      </c>
      <c r="J1118" s="3" t="str">
        <f t="shared" si="35"/>
        <v>4335_A1C1.webp</v>
      </c>
      <c r="K1118" s="5">
        <f>Sheet4!E1118</f>
        <v>12</v>
      </c>
      <c r="L1118" s="5"/>
      <c r="M1118" s="4"/>
    </row>
    <row r="1119" spans="1:13" x14ac:dyDescent="0.25">
      <c r="A1119" t="s">
        <v>3875</v>
      </c>
      <c r="B1119" t="s">
        <v>4281</v>
      </c>
      <c r="C1119" s="25">
        <v>4368</v>
      </c>
      <c r="D1119" s="28">
        <v>4368</v>
      </c>
      <c r="E1119" s="2" t="str">
        <f t="shared" si="36"/>
        <v>Same</v>
      </c>
      <c r="F1119" s="6" t="s">
        <v>1902</v>
      </c>
      <c r="G1119" s="3">
        <v>15.45</v>
      </c>
      <c r="H1119" s="2" t="s">
        <v>1093</v>
      </c>
      <c r="I1119" s="4">
        <f>[1]Sheet1!I1119</f>
        <v>153</v>
      </c>
      <c r="J1119" s="3" t="str">
        <f t="shared" si="35"/>
        <v>4368_A1C1.webp</v>
      </c>
      <c r="K1119" s="5">
        <f>Sheet4!E1119</f>
        <v>6</v>
      </c>
      <c r="L1119" s="5" t="s">
        <v>5278</v>
      </c>
      <c r="M1119" s="4"/>
    </row>
    <row r="1120" spans="1:13" x14ac:dyDescent="0.25">
      <c r="A1120" t="s">
        <v>3875</v>
      </c>
      <c r="B1120" t="s">
        <v>4281</v>
      </c>
      <c r="C1120" s="25">
        <v>4369</v>
      </c>
      <c r="D1120" s="28">
        <v>4369</v>
      </c>
      <c r="E1120" s="2" t="str">
        <f t="shared" si="36"/>
        <v>Same</v>
      </c>
      <c r="F1120" s="6" t="s">
        <v>1902</v>
      </c>
      <c r="G1120" s="3">
        <v>15.45</v>
      </c>
      <c r="H1120" s="2" t="s">
        <v>1094</v>
      </c>
      <c r="I1120" s="4">
        <f>[1]Sheet1!I1120</f>
        <v>932</v>
      </c>
      <c r="J1120" s="3" t="str">
        <f t="shared" si="35"/>
        <v>4369_A1C1.webp</v>
      </c>
      <c r="K1120" s="5">
        <f>Sheet4!E1120</f>
        <v>6</v>
      </c>
      <c r="L1120" s="5" t="s">
        <v>5278</v>
      </c>
      <c r="M1120" s="4"/>
    </row>
    <row r="1121" spans="1:13" x14ac:dyDescent="0.25">
      <c r="A1121" t="s">
        <v>3875</v>
      </c>
      <c r="B1121" t="s">
        <v>4281</v>
      </c>
      <c r="C1121" s="25">
        <v>4370</v>
      </c>
      <c r="D1121" s="28">
        <v>4370</v>
      </c>
      <c r="E1121" s="2" t="str">
        <f t="shared" si="36"/>
        <v>Same</v>
      </c>
      <c r="F1121" s="6" t="s">
        <v>1902</v>
      </c>
      <c r="G1121" s="3">
        <v>15.45</v>
      </c>
      <c r="H1121" s="2" t="s">
        <v>1095</v>
      </c>
      <c r="I1121" s="4">
        <f>[1]Sheet1!I1121</f>
        <v>356</v>
      </c>
      <c r="J1121" s="3" t="str">
        <f t="shared" si="35"/>
        <v>4370_A1C1.webp</v>
      </c>
      <c r="K1121" s="5">
        <f>Sheet4!E1121</f>
        <v>6</v>
      </c>
      <c r="L1121" s="5" t="s">
        <v>5278</v>
      </c>
      <c r="M1121" s="4"/>
    </row>
    <row r="1122" spans="1:13" x14ac:dyDescent="0.25">
      <c r="A1122" t="s">
        <v>3875</v>
      </c>
      <c r="B1122" t="s">
        <v>4281</v>
      </c>
      <c r="C1122" s="25">
        <v>4374</v>
      </c>
      <c r="D1122" s="28">
        <v>4374</v>
      </c>
      <c r="E1122" s="2" t="str">
        <f t="shared" si="36"/>
        <v>Same</v>
      </c>
      <c r="F1122" s="6" t="s">
        <v>1985</v>
      </c>
      <c r="G1122" s="3">
        <v>12.95</v>
      </c>
      <c r="H1122" s="2" t="s">
        <v>1093</v>
      </c>
      <c r="I1122" s="4">
        <f>[1]Sheet1!I1122</f>
        <v>0</v>
      </c>
      <c r="J1122" s="3" t="str">
        <f t="shared" si="35"/>
        <v>4374_A1C1.webp</v>
      </c>
      <c r="K1122" s="5">
        <f>Sheet4!E1122</f>
        <v>12</v>
      </c>
      <c r="L1122" s="5" t="s">
        <v>5278</v>
      </c>
      <c r="M1122" s="4"/>
    </row>
    <row r="1123" spans="1:13" x14ac:dyDescent="0.25">
      <c r="A1123" t="s">
        <v>2685</v>
      </c>
      <c r="B1123" t="s">
        <v>4278</v>
      </c>
      <c r="C1123" s="25">
        <v>4393</v>
      </c>
      <c r="D1123" s="28">
        <v>4393</v>
      </c>
      <c r="E1123" s="2" t="str">
        <f t="shared" si="36"/>
        <v>Same</v>
      </c>
      <c r="F1123" s="6" t="s">
        <v>1987</v>
      </c>
      <c r="G1123" s="3">
        <v>36.75</v>
      </c>
      <c r="H1123" s="2" t="s">
        <v>1096</v>
      </c>
      <c r="I1123" s="4">
        <f>[1]Sheet1!I1123</f>
        <v>309</v>
      </c>
      <c r="J1123" s="3" t="str">
        <f t="shared" si="35"/>
        <v>4393_A1C1.webp</v>
      </c>
      <c r="K1123" s="5">
        <f>Sheet4!E1123</f>
        <v>12</v>
      </c>
      <c r="L1123" s="5"/>
      <c r="M1123" s="4"/>
    </row>
    <row r="1124" spans="1:13" x14ac:dyDescent="0.25">
      <c r="A1124" t="s">
        <v>2685</v>
      </c>
      <c r="B1124" t="s">
        <v>4278</v>
      </c>
      <c r="C1124" s="25">
        <v>4394</v>
      </c>
      <c r="D1124" s="28">
        <v>4394</v>
      </c>
      <c r="E1124" s="2" t="str">
        <f t="shared" si="36"/>
        <v>Same</v>
      </c>
      <c r="F1124" s="6" t="s">
        <v>1987</v>
      </c>
      <c r="G1124" s="3">
        <v>36.75</v>
      </c>
      <c r="H1124" s="2" t="s">
        <v>1097</v>
      </c>
      <c r="I1124" s="4">
        <f>[1]Sheet1!I1124</f>
        <v>262</v>
      </c>
      <c r="J1124" s="3" t="str">
        <f t="shared" si="35"/>
        <v>4394_A1C1.webp</v>
      </c>
      <c r="K1124" s="5">
        <f>Sheet4!E1124</f>
        <v>12</v>
      </c>
      <c r="L1124" s="5"/>
      <c r="M1124" s="4"/>
    </row>
    <row r="1125" spans="1:13" x14ac:dyDescent="0.25">
      <c r="A1125" t="s">
        <v>2685</v>
      </c>
      <c r="B1125" t="s">
        <v>4278</v>
      </c>
      <c r="C1125" s="25">
        <v>4395</v>
      </c>
      <c r="D1125" s="28">
        <v>4395</v>
      </c>
      <c r="E1125" s="2" t="str">
        <f t="shared" si="36"/>
        <v>Same</v>
      </c>
      <c r="F1125" s="6" t="s">
        <v>1916</v>
      </c>
      <c r="G1125" s="3">
        <v>16.95</v>
      </c>
      <c r="H1125" s="2" t="s">
        <v>1098</v>
      </c>
      <c r="I1125" s="4">
        <f>[1]Sheet1!I1125</f>
        <v>1028</v>
      </c>
      <c r="J1125" s="3" t="str">
        <f t="shared" si="35"/>
        <v>4395_A1C1.webp</v>
      </c>
      <c r="K1125" s="5">
        <f>Sheet4!E1125</f>
        <v>12</v>
      </c>
      <c r="L1125" s="5"/>
      <c r="M1125" s="4"/>
    </row>
    <row r="1126" spans="1:13" x14ac:dyDescent="0.25">
      <c r="A1126" t="s">
        <v>2685</v>
      </c>
      <c r="B1126" t="s">
        <v>4278</v>
      </c>
      <c r="C1126" s="25">
        <v>4396</v>
      </c>
      <c r="D1126" s="28">
        <v>4396</v>
      </c>
      <c r="E1126" s="2" t="str">
        <f t="shared" si="36"/>
        <v>Same</v>
      </c>
      <c r="F1126" s="6" t="s">
        <v>1916</v>
      </c>
      <c r="G1126" s="3">
        <v>16.95</v>
      </c>
      <c r="H1126" s="2" t="s">
        <v>1099</v>
      </c>
      <c r="I1126" s="4">
        <f>[1]Sheet1!I1126</f>
        <v>2270</v>
      </c>
      <c r="J1126" s="3" t="str">
        <f t="shared" si="35"/>
        <v>4396_A1C1.webp</v>
      </c>
      <c r="K1126" s="5">
        <f>Sheet4!E1126</f>
        <v>12</v>
      </c>
      <c r="L1126" s="5"/>
      <c r="M1126" s="4"/>
    </row>
    <row r="1127" spans="1:13" x14ac:dyDescent="0.25">
      <c r="A1127" t="s">
        <v>2685</v>
      </c>
      <c r="B1127" t="s">
        <v>4278</v>
      </c>
      <c r="C1127" s="25">
        <v>4397</v>
      </c>
      <c r="D1127" s="28">
        <v>4397</v>
      </c>
      <c r="E1127" s="2" t="str">
        <f t="shared" si="36"/>
        <v>Same</v>
      </c>
      <c r="F1127" s="6" t="s">
        <v>1916</v>
      </c>
      <c r="G1127" s="3">
        <v>16.95</v>
      </c>
      <c r="H1127" s="2" t="s">
        <v>1100</v>
      </c>
      <c r="I1127" s="4">
        <f>[1]Sheet1!I1127</f>
        <v>337</v>
      </c>
      <c r="J1127" s="3" t="str">
        <f t="shared" si="35"/>
        <v>4397_A1C1.webp</v>
      </c>
      <c r="K1127" s="5">
        <f>Sheet4!E1127</f>
        <v>12</v>
      </c>
      <c r="L1127" s="5"/>
      <c r="M1127" s="4"/>
    </row>
    <row r="1128" spans="1:13" x14ac:dyDescent="0.25">
      <c r="A1128" t="s">
        <v>2685</v>
      </c>
      <c r="B1128" t="s">
        <v>4278</v>
      </c>
      <c r="C1128" s="25">
        <v>4398</v>
      </c>
      <c r="D1128" s="28">
        <v>4398</v>
      </c>
      <c r="E1128" s="2" t="str">
        <f t="shared" si="36"/>
        <v>Same</v>
      </c>
      <c r="F1128" s="6" t="s">
        <v>1916</v>
      </c>
      <c r="G1128" s="3">
        <v>16.95</v>
      </c>
      <c r="H1128" s="2" t="s">
        <v>1101</v>
      </c>
      <c r="I1128" s="4">
        <f>[1]Sheet1!I1128</f>
        <v>858</v>
      </c>
      <c r="J1128" s="3" t="str">
        <f t="shared" si="35"/>
        <v>4398_A1C1.webp</v>
      </c>
      <c r="K1128" s="5">
        <f>Sheet4!E1128</f>
        <v>12</v>
      </c>
      <c r="L1128" s="5"/>
      <c r="M1128" s="4"/>
    </row>
    <row r="1129" spans="1:13" x14ac:dyDescent="0.25">
      <c r="A1129" t="s">
        <v>2685</v>
      </c>
      <c r="B1129" t="s">
        <v>4278</v>
      </c>
      <c r="C1129" s="25">
        <v>4402</v>
      </c>
      <c r="D1129" s="28">
        <v>4402</v>
      </c>
      <c r="E1129" s="2" t="str">
        <f t="shared" si="36"/>
        <v>Same</v>
      </c>
      <c r="F1129" s="6" t="s">
        <v>1987</v>
      </c>
      <c r="G1129" s="3">
        <v>36.75</v>
      </c>
      <c r="H1129" s="2" t="s">
        <v>1102</v>
      </c>
      <c r="I1129" s="4">
        <f>[1]Sheet1!I1129</f>
        <v>172</v>
      </c>
      <c r="J1129" s="3" t="str">
        <f t="shared" si="35"/>
        <v>4402_A1C1.webp</v>
      </c>
      <c r="K1129" s="5">
        <f>Sheet4!E1129</f>
        <v>12</v>
      </c>
      <c r="L1129" s="5"/>
      <c r="M1129" s="4"/>
    </row>
    <row r="1130" spans="1:13" x14ac:dyDescent="0.25">
      <c r="A1130" t="s">
        <v>3875</v>
      </c>
      <c r="B1130" t="s">
        <v>4281</v>
      </c>
      <c r="C1130" s="25">
        <v>4408</v>
      </c>
      <c r="D1130" s="28">
        <v>4408</v>
      </c>
      <c r="E1130" s="2" t="str">
        <f t="shared" si="36"/>
        <v>Same</v>
      </c>
      <c r="F1130" s="6" t="s">
        <v>1985</v>
      </c>
      <c r="G1130" s="3">
        <v>12.95</v>
      </c>
      <c r="H1130" s="2" t="s">
        <v>1094</v>
      </c>
      <c r="I1130" s="4">
        <f>[1]Sheet1!I1130</f>
        <v>0</v>
      </c>
      <c r="J1130" s="3" t="str">
        <f t="shared" si="35"/>
        <v>4408_A1C1.webp</v>
      </c>
      <c r="K1130" s="5">
        <f>Sheet4!E1130</f>
        <v>12</v>
      </c>
      <c r="L1130" s="5" t="s">
        <v>5278</v>
      </c>
      <c r="M1130" s="4"/>
    </row>
    <row r="1131" spans="1:13" x14ac:dyDescent="0.25">
      <c r="A1131" t="s">
        <v>3875</v>
      </c>
      <c r="B1131" t="s">
        <v>4281</v>
      </c>
      <c r="C1131" s="25">
        <v>4409</v>
      </c>
      <c r="D1131" s="28">
        <v>4409</v>
      </c>
      <c r="E1131" s="2" t="str">
        <f t="shared" si="36"/>
        <v>Same</v>
      </c>
      <c r="F1131" s="6" t="s">
        <v>1985</v>
      </c>
      <c r="G1131" s="3">
        <v>12.95</v>
      </c>
      <c r="H1131" s="2" t="s">
        <v>1095</v>
      </c>
      <c r="I1131" s="4">
        <f>[1]Sheet1!I1131</f>
        <v>0</v>
      </c>
      <c r="J1131" s="3" t="str">
        <f t="shared" si="35"/>
        <v>4409_A1C1.webp</v>
      </c>
      <c r="K1131" s="5">
        <f>Sheet4!E1131</f>
        <v>12</v>
      </c>
      <c r="L1131" s="5" t="s">
        <v>5278</v>
      </c>
      <c r="M1131" s="4"/>
    </row>
    <row r="1132" spans="1:13" x14ac:dyDescent="0.25">
      <c r="A1132" t="s">
        <v>3380</v>
      </c>
      <c r="B1132" t="s">
        <v>3381</v>
      </c>
      <c r="C1132" s="25">
        <v>4497</v>
      </c>
      <c r="D1132" s="28">
        <v>4497</v>
      </c>
      <c r="E1132" s="2" t="str">
        <f t="shared" si="36"/>
        <v>Same</v>
      </c>
      <c r="F1132" s="6" t="s">
        <v>1849</v>
      </c>
      <c r="G1132" s="3">
        <v>29.5</v>
      </c>
      <c r="H1132" s="2" t="s">
        <v>1103</v>
      </c>
      <c r="I1132" s="4">
        <f>[1]Sheet1!I1132</f>
        <v>72</v>
      </c>
      <c r="J1132" s="3" t="str">
        <f t="shared" si="35"/>
        <v>4497_A1C1.webp</v>
      </c>
      <c r="K1132" s="5">
        <f>Sheet4!E1132</f>
        <v>20</v>
      </c>
      <c r="L1132" s="5"/>
      <c r="M1132" s="4"/>
    </row>
    <row r="1133" spans="1:13" x14ac:dyDescent="0.25">
      <c r="A1133" t="s">
        <v>3380</v>
      </c>
      <c r="B1133" t="s">
        <v>3381</v>
      </c>
      <c r="C1133" s="25">
        <v>4498</v>
      </c>
      <c r="D1133" s="28">
        <v>4498</v>
      </c>
      <c r="E1133" s="2" t="str">
        <f t="shared" si="36"/>
        <v>Same</v>
      </c>
      <c r="F1133" s="6" t="s">
        <v>1849</v>
      </c>
      <c r="G1133" s="3">
        <v>29.5</v>
      </c>
      <c r="H1133" s="2" t="s">
        <v>1104</v>
      </c>
      <c r="I1133" s="4">
        <f>[1]Sheet1!I1133</f>
        <v>50</v>
      </c>
      <c r="J1133" s="3" t="str">
        <f t="shared" si="35"/>
        <v>4498_A1C1.webp</v>
      </c>
      <c r="K1133" s="5">
        <f>Sheet4!E1133</f>
        <v>20</v>
      </c>
      <c r="L1133" s="5"/>
      <c r="M1133" s="4"/>
    </row>
    <row r="1134" spans="1:13" x14ac:dyDescent="0.25">
      <c r="A1134" t="s">
        <v>3380</v>
      </c>
      <c r="B1134" t="s">
        <v>3381</v>
      </c>
      <c r="C1134" s="25">
        <v>4499</v>
      </c>
      <c r="D1134" s="28">
        <v>4499</v>
      </c>
      <c r="E1134" s="2" t="str">
        <f t="shared" si="36"/>
        <v>Same</v>
      </c>
      <c r="F1134" s="6" t="s">
        <v>1849</v>
      </c>
      <c r="G1134" s="3">
        <v>29.5</v>
      </c>
      <c r="H1134" s="2" t="s">
        <v>1105</v>
      </c>
      <c r="I1134" s="4">
        <f>[1]Sheet1!I1134</f>
        <v>117</v>
      </c>
      <c r="J1134" s="3" t="str">
        <f t="shared" si="35"/>
        <v>4499_A1C1.webp</v>
      </c>
      <c r="K1134" s="5">
        <f>Sheet4!E1134</f>
        <v>20</v>
      </c>
      <c r="L1134" s="5"/>
      <c r="M1134" s="4"/>
    </row>
    <row r="1135" spans="1:13" x14ac:dyDescent="0.25">
      <c r="A1135" t="s">
        <v>3380</v>
      </c>
      <c r="B1135" t="s">
        <v>3381</v>
      </c>
      <c r="C1135" s="25">
        <v>4505</v>
      </c>
      <c r="D1135" s="28">
        <v>4505</v>
      </c>
      <c r="E1135" s="2" t="str">
        <f t="shared" si="36"/>
        <v>Same</v>
      </c>
      <c r="F1135" s="6" t="s">
        <v>1866</v>
      </c>
      <c r="G1135" s="3">
        <v>20.95</v>
      </c>
      <c r="H1135" s="2" t="s">
        <v>1106</v>
      </c>
      <c r="I1135" s="4">
        <f>[1]Sheet1!I1135</f>
        <v>0</v>
      </c>
      <c r="J1135" s="3" t="str">
        <f t="shared" si="35"/>
        <v>4505_A1C1.webp</v>
      </c>
      <c r="K1135" s="5">
        <f>Sheet4!E1135</f>
        <v>20</v>
      </c>
      <c r="L1135" s="5"/>
      <c r="M1135" s="4"/>
    </row>
    <row r="1136" spans="1:13" x14ac:dyDescent="0.25">
      <c r="A1136" t="s">
        <v>3380</v>
      </c>
      <c r="B1136" t="s">
        <v>3381</v>
      </c>
      <c r="C1136" s="25">
        <v>4506</v>
      </c>
      <c r="D1136" s="28">
        <v>4506</v>
      </c>
      <c r="E1136" s="2" t="str">
        <f t="shared" si="36"/>
        <v>Same</v>
      </c>
      <c r="F1136" s="6" t="s">
        <v>1866</v>
      </c>
      <c r="G1136">
        <v>12.95</v>
      </c>
      <c r="H1136" s="2" t="s">
        <v>1107</v>
      </c>
      <c r="I1136" s="4">
        <f>[1]Sheet1!I1136</f>
        <v>25</v>
      </c>
      <c r="J1136" s="3" t="str">
        <f t="shared" si="35"/>
        <v>4506_A1C1.webp</v>
      </c>
      <c r="K1136" s="5">
        <f>Sheet4!E1136</f>
        <v>20</v>
      </c>
      <c r="L1136" s="5"/>
      <c r="M1136" s="4"/>
    </row>
    <row r="1137" spans="1:13" x14ac:dyDescent="0.25">
      <c r="A1137" t="s">
        <v>3380</v>
      </c>
      <c r="B1137" t="s">
        <v>3381</v>
      </c>
      <c r="C1137" s="25">
        <v>4507</v>
      </c>
      <c r="D1137" s="28">
        <v>4507</v>
      </c>
      <c r="E1137" s="2" t="str">
        <f t="shared" si="36"/>
        <v>Same</v>
      </c>
      <c r="F1137" s="6" t="s">
        <v>1866</v>
      </c>
      <c r="G1137">
        <v>12.95</v>
      </c>
      <c r="H1137" s="2" t="s">
        <v>1108</v>
      </c>
      <c r="I1137" s="4">
        <f>[1]Sheet1!I1137</f>
        <v>84</v>
      </c>
      <c r="J1137" s="3" t="str">
        <f t="shared" si="35"/>
        <v>4507_A1C1.webp</v>
      </c>
      <c r="K1137" s="5">
        <f>Sheet4!E1137</f>
        <v>20</v>
      </c>
      <c r="L1137" s="5"/>
      <c r="M1137" s="4"/>
    </row>
    <row r="1138" spans="1:13" x14ac:dyDescent="0.25">
      <c r="A1138" t="s">
        <v>3380</v>
      </c>
      <c r="B1138" t="s">
        <v>3381</v>
      </c>
      <c r="C1138" s="25">
        <v>4508</v>
      </c>
      <c r="D1138" s="28">
        <v>4508</v>
      </c>
      <c r="E1138" s="2" t="str">
        <f t="shared" si="36"/>
        <v>Same</v>
      </c>
      <c r="F1138" s="6" t="s">
        <v>1866</v>
      </c>
      <c r="G1138">
        <v>12.95</v>
      </c>
      <c r="H1138" s="2" t="s">
        <v>1109</v>
      </c>
      <c r="I1138" s="4">
        <f>[1]Sheet1!I1138</f>
        <v>63</v>
      </c>
      <c r="J1138" s="3" t="str">
        <f t="shared" si="35"/>
        <v>4508_A1C1.webp</v>
      </c>
      <c r="K1138" s="5">
        <f>Sheet4!E1138</f>
        <v>20</v>
      </c>
      <c r="L1138" s="5"/>
      <c r="M1138" s="4"/>
    </row>
    <row r="1139" spans="1:13" x14ac:dyDescent="0.25">
      <c r="A1139" t="s">
        <v>3380</v>
      </c>
      <c r="B1139" t="s">
        <v>3381</v>
      </c>
      <c r="C1139" s="25">
        <v>4509</v>
      </c>
      <c r="D1139" s="28">
        <v>4509</v>
      </c>
      <c r="E1139" s="2" t="str">
        <f t="shared" si="36"/>
        <v>Same</v>
      </c>
      <c r="F1139" s="6" t="s">
        <v>1866</v>
      </c>
      <c r="G1139">
        <v>12.95</v>
      </c>
      <c r="H1139" s="2" t="s">
        <v>1110</v>
      </c>
      <c r="I1139" s="4">
        <f>[1]Sheet1!I1139</f>
        <v>107</v>
      </c>
      <c r="J1139" s="3" t="str">
        <f t="shared" si="35"/>
        <v>4509_A1C1.webp</v>
      </c>
      <c r="K1139" s="5">
        <f>Sheet4!E1139</f>
        <v>20</v>
      </c>
      <c r="L1139" s="5"/>
      <c r="M1139" s="4"/>
    </row>
    <row r="1140" spans="1:13" x14ac:dyDescent="0.25">
      <c r="A1140" t="s">
        <v>4316</v>
      </c>
      <c r="B1140" t="s">
        <v>4317</v>
      </c>
      <c r="C1140" s="25">
        <v>4536</v>
      </c>
      <c r="D1140" s="28">
        <v>4536</v>
      </c>
      <c r="E1140" s="2" t="str">
        <f t="shared" si="36"/>
        <v>Same</v>
      </c>
      <c r="F1140" s="6" t="s">
        <v>1868</v>
      </c>
      <c r="G1140" s="3">
        <v>28.95</v>
      </c>
      <c r="H1140" s="2" t="s">
        <v>1111</v>
      </c>
      <c r="I1140" s="4">
        <f>[1]Sheet1!I1140</f>
        <v>114</v>
      </c>
      <c r="J1140" s="3" t="str">
        <f t="shared" si="35"/>
        <v>4536_A1C1.webp</v>
      </c>
      <c r="K1140" s="5">
        <f>Sheet4!E1140</f>
        <v>8</v>
      </c>
      <c r="L1140" s="5" t="s">
        <v>5278</v>
      </c>
      <c r="M1140" s="4"/>
    </row>
    <row r="1141" spans="1:13" x14ac:dyDescent="0.25">
      <c r="A1141" t="s">
        <v>4316</v>
      </c>
      <c r="B1141" t="s">
        <v>4317</v>
      </c>
      <c r="C1141" s="25">
        <v>4537</v>
      </c>
      <c r="D1141" s="28">
        <v>4537</v>
      </c>
      <c r="E1141" s="2" t="str">
        <f t="shared" si="36"/>
        <v>Same</v>
      </c>
      <c r="F1141" s="6" t="s">
        <v>1869</v>
      </c>
      <c r="G1141" s="3">
        <v>20.95</v>
      </c>
      <c r="H1141" s="2" t="s">
        <v>1112</v>
      </c>
      <c r="I1141" s="4">
        <f>[1]Sheet1!I1141</f>
        <v>151</v>
      </c>
      <c r="J1141" s="3" t="str">
        <f t="shared" si="35"/>
        <v>4537_A1C1.webp</v>
      </c>
      <c r="K1141" s="5">
        <f>Sheet4!E1141</f>
        <v>6</v>
      </c>
      <c r="L1141" s="5" t="s">
        <v>5278</v>
      </c>
      <c r="M1141" s="4"/>
    </row>
    <row r="1142" spans="1:13" x14ac:dyDescent="0.25">
      <c r="A1142" t="s">
        <v>4316</v>
      </c>
      <c r="B1142" t="s">
        <v>4317</v>
      </c>
      <c r="C1142" s="25">
        <v>4538</v>
      </c>
      <c r="D1142" s="28">
        <v>4538</v>
      </c>
      <c r="E1142" s="2" t="str">
        <f t="shared" si="36"/>
        <v>Same</v>
      </c>
      <c r="F1142" s="6" t="s">
        <v>1868</v>
      </c>
      <c r="G1142" s="3">
        <v>30.5</v>
      </c>
      <c r="H1142" s="2" t="s">
        <v>1113</v>
      </c>
      <c r="I1142" s="4">
        <f>[1]Sheet1!I1142</f>
        <v>47</v>
      </c>
      <c r="J1142" s="3" t="str">
        <f t="shared" si="35"/>
        <v>4538_A1C1.webp</v>
      </c>
      <c r="K1142" s="5">
        <f>Sheet4!E1142</f>
        <v>8</v>
      </c>
      <c r="L1142" s="5" t="s">
        <v>5278</v>
      </c>
      <c r="M1142" s="4"/>
    </row>
    <row r="1143" spans="1:13" x14ac:dyDescent="0.25">
      <c r="A1143" t="s">
        <v>4316</v>
      </c>
      <c r="B1143" t="s">
        <v>4317</v>
      </c>
      <c r="C1143" s="25">
        <v>4539</v>
      </c>
      <c r="D1143" s="28">
        <v>4539</v>
      </c>
      <c r="E1143" s="2" t="str">
        <f t="shared" si="36"/>
        <v>Same</v>
      </c>
      <c r="F1143" s="6" t="s">
        <v>1868</v>
      </c>
      <c r="G1143" s="3">
        <v>30.5</v>
      </c>
      <c r="H1143" s="2" t="s">
        <v>1114</v>
      </c>
      <c r="I1143" s="4">
        <f>[1]Sheet1!I1143</f>
        <v>114</v>
      </c>
      <c r="J1143" s="3" t="str">
        <f t="shared" si="35"/>
        <v>4539_A1C1.webp</v>
      </c>
      <c r="K1143" s="5">
        <f>Sheet4!E1143</f>
        <v>8</v>
      </c>
      <c r="L1143" s="5" t="s">
        <v>5278</v>
      </c>
      <c r="M1143" s="4"/>
    </row>
    <row r="1144" spans="1:13" x14ac:dyDescent="0.25">
      <c r="A1144" t="s">
        <v>4082</v>
      </c>
      <c r="B1144" t="s">
        <v>1115</v>
      </c>
      <c r="C1144" s="25">
        <v>4545</v>
      </c>
      <c r="D1144" s="28">
        <v>4545</v>
      </c>
      <c r="E1144" s="2" t="str">
        <f t="shared" si="36"/>
        <v>Same</v>
      </c>
      <c r="F1144" s="6" t="s">
        <v>1859</v>
      </c>
      <c r="G1144" s="3">
        <v>31.5</v>
      </c>
      <c r="H1144" s="2" t="s">
        <v>1115</v>
      </c>
      <c r="I1144" s="4">
        <f>[1]Sheet1!I1144</f>
        <v>1027</v>
      </c>
      <c r="J1144" s="3" t="str">
        <f t="shared" si="35"/>
        <v>4545_A1C1.webp</v>
      </c>
      <c r="K1144" s="5">
        <f>Sheet4!E1144</f>
        <v>12</v>
      </c>
      <c r="L1144" s="5" t="s">
        <v>5278</v>
      </c>
      <c r="M1144" s="4"/>
    </row>
    <row r="1145" spans="1:13" x14ac:dyDescent="0.25">
      <c r="A1145" t="s">
        <v>4316</v>
      </c>
      <c r="B1145" t="s">
        <v>4328</v>
      </c>
      <c r="C1145" s="25">
        <v>4547</v>
      </c>
      <c r="D1145" s="28">
        <v>4547</v>
      </c>
      <c r="E1145" s="2" t="str">
        <f t="shared" si="36"/>
        <v>Same</v>
      </c>
      <c r="F1145" s="6" t="s">
        <v>1849</v>
      </c>
      <c r="G1145" s="3">
        <v>35.950000000000003</v>
      </c>
      <c r="H1145" s="2" t="s">
        <v>1116</v>
      </c>
      <c r="I1145" s="4">
        <f>[1]Sheet1!I1145</f>
        <v>113</v>
      </c>
      <c r="J1145" s="3" t="str">
        <f t="shared" si="35"/>
        <v>4547_A1C1.webp</v>
      </c>
      <c r="K1145" s="5">
        <f>Sheet4!E1145</f>
        <v>12</v>
      </c>
      <c r="L1145" s="5" t="s">
        <v>5278</v>
      </c>
      <c r="M1145" s="4"/>
    </row>
    <row r="1146" spans="1:13" x14ac:dyDescent="0.25">
      <c r="A1146" t="s">
        <v>4316</v>
      </c>
      <c r="B1146" t="s">
        <v>4328</v>
      </c>
      <c r="C1146" s="25">
        <v>4549</v>
      </c>
      <c r="D1146" s="28">
        <v>4549</v>
      </c>
      <c r="E1146" s="2" t="str">
        <f t="shared" si="36"/>
        <v>Same</v>
      </c>
      <c r="F1146" s="6" t="s">
        <v>1951</v>
      </c>
      <c r="G1146" s="3">
        <v>35.950000000000003</v>
      </c>
      <c r="H1146" s="2" t="s">
        <v>1117</v>
      </c>
      <c r="I1146" s="4">
        <f>[1]Sheet1!I1146</f>
        <v>10</v>
      </c>
      <c r="J1146" s="3" t="str">
        <f t="shared" si="35"/>
        <v>4549_A1C1.webp</v>
      </c>
      <c r="K1146" s="5">
        <f>Sheet4!E1146</f>
        <v>12</v>
      </c>
      <c r="L1146" s="5" t="s">
        <v>5278</v>
      </c>
      <c r="M1146" s="4"/>
    </row>
    <row r="1147" spans="1:13" x14ac:dyDescent="0.25">
      <c r="A1147" t="s">
        <v>3875</v>
      </c>
      <c r="B1147" t="s">
        <v>4368</v>
      </c>
      <c r="C1147" s="25">
        <v>4711</v>
      </c>
      <c r="D1147" s="28">
        <v>4711</v>
      </c>
      <c r="E1147" s="2" t="str">
        <f t="shared" si="36"/>
        <v>Same</v>
      </c>
      <c r="F1147" s="2" t="s">
        <v>1855</v>
      </c>
      <c r="G1147" s="3"/>
      <c r="H1147" s="2" t="s">
        <v>5351</v>
      </c>
      <c r="I1147" s="4">
        <f>[1]Sheet1!I1147</f>
        <v>0</v>
      </c>
      <c r="J1147" s="3" t="str">
        <f t="shared" si="35"/>
        <v>4711_A1C1.webp</v>
      </c>
      <c r="K1147" s="5">
        <f>Sheet4!E1147</f>
        <v>6</v>
      </c>
      <c r="L1147" s="5" t="s">
        <v>5278</v>
      </c>
      <c r="M1147" s="4"/>
    </row>
    <row r="1148" spans="1:13" x14ac:dyDescent="0.25">
      <c r="A1148" t="s">
        <v>3595</v>
      </c>
      <c r="B1148" t="s">
        <v>4332</v>
      </c>
      <c r="C1148" s="25">
        <v>4815</v>
      </c>
      <c r="D1148" s="28">
        <v>4815</v>
      </c>
      <c r="E1148" s="2" t="str">
        <f t="shared" si="36"/>
        <v>Same</v>
      </c>
      <c r="F1148" s="6" t="s">
        <v>1849</v>
      </c>
      <c r="G1148" s="3">
        <v>89.95</v>
      </c>
      <c r="H1148" s="2" t="s">
        <v>1118</v>
      </c>
      <c r="I1148" s="4">
        <f>[1]Sheet1!I1148</f>
        <v>0</v>
      </c>
      <c r="J1148" s="3" t="str">
        <f t="shared" si="35"/>
        <v>4815_A1C1.webp</v>
      </c>
      <c r="K1148" s="5">
        <f>Sheet4!E1148</f>
        <v>12</v>
      </c>
      <c r="L1148" s="5"/>
      <c r="M1148" s="4"/>
    </row>
    <row r="1149" spans="1:13" x14ac:dyDescent="0.25">
      <c r="A1149" t="s">
        <v>3595</v>
      </c>
      <c r="B1149" t="s">
        <v>4332</v>
      </c>
      <c r="C1149" s="25">
        <v>4816</v>
      </c>
      <c r="D1149" s="28">
        <v>4816</v>
      </c>
      <c r="E1149" s="2" t="str">
        <f t="shared" si="36"/>
        <v>Same</v>
      </c>
      <c r="F1149" s="6" t="s">
        <v>1849</v>
      </c>
      <c r="G1149" s="3">
        <v>45.5</v>
      </c>
      <c r="H1149" s="2" t="s">
        <v>1119</v>
      </c>
      <c r="I1149" s="4">
        <f>[1]Sheet1!I1149</f>
        <v>0</v>
      </c>
      <c r="J1149" s="3" t="str">
        <f t="shared" si="35"/>
        <v>4816_A1C1.webp</v>
      </c>
      <c r="K1149" s="5">
        <f>Sheet4!E1149</f>
        <v>12</v>
      </c>
      <c r="L1149" s="5"/>
      <c r="M1149" s="4"/>
    </row>
    <row r="1150" spans="1:13" x14ac:dyDescent="0.25">
      <c r="A1150" t="s">
        <v>3595</v>
      </c>
      <c r="B1150" t="s">
        <v>4332</v>
      </c>
      <c r="C1150" s="25">
        <v>4817</v>
      </c>
      <c r="D1150" s="28">
        <v>4817</v>
      </c>
      <c r="E1150" s="2" t="str">
        <f t="shared" si="36"/>
        <v>Same</v>
      </c>
      <c r="F1150" s="6" t="s">
        <v>1899</v>
      </c>
      <c r="G1150" s="3">
        <v>19.95</v>
      </c>
      <c r="H1150" s="2" t="s">
        <v>1120</v>
      </c>
      <c r="I1150" s="4">
        <f>[1]Sheet1!I1150</f>
        <v>228</v>
      </c>
      <c r="J1150" s="3" t="str">
        <f t="shared" si="35"/>
        <v>4817_A1C1.webp</v>
      </c>
      <c r="K1150" s="5">
        <f>Sheet4!E1150</f>
        <v>12</v>
      </c>
      <c r="L1150" s="5"/>
      <c r="M1150" s="4"/>
    </row>
    <row r="1151" spans="1:13" x14ac:dyDescent="0.25">
      <c r="A1151" t="s">
        <v>3595</v>
      </c>
      <c r="B1151" t="s">
        <v>4332</v>
      </c>
      <c r="C1151" s="25">
        <v>4818</v>
      </c>
      <c r="D1151" s="28">
        <v>4818</v>
      </c>
      <c r="E1151" s="2" t="str">
        <f t="shared" si="36"/>
        <v>Same</v>
      </c>
      <c r="F1151" s="6" t="s">
        <v>1849</v>
      </c>
      <c r="G1151" s="3">
        <v>42.95</v>
      </c>
      <c r="H1151" s="2" t="s">
        <v>1121</v>
      </c>
      <c r="I1151" s="4">
        <f>[1]Sheet1!I1151</f>
        <v>15</v>
      </c>
      <c r="J1151" s="3" t="str">
        <f t="shared" si="35"/>
        <v>4818_A1C1.webp</v>
      </c>
      <c r="K1151" s="5">
        <f>Sheet4!E1151</f>
        <v>12</v>
      </c>
      <c r="L1151" s="5"/>
      <c r="M1151" s="4"/>
    </row>
    <row r="1152" spans="1:13" x14ac:dyDescent="0.25">
      <c r="A1152" t="s">
        <v>3595</v>
      </c>
      <c r="B1152" t="s">
        <v>4332</v>
      </c>
      <c r="C1152" s="25">
        <v>4819</v>
      </c>
      <c r="D1152" s="28">
        <v>4819</v>
      </c>
      <c r="E1152" s="2" t="str">
        <f t="shared" si="36"/>
        <v>Same</v>
      </c>
      <c r="F1152" s="6" t="s">
        <v>1923</v>
      </c>
      <c r="G1152" s="3">
        <v>28.5</v>
      </c>
      <c r="H1152" s="2" t="s">
        <v>1122</v>
      </c>
      <c r="I1152" s="4">
        <f>[1]Sheet1!I1152</f>
        <v>80</v>
      </c>
      <c r="J1152" s="3" t="str">
        <f t="shared" si="35"/>
        <v>4819_A1C1.webp</v>
      </c>
      <c r="K1152" s="5">
        <f>Sheet4!E1152</f>
        <v>12</v>
      </c>
      <c r="L1152" s="5"/>
      <c r="M1152" s="4"/>
    </row>
    <row r="1153" spans="1:13" x14ac:dyDescent="0.25">
      <c r="A1153" t="s">
        <v>3875</v>
      </c>
      <c r="B1153" t="s">
        <v>4340</v>
      </c>
      <c r="C1153" s="25">
        <v>4845</v>
      </c>
      <c r="D1153" s="28">
        <v>4845</v>
      </c>
      <c r="E1153" s="2" t="str">
        <f t="shared" si="36"/>
        <v>Same</v>
      </c>
      <c r="F1153" s="6" t="s">
        <v>1985</v>
      </c>
      <c r="G1153" s="3">
        <v>12.5</v>
      </c>
      <c r="H1153" s="2" t="s">
        <v>1123</v>
      </c>
      <c r="I1153" s="4">
        <f>[1]Sheet1!I1153</f>
        <v>481</v>
      </c>
      <c r="J1153" s="3" t="str">
        <f t="shared" si="35"/>
        <v>4845_A1C1.webp</v>
      </c>
      <c r="K1153" s="5">
        <f>Sheet4!E1153</f>
        <v>6</v>
      </c>
      <c r="L1153" s="5"/>
      <c r="M1153" s="4"/>
    </row>
    <row r="1154" spans="1:13" x14ac:dyDescent="0.25">
      <c r="A1154" t="s">
        <v>3875</v>
      </c>
      <c r="B1154" t="s">
        <v>4340</v>
      </c>
      <c r="C1154" s="25">
        <v>4846</v>
      </c>
      <c r="D1154" s="28">
        <v>4846</v>
      </c>
      <c r="E1154" s="2" t="str">
        <f t="shared" si="36"/>
        <v>Same</v>
      </c>
      <c r="F1154" s="6" t="s">
        <v>1985</v>
      </c>
      <c r="G1154" s="3">
        <v>12.5</v>
      </c>
      <c r="H1154" s="2" t="s">
        <v>1124</v>
      </c>
      <c r="I1154" s="4">
        <f>[1]Sheet1!I1154</f>
        <v>827</v>
      </c>
      <c r="J1154" s="3" t="str">
        <f t="shared" ref="J1154:J1217" si="37">C1154 &amp; "_A1C1.webp"</f>
        <v>4846_A1C1.webp</v>
      </c>
      <c r="K1154" s="5">
        <f>Sheet4!E1154</f>
        <v>6</v>
      </c>
      <c r="L1154" s="5"/>
      <c r="M1154" s="4"/>
    </row>
    <row r="1155" spans="1:13" x14ac:dyDescent="0.25">
      <c r="A1155" t="s">
        <v>3875</v>
      </c>
      <c r="B1155" t="s">
        <v>4340</v>
      </c>
      <c r="C1155" s="25">
        <v>4847</v>
      </c>
      <c r="D1155" s="28">
        <v>4847</v>
      </c>
      <c r="E1155" s="2" t="str">
        <f t="shared" si="36"/>
        <v>Same</v>
      </c>
      <c r="F1155" s="6" t="s">
        <v>1985</v>
      </c>
      <c r="G1155" s="3">
        <v>12.5</v>
      </c>
      <c r="H1155" s="2" t="s">
        <v>1125</v>
      </c>
      <c r="I1155" s="4">
        <f>[1]Sheet1!I1155</f>
        <v>31</v>
      </c>
      <c r="J1155" s="3" t="str">
        <f t="shared" si="37"/>
        <v>4847_A1C1.webp</v>
      </c>
      <c r="K1155" s="5">
        <f>Sheet4!E1155</f>
        <v>6</v>
      </c>
      <c r="L1155" s="5"/>
      <c r="M1155" s="4"/>
    </row>
    <row r="1156" spans="1:13" x14ac:dyDescent="0.25">
      <c r="A1156" t="s">
        <v>3875</v>
      </c>
      <c r="B1156" t="s">
        <v>4347</v>
      </c>
      <c r="C1156" s="25">
        <v>4852</v>
      </c>
      <c r="D1156" s="28">
        <v>4852</v>
      </c>
      <c r="E1156" s="2" t="str">
        <f t="shared" si="36"/>
        <v>Same</v>
      </c>
      <c r="F1156" s="6" t="s">
        <v>1873</v>
      </c>
      <c r="G1156" s="3">
        <v>15.5</v>
      </c>
      <c r="H1156" s="2" t="s">
        <v>1126</v>
      </c>
      <c r="I1156" s="4">
        <f>[1]Sheet1!I1156</f>
        <v>0</v>
      </c>
      <c r="J1156" s="3" t="str">
        <f t="shared" si="37"/>
        <v>4852_A1C1.webp</v>
      </c>
      <c r="K1156" s="5">
        <f>Sheet4!E1156</f>
        <v>6</v>
      </c>
      <c r="L1156" s="5"/>
      <c r="M1156" s="4"/>
    </row>
    <row r="1157" spans="1:13" x14ac:dyDescent="0.25">
      <c r="A1157" t="s">
        <v>3875</v>
      </c>
      <c r="B1157" t="s">
        <v>4347</v>
      </c>
      <c r="C1157" s="25">
        <v>4853</v>
      </c>
      <c r="D1157" s="28">
        <v>4853</v>
      </c>
      <c r="E1157" s="2" t="str">
        <f t="shared" si="36"/>
        <v>Same</v>
      </c>
      <c r="F1157" s="6" t="s">
        <v>1873</v>
      </c>
      <c r="G1157" s="3">
        <v>15.5</v>
      </c>
      <c r="H1157" s="2" t="s">
        <v>1127</v>
      </c>
      <c r="I1157" s="4">
        <f>[1]Sheet1!I1157</f>
        <v>0</v>
      </c>
      <c r="J1157" s="3" t="str">
        <f t="shared" si="37"/>
        <v>4853_A1C1.webp</v>
      </c>
      <c r="K1157" s="5">
        <f>Sheet4!E1157</f>
        <v>6</v>
      </c>
      <c r="L1157" s="5"/>
      <c r="M1157" s="4"/>
    </row>
    <row r="1158" spans="1:13" x14ac:dyDescent="0.25">
      <c r="A1158" t="s">
        <v>3875</v>
      </c>
      <c r="B1158" t="s">
        <v>4347</v>
      </c>
      <c r="C1158" s="25">
        <v>4854</v>
      </c>
      <c r="D1158" s="28">
        <v>4854</v>
      </c>
      <c r="E1158" s="2" t="str">
        <f t="shared" si="36"/>
        <v>Same</v>
      </c>
      <c r="F1158" s="6" t="s">
        <v>1873</v>
      </c>
      <c r="G1158" s="3">
        <v>15.5</v>
      </c>
      <c r="H1158" s="2" t="s">
        <v>1128</v>
      </c>
      <c r="I1158" s="4">
        <f>[1]Sheet1!I1158</f>
        <v>0</v>
      </c>
      <c r="J1158" s="3" t="str">
        <f t="shared" si="37"/>
        <v>4854_A1C1.webp</v>
      </c>
      <c r="K1158" s="5">
        <f>Sheet4!E1158</f>
        <v>6</v>
      </c>
      <c r="L1158" s="5"/>
      <c r="M1158" s="4"/>
    </row>
    <row r="1159" spans="1:13" x14ac:dyDescent="0.25">
      <c r="A1159" t="s">
        <v>3386</v>
      </c>
      <c r="B1159" t="s">
        <v>4353</v>
      </c>
      <c r="C1159" s="13">
        <v>4868</v>
      </c>
      <c r="D1159" s="28">
        <v>4868</v>
      </c>
      <c r="E1159" s="2" t="str">
        <f t="shared" ref="E1159:E1222" si="38">IF(C1159=D1159, "Same","New")</f>
        <v>Same</v>
      </c>
      <c r="F1159" s="2" t="s">
        <v>1962</v>
      </c>
      <c r="G1159" s="3" t="s">
        <v>5278</v>
      </c>
      <c r="H1159" s="2" t="s">
        <v>5273</v>
      </c>
      <c r="I1159" s="4">
        <f>[1]Sheet1!I1159</f>
        <v>246</v>
      </c>
      <c r="J1159" s="3" t="str">
        <f t="shared" si="37"/>
        <v>4868_A1C1.webp</v>
      </c>
      <c r="K1159" s="5">
        <f>Sheet4!E1159</f>
        <v>72</v>
      </c>
      <c r="L1159" t="s">
        <v>5278</v>
      </c>
      <c r="M1159" s="4"/>
    </row>
    <row r="1160" spans="1:13" x14ac:dyDescent="0.25">
      <c r="A1160" t="s">
        <v>3386</v>
      </c>
      <c r="B1160" t="s">
        <v>4353</v>
      </c>
      <c r="C1160" s="13">
        <v>4869</v>
      </c>
      <c r="D1160" s="28">
        <v>4869</v>
      </c>
      <c r="E1160" s="2" t="str">
        <f t="shared" si="38"/>
        <v>Same</v>
      </c>
      <c r="F1160" s="2" t="s">
        <v>1962</v>
      </c>
      <c r="G1160" s="3" t="s">
        <v>5278</v>
      </c>
      <c r="H1160" s="2" t="s">
        <v>5274</v>
      </c>
      <c r="I1160" s="4">
        <f>[1]Sheet1!I1160</f>
        <v>1139</v>
      </c>
      <c r="J1160" s="3" t="str">
        <f t="shared" si="37"/>
        <v>4869_A1C1.webp</v>
      </c>
      <c r="K1160" s="5">
        <f>Sheet4!E1160</f>
        <v>72</v>
      </c>
      <c r="L1160" t="s">
        <v>5278</v>
      </c>
      <c r="M1160" s="4"/>
    </row>
    <row r="1161" spans="1:13" x14ac:dyDescent="0.25">
      <c r="A1161" t="s">
        <v>3386</v>
      </c>
      <c r="B1161" t="s">
        <v>4353</v>
      </c>
      <c r="C1161" s="13">
        <v>4870</v>
      </c>
      <c r="D1161" s="28">
        <v>4870</v>
      </c>
      <c r="E1161" s="2" t="str">
        <f t="shared" si="38"/>
        <v>Same</v>
      </c>
      <c r="F1161" s="2" t="s">
        <v>1962</v>
      </c>
      <c r="G1161" s="3" t="s">
        <v>5278</v>
      </c>
      <c r="H1161" s="2" t="s">
        <v>5275</v>
      </c>
      <c r="I1161" s="4">
        <f>[1]Sheet1!I1161</f>
        <v>25</v>
      </c>
      <c r="J1161" s="3" t="str">
        <f t="shared" si="37"/>
        <v>4870_A1C1.webp</v>
      </c>
      <c r="K1161" s="5">
        <f>Sheet4!E1161</f>
        <v>72</v>
      </c>
      <c r="L1161" t="s">
        <v>5278</v>
      </c>
      <c r="M1161" s="4"/>
    </row>
    <row r="1162" spans="1:13" x14ac:dyDescent="0.25">
      <c r="A1162" t="s">
        <v>4082</v>
      </c>
      <c r="B1162" t="s">
        <v>1115</v>
      </c>
      <c r="C1162" s="28">
        <v>4872</v>
      </c>
      <c r="D1162" s="28">
        <v>4872</v>
      </c>
      <c r="E1162" s="2" t="str">
        <f t="shared" si="38"/>
        <v>Same</v>
      </c>
      <c r="F1162" s="2" t="s">
        <v>5367</v>
      </c>
      <c r="G1162" s="3"/>
      <c r="H1162" s="2" t="s">
        <v>5365</v>
      </c>
      <c r="I1162" s="4">
        <f>[1]Sheet1!I1162</f>
        <v>0</v>
      </c>
      <c r="J1162" s="3" t="str">
        <f t="shared" si="37"/>
        <v>4872_A1C1.webp</v>
      </c>
      <c r="K1162" s="5">
        <f>Sheet4!E1162</f>
        <v>12</v>
      </c>
      <c r="L1162" t="s">
        <v>5278</v>
      </c>
      <c r="M1162" s="4"/>
    </row>
    <row r="1163" spans="1:13" x14ac:dyDescent="0.25">
      <c r="A1163" t="s">
        <v>4082</v>
      </c>
      <c r="B1163" t="s">
        <v>1115</v>
      </c>
      <c r="C1163" s="28">
        <v>4873</v>
      </c>
      <c r="D1163" s="28">
        <v>4873</v>
      </c>
      <c r="E1163" s="2" t="str">
        <f t="shared" si="38"/>
        <v>Same</v>
      </c>
      <c r="F1163" s="2" t="s">
        <v>5367</v>
      </c>
      <c r="G1163" s="3"/>
      <c r="H1163" s="2" t="s">
        <v>5366</v>
      </c>
      <c r="I1163" s="4">
        <f>[1]Sheet1!I1163</f>
        <v>0</v>
      </c>
      <c r="J1163" s="3" t="str">
        <f t="shared" si="37"/>
        <v>4873_A1C1.webp</v>
      </c>
      <c r="K1163" s="5">
        <f>Sheet4!E1163</f>
        <v>12</v>
      </c>
      <c r="L1163" t="s">
        <v>5278</v>
      </c>
      <c r="M1163" s="4"/>
    </row>
    <row r="1164" spans="1:13" x14ac:dyDescent="0.25">
      <c r="A1164" t="s">
        <v>3386</v>
      </c>
      <c r="B1164" t="s">
        <v>3387</v>
      </c>
      <c r="C1164" s="25">
        <v>4879</v>
      </c>
      <c r="D1164" s="28">
        <v>4879</v>
      </c>
      <c r="E1164" s="2" t="str">
        <f t="shared" si="38"/>
        <v>Same</v>
      </c>
      <c r="F1164" s="6" t="s">
        <v>1930</v>
      </c>
      <c r="G1164">
        <v>15.35</v>
      </c>
      <c r="H1164" s="2" t="s">
        <v>1129</v>
      </c>
      <c r="I1164" s="4">
        <f>[1]Sheet1!I1164</f>
        <v>225</v>
      </c>
      <c r="J1164" s="3" t="str">
        <f t="shared" si="37"/>
        <v>4879_A1C1.webp</v>
      </c>
      <c r="K1164" s="5">
        <f>Sheet4!E1164</f>
        <v>20</v>
      </c>
      <c r="L1164" s="5" t="s">
        <v>5278</v>
      </c>
      <c r="M1164" s="4"/>
    </row>
    <row r="1165" spans="1:13" x14ac:dyDescent="0.25">
      <c r="A1165" t="s">
        <v>3386</v>
      </c>
      <c r="B1165" t="s">
        <v>3387</v>
      </c>
      <c r="C1165" s="25">
        <v>4880</v>
      </c>
      <c r="D1165" s="28">
        <v>4880</v>
      </c>
      <c r="E1165" s="2" t="str">
        <f t="shared" si="38"/>
        <v>Same</v>
      </c>
      <c r="F1165" s="6" t="s">
        <v>1930</v>
      </c>
      <c r="G1165">
        <v>15.35</v>
      </c>
      <c r="H1165" s="2" t="s">
        <v>1130</v>
      </c>
      <c r="I1165" s="4">
        <f>[1]Sheet1!I1165</f>
        <v>298</v>
      </c>
      <c r="J1165" s="3" t="str">
        <f t="shared" si="37"/>
        <v>4880_A1C1.webp</v>
      </c>
      <c r="K1165" s="5">
        <f>Sheet4!E1165</f>
        <v>20</v>
      </c>
      <c r="L1165" s="5" t="s">
        <v>5278</v>
      </c>
      <c r="M1165" s="4"/>
    </row>
    <row r="1166" spans="1:13" x14ac:dyDescent="0.25">
      <c r="A1166" t="s">
        <v>3386</v>
      </c>
      <c r="B1166" t="s">
        <v>3387</v>
      </c>
      <c r="C1166" s="25">
        <v>4881</v>
      </c>
      <c r="D1166" s="28">
        <v>4881</v>
      </c>
      <c r="E1166" s="2" t="str">
        <f t="shared" si="38"/>
        <v>Same</v>
      </c>
      <c r="F1166" s="6" t="s">
        <v>1930</v>
      </c>
      <c r="G1166">
        <v>15.35</v>
      </c>
      <c r="H1166" s="2" t="s">
        <v>1131</v>
      </c>
      <c r="I1166" s="4">
        <f>[1]Sheet1!I1166</f>
        <v>143</v>
      </c>
      <c r="J1166" s="3" t="str">
        <f t="shared" si="37"/>
        <v>4881_A1C1.webp</v>
      </c>
      <c r="K1166" s="5">
        <f>Sheet4!E1166</f>
        <v>20</v>
      </c>
      <c r="L1166" s="5" t="s">
        <v>5278</v>
      </c>
      <c r="M1166" s="4"/>
    </row>
    <row r="1167" spans="1:13" x14ac:dyDescent="0.25">
      <c r="A1167" t="s">
        <v>3875</v>
      </c>
      <c r="B1167" t="s">
        <v>4368</v>
      </c>
      <c r="C1167" s="25">
        <v>4887</v>
      </c>
      <c r="D1167" s="28">
        <v>4887</v>
      </c>
      <c r="E1167" s="2" t="str">
        <f t="shared" si="38"/>
        <v>Same</v>
      </c>
      <c r="F1167" s="2" t="s">
        <v>1874</v>
      </c>
      <c r="H1167" s="2" t="s">
        <v>5352</v>
      </c>
      <c r="I1167" s="4">
        <f>[1]Sheet1!I1167</f>
        <v>0</v>
      </c>
      <c r="J1167" s="3" t="str">
        <f t="shared" si="37"/>
        <v>4887_A1C1.webp</v>
      </c>
      <c r="K1167" s="5">
        <f>Sheet4!E1167</f>
        <v>6</v>
      </c>
      <c r="L1167" s="5" t="s">
        <v>5278</v>
      </c>
    </row>
    <row r="1168" spans="1:13" x14ac:dyDescent="0.25">
      <c r="A1168" t="s">
        <v>3386</v>
      </c>
      <c r="B1168" t="s">
        <v>4360</v>
      </c>
      <c r="C1168" s="25">
        <v>4888</v>
      </c>
      <c r="D1168" s="28">
        <v>4888</v>
      </c>
      <c r="E1168" s="2" t="str">
        <f t="shared" si="38"/>
        <v>Same</v>
      </c>
      <c r="F1168" s="6" t="s">
        <v>1924</v>
      </c>
      <c r="G1168" s="3">
        <v>22.95</v>
      </c>
      <c r="H1168" s="2" t="s">
        <v>1132</v>
      </c>
      <c r="I1168" s="4">
        <f>[1]Sheet1!I1168</f>
        <v>156</v>
      </c>
      <c r="J1168" s="3" t="str">
        <f t="shared" si="37"/>
        <v>4888_A1C1.webp</v>
      </c>
      <c r="K1168" s="5">
        <f>Sheet4!E1168</f>
        <v>12</v>
      </c>
      <c r="L1168" s="5"/>
      <c r="M1168" s="4"/>
    </row>
    <row r="1169" spans="1:13" x14ac:dyDescent="0.25">
      <c r="A1169" t="s">
        <v>3875</v>
      </c>
      <c r="B1169" t="s">
        <v>4362</v>
      </c>
      <c r="C1169" s="25">
        <v>4889</v>
      </c>
      <c r="D1169" s="28">
        <v>4889</v>
      </c>
      <c r="E1169" s="2" t="str">
        <f t="shared" si="38"/>
        <v>Same</v>
      </c>
      <c r="F1169" s="6" t="s">
        <v>1868</v>
      </c>
      <c r="G1169" s="3">
        <v>17.95</v>
      </c>
      <c r="H1169" s="2" t="s">
        <v>1133</v>
      </c>
      <c r="I1169" s="4">
        <f>[1]Sheet1!I1169</f>
        <v>0</v>
      </c>
      <c r="J1169" s="3" t="str">
        <f t="shared" si="37"/>
        <v>4889_A1C1.webp</v>
      </c>
      <c r="K1169" s="5">
        <f>Sheet4!E1169</f>
        <v>6</v>
      </c>
      <c r="L1169" s="5"/>
      <c r="M1169" s="4"/>
    </row>
    <row r="1170" spans="1:13" x14ac:dyDescent="0.25">
      <c r="A1170" t="s">
        <v>2671</v>
      </c>
      <c r="B1170" t="s">
        <v>4364</v>
      </c>
      <c r="C1170" s="25">
        <v>4892</v>
      </c>
      <c r="D1170" s="28">
        <v>4892</v>
      </c>
      <c r="E1170" s="2" t="str">
        <f t="shared" si="38"/>
        <v>Same</v>
      </c>
      <c r="F1170" s="6" t="s">
        <v>1988</v>
      </c>
      <c r="G1170">
        <v>75.95</v>
      </c>
      <c r="H1170" s="2" t="s">
        <v>1134</v>
      </c>
      <c r="I1170" s="4">
        <f>[1]Sheet1!I1170</f>
        <v>210</v>
      </c>
      <c r="J1170" s="3" t="str">
        <f t="shared" si="37"/>
        <v>4892_A1C1.webp</v>
      </c>
      <c r="K1170" s="5">
        <f>Sheet4!E1170</f>
        <v>90</v>
      </c>
      <c r="L1170" s="5"/>
      <c r="M1170" s="4"/>
    </row>
    <row r="1171" spans="1:13" x14ac:dyDescent="0.25">
      <c r="A1171" t="s">
        <v>3875</v>
      </c>
      <c r="B1171" t="s">
        <v>4368</v>
      </c>
      <c r="C1171" s="25">
        <v>4902</v>
      </c>
      <c r="D1171" s="28">
        <v>4902</v>
      </c>
      <c r="E1171" s="2" t="str">
        <f t="shared" si="38"/>
        <v>Same</v>
      </c>
      <c r="F1171" s="6" t="s">
        <v>1847</v>
      </c>
      <c r="G1171" s="3">
        <v>27.5</v>
      </c>
      <c r="H1171" s="2" t="s">
        <v>1135</v>
      </c>
      <c r="I1171" s="4">
        <f>[1]Sheet1!I1171</f>
        <v>3156</v>
      </c>
      <c r="J1171" s="3" t="str">
        <f t="shared" si="37"/>
        <v>4902_A1C1.webp</v>
      </c>
      <c r="K1171" s="5">
        <f>Sheet4!E1171</f>
        <v>12</v>
      </c>
      <c r="L1171" s="5"/>
      <c r="M1171" s="4"/>
    </row>
    <row r="1172" spans="1:13" x14ac:dyDescent="0.25">
      <c r="A1172" t="s">
        <v>3875</v>
      </c>
      <c r="B1172" t="s">
        <v>4368</v>
      </c>
      <c r="C1172" s="25">
        <v>4903</v>
      </c>
      <c r="D1172" s="28">
        <v>4903</v>
      </c>
      <c r="E1172" s="2" t="str">
        <f t="shared" si="38"/>
        <v>Same</v>
      </c>
      <c r="F1172" s="6" t="s">
        <v>1847</v>
      </c>
      <c r="G1172" s="3">
        <v>27.5</v>
      </c>
      <c r="H1172" s="2" t="s">
        <v>1136</v>
      </c>
      <c r="I1172" s="4">
        <f>[1]Sheet1!I1172</f>
        <v>5721</v>
      </c>
      <c r="J1172" s="3" t="str">
        <f t="shared" si="37"/>
        <v>4903_A1C1.webp</v>
      </c>
      <c r="K1172" s="5">
        <f>Sheet4!E1172</f>
        <v>12</v>
      </c>
      <c r="L1172" s="5"/>
      <c r="M1172" s="4"/>
    </row>
    <row r="1173" spans="1:13" x14ac:dyDescent="0.25">
      <c r="A1173" t="s">
        <v>3875</v>
      </c>
      <c r="B1173" t="s">
        <v>4372</v>
      </c>
      <c r="C1173" s="25">
        <v>4904</v>
      </c>
      <c r="D1173" s="28">
        <v>4904</v>
      </c>
      <c r="E1173" s="2" t="str">
        <f t="shared" si="38"/>
        <v>Same</v>
      </c>
      <c r="F1173" s="6" t="s">
        <v>1863</v>
      </c>
      <c r="G1173" s="3">
        <v>24.95</v>
      </c>
      <c r="H1173" s="2" t="s">
        <v>1137</v>
      </c>
      <c r="I1173" s="4">
        <f>[1]Sheet1!I1173</f>
        <v>5797</v>
      </c>
      <c r="J1173" s="3" t="str">
        <f t="shared" si="37"/>
        <v>4904_A1C1.webp</v>
      </c>
      <c r="K1173" s="5">
        <f>Sheet4!E1173</f>
        <v>24</v>
      </c>
      <c r="L1173" s="5"/>
      <c r="M1173" s="4"/>
    </row>
    <row r="1174" spans="1:13" x14ac:dyDescent="0.25">
      <c r="A1174" t="s">
        <v>3875</v>
      </c>
      <c r="B1174" t="s">
        <v>4372</v>
      </c>
      <c r="C1174" s="25">
        <v>4905</v>
      </c>
      <c r="D1174" s="28">
        <v>4905</v>
      </c>
      <c r="E1174" s="2" t="str">
        <f t="shared" si="38"/>
        <v>Same</v>
      </c>
      <c r="F1174" s="6" t="s">
        <v>1863</v>
      </c>
      <c r="G1174" s="3">
        <v>24.95</v>
      </c>
      <c r="H1174" s="2" t="s">
        <v>1138</v>
      </c>
      <c r="I1174" s="4">
        <f>[1]Sheet1!I1174</f>
        <v>6339</v>
      </c>
      <c r="J1174" s="3" t="str">
        <f t="shared" si="37"/>
        <v>4905_A1C1.webp</v>
      </c>
      <c r="K1174" s="5">
        <f>Sheet4!E1174</f>
        <v>24</v>
      </c>
      <c r="L1174" s="5"/>
      <c r="M1174" s="4"/>
    </row>
    <row r="1175" spans="1:13" x14ac:dyDescent="0.25">
      <c r="A1175" t="s">
        <v>4082</v>
      </c>
      <c r="B1175" t="s">
        <v>4376</v>
      </c>
      <c r="C1175" s="25">
        <v>4906</v>
      </c>
      <c r="D1175" s="28">
        <v>4906</v>
      </c>
      <c r="E1175" s="2" t="str">
        <f t="shared" si="38"/>
        <v>Same</v>
      </c>
      <c r="F1175" s="6" t="s">
        <v>1847</v>
      </c>
      <c r="G1175" s="3">
        <v>23.95</v>
      </c>
      <c r="H1175" s="2" t="s">
        <v>1139</v>
      </c>
      <c r="I1175" s="4">
        <f>[1]Sheet1!I1175</f>
        <v>0</v>
      </c>
      <c r="J1175" s="3" t="str">
        <f t="shared" si="37"/>
        <v>4906_A1C1.webp</v>
      </c>
      <c r="K1175" s="5">
        <f>Sheet4!E1175</f>
        <v>24</v>
      </c>
      <c r="L1175" s="5"/>
      <c r="M1175" s="4"/>
    </row>
    <row r="1176" spans="1:13" x14ac:dyDescent="0.25">
      <c r="A1176" t="s">
        <v>3386</v>
      </c>
      <c r="B1176" t="s">
        <v>4379</v>
      </c>
      <c r="C1176" s="25">
        <v>4907</v>
      </c>
      <c r="D1176" s="28">
        <v>4907</v>
      </c>
      <c r="E1176" s="2" t="str">
        <f t="shared" si="38"/>
        <v>Same</v>
      </c>
      <c r="F1176" s="6" t="s">
        <v>1988</v>
      </c>
      <c r="G1176">
        <v>20.5</v>
      </c>
      <c r="H1176" s="2" t="s">
        <v>1140</v>
      </c>
      <c r="I1176" s="4">
        <f>[1]Sheet1!I1176</f>
        <v>0</v>
      </c>
      <c r="J1176" s="3" t="str">
        <f t="shared" si="37"/>
        <v>4907_A1C1.webp</v>
      </c>
      <c r="K1176" s="5">
        <f>Sheet4!E1176</f>
        <v>24</v>
      </c>
      <c r="L1176" s="5"/>
      <c r="M1176" s="4"/>
    </row>
    <row r="1177" spans="1:13" x14ac:dyDescent="0.25">
      <c r="A1177" t="s">
        <v>4082</v>
      </c>
      <c r="B1177" t="s">
        <v>4376</v>
      </c>
      <c r="C1177" s="25">
        <v>4908</v>
      </c>
      <c r="D1177" s="28">
        <v>4908</v>
      </c>
      <c r="E1177" s="2" t="str">
        <f t="shared" si="38"/>
        <v>Same</v>
      </c>
      <c r="F1177" s="6" t="s">
        <v>1847</v>
      </c>
      <c r="G1177" s="3">
        <v>23.95</v>
      </c>
      <c r="H1177" s="2" t="s">
        <v>1141</v>
      </c>
      <c r="I1177" s="4">
        <f>[1]Sheet1!I1177</f>
        <v>36</v>
      </c>
      <c r="J1177" s="3" t="str">
        <f t="shared" si="37"/>
        <v>4908_A1C1.webp</v>
      </c>
      <c r="K1177" s="5">
        <f>Sheet4!E1177</f>
        <v>24</v>
      </c>
      <c r="L1177" s="5"/>
      <c r="M1177" s="4"/>
    </row>
    <row r="1178" spans="1:13" x14ac:dyDescent="0.25">
      <c r="A1178" t="s">
        <v>4082</v>
      </c>
      <c r="B1178" t="s">
        <v>4376</v>
      </c>
      <c r="C1178" s="25">
        <v>4909</v>
      </c>
      <c r="D1178" s="28">
        <v>4909</v>
      </c>
      <c r="E1178" s="2" t="str">
        <f t="shared" si="38"/>
        <v>Same</v>
      </c>
      <c r="F1178" s="6" t="s">
        <v>1847</v>
      </c>
      <c r="G1178" s="3">
        <v>23.95</v>
      </c>
      <c r="H1178" s="2" t="s">
        <v>1142</v>
      </c>
      <c r="I1178" s="4">
        <f>[1]Sheet1!I1178</f>
        <v>153</v>
      </c>
      <c r="J1178" s="3" t="str">
        <f t="shared" si="37"/>
        <v>4909_A1C1.webp</v>
      </c>
      <c r="K1178" s="5">
        <f>Sheet4!E1178</f>
        <v>24</v>
      </c>
      <c r="L1178" s="5"/>
      <c r="M1178" s="4"/>
    </row>
    <row r="1179" spans="1:13" x14ac:dyDescent="0.25">
      <c r="A1179" t="s">
        <v>4082</v>
      </c>
      <c r="B1179" t="s">
        <v>4376</v>
      </c>
      <c r="C1179" s="25">
        <v>4910</v>
      </c>
      <c r="D1179" s="28">
        <v>4910</v>
      </c>
      <c r="E1179" s="2" t="str">
        <f t="shared" si="38"/>
        <v>Same</v>
      </c>
      <c r="F1179" s="6" t="s">
        <v>1847</v>
      </c>
      <c r="G1179" s="3">
        <v>23.95</v>
      </c>
      <c r="H1179" s="2" t="s">
        <v>1143</v>
      </c>
      <c r="I1179" s="4">
        <f>[1]Sheet1!I1179</f>
        <v>62</v>
      </c>
      <c r="J1179" s="3" t="str">
        <f t="shared" si="37"/>
        <v>4910_A1C1.webp</v>
      </c>
      <c r="K1179" s="5">
        <f>Sheet4!E1179</f>
        <v>24</v>
      </c>
      <c r="L1179" s="5"/>
      <c r="M1179" s="4"/>
    </row>
    <row r="1180" spans="1:13" x14ac:dyDescent="0.25">
      <c r="A1180" t="s">
        <v>3875</v>
      </c>
      <c r="B1180" t="s">
        <v>4384</v>
      </c>
      <c r="C1180" s="25">
        <v>4911</v>
      </c>
      <c r="D1180" s="28">
        <v>4911</v>
      </c>
      <c r="E1180" s="2" t="str">
        <f t="shared" si="38"/>
        <v>Same</v>
      </c>
      <c r="F1180" s="6" t="s">
        <v>1902</v>
      </c>
      <c r="G1180" s="3">
        <v>25.95</v>
      </c>
      <c r="H1180" s="2" t="s">
        <v>1144</v>
      </c>
      <c r="I1180" s="4">
        <f>[1]Sheet1!I1180</f>
        <v>0</v>
      </c>
      <c r="J1180" s="3" t="str">
        <f t="shared" si="37"/>
        <v>4911_A1C1.webp</v>
      </c>
      <c r="K1180" s="5">
        <f>Sheet4!E1180</f>
        <v>12</v>
      </c>
      <c r="L1180" s="5"/>
      <c r="M1180" s="4"/>
    </row>
    <row r="1181" spans="1:13" x14ac:dyDescent="0.25">
      <c r="A1181" t="s">
        <v>2671</v>
      </c>
      <c r="B1181" t="s">
        <v>3875</v>
      </c>
      <c r="C1181" s="25">
        <v>4912</v>
      </c>
      <c r="D1181" s="28">
        <v>4912</v>
      </c>
      <c r="E1181" s="2" t="str">
        <f t="shared" si="38"/>
        <v>Same</v>
      </c>
      <c r="F1181" s="6" t="s">
        <v>1847</v>
      </c>
      <c r="G1181" s="3">
        <v>112.95</v>
      </c>
      <c r="H1181" s="2" t="s">
        <v>1145</v>
      </c>
      <c r="I1181" s="4">
        <f>[1]Sheet1!I1181</f>
        <v>299</v>
      </c>
      <c r="J1181" s="3" t="str">
        <f t="shared" si="37"/>
        <v>4912_A1C1.webp</v>
      </c>
      <c r="K1181" s="5">
        <f>Sheet4!E1181</f>
        <v>54</v>
      </c>
      <c r="L1181" s="5"/>
      <c r="M1181" s="4"/>
    </row>
    <row r="1182" spans="1:13" x14ac:dyDescent="0.25">
      <c r="A1182" t="s">
        <v>3386</v>
      </c>
      <c r="B1182" t="s">
        <v>4379</v>
      </c>
      <c r="C1182" s="25">
        <v>4914</v>
      </c>
      <c r="D1182" s="28">
        <v>4914</v>
      </c>
      <c r="E1182" s="2" t="str">
        <f t="shared" si="38"/>
        <v>Same</v>
      </c>
      <c r="F1182" s="6" t="s">
        <v>1988</v>
      </c>
      <c r="G1182">
        <v>20.5</v>
      </c>
      <c r="H1182" s="2" t="s">
        <v>1146</v>
      </c>
      <c r="I1182" s="4">
        <f>[1]Sheet1!I1182</f>
        <v>2644</v>
      </c>
      <c r="J1182" s="3" t="str">
        <f t="shared" si="37"/>
        <v>4914_A1C1.webp</v>
      </c>
      <c r="K1182" s="5">
        <f>Sheet4!E1182</f>
        <v>24</v>
      </c>
      <c r="L1182" s="5"/>
      <c r="M1182" s="4"/>
    </row>
    <row r="1183" spans="1:13" x14ac:dyDescent="0.25">
      <c r="A1183" t="s">
        <v>3875</v>
      </c>
      <c r="B1183" t="s">
        <v>4368</v>
      </c>
      <c r="C1183" s="25">
        <v>4915</v>
      </c>
      <c r="D1183" s="28">
        <v>4915</v>
      </c>
      <c r="E1183" s="2" t="str">
        <f t="shared" si="38"/>
        <v>Same</v>
      </c>
      <c r="F1183" s="6" t="s">
        <v>1902</v>
      </c>
      <c r="G1183" s="3">
        <v>25.95</v>
      </c>
      <c r="H1183" s="2" t="s">
        <v>1147</v>
      </c>
      <c r="I1183" s="4">
        <f>[1]Sheet1!I1183</f>
        <v>1889</v>
      </c>
      <c r="J1183" s="3" t="str">
        <f t="shared" si="37"/>
        <v>4915_A1C1.webp</v>
      </c>
      <c r="K1183" s="5">
        <f>Sheet4!E1183</f>
        <v>12</v>
      </c>
      <c r="L1183" s="5"/>
      <c r="M1183" s="4"/>
    </row>
    <row r="1184" spans="1:13" x14ac:dyDescent="0.25">
      <c r="A1184" t="s">
        <v>3875</v>
      </c>
      <c r="B1184" t="s">
        <v>4368</v>
      </c>
      <c r="C1184" s="25">
        <v>4916</v>
      </c>
      <c r="D1184" s="28">
        <v>4916</v>
      </c>
      <c r="E1184" s="2" t="str">
        <f t="shared" si="38"/>
        <v>Same</v>
      </c>
      <c r="F1184" s="6" t="s">
        <v>1902</v>
      </c>
      <c r="H1184" s="2" t="s">
        <v>1148</v>
      </c>
      <c r="I1184" s="4">
        <f>[1]Sheet1!I1184</f>
        <v>0</v>
      </c>
      <c r="J1184" s="3" t="str">
        <f t="shared" si="37"/>
        <v>4916_A1C1.webp</v>
      </c>
      <c r="K1184" s="5">
        <f>Sheet4!E1184</f>
        <v>1</v>
      </c>
      <c r="L1184" s="5"/>
      <c r="M1184" s="4"/>
    </row>
    <row r="1185" spans="1:13" x14ac:dyDescent="0.25">
      <c r="A1185" t="s">
        <v>3875</v>
      </c>
      <c r="B1185" t="s">
        <v>4392</v>
      </c>
      <c r="C1185" s="25">
        <v>4917</v>
      </c>
      <c r="D1185" s="28">
        <v>4917</v>
      </c>
      <c r="E1185" s="2" t="str">
        <f t="shared" si="38"/>
        <v>Same</v>
      </c>
      <c r="F1185" s="6" t="s">
        <v>1989</v>
      </c>
      <c r="G1185" s="3">
        <v>31.95</v>
      </c>
      <c r="H1185" s="2" t="s">
        <v>1149</v>
      </c>
      <c r="I1185" s="4">
        <f>[1]Sheet1!I1185</f>
        <v>141</v>
      </c>
      <c r="J1185" s="3" t="str">
        <f t="shared" si="37"/>
        <v>4917_A1C1.webp</v>
      </c>
      <c r="K1185" s="5">
        <f>Sheet4!E1185</f>
        <v>24</v>
      </c>
      <c r="L1185" s="5"/>
      <c r="M1185" s="4"/>
    </row>
    <row r="1186" spans="1:13" x14ac:dyDescent="0.25">
      <c r="A1186" t="s">
        <v>3875</v>
      </c>
      <c r="B1186" t="s">
        <v>4392</v>
      </c>
      <c r="C1186" s="25">
        <v>4918</v>
      </c>
      <c r="D1186" s="28">
        <v>4918</v>
      </c>
      <c r="E1186" s="2" t="str">
        <f t="shared" si="38"/>
        <v>Same</v>
      </c>
      <c r="F1186" s="6" t="s">
        <v>1990</v>
      </c>
      <c r="G1186" s="3">
        <v>39.5</v>
      </c>
      <c r="H1186" s="2" t="s">
        <v>1150</v>
      </c>
      <c r="I1186" s="4">
        <f>[1]Sheet1!I1186</f>
        <v>680</v>
      </c>
      <c r="J1186" s="3" t="str">
        <f t="shared" si="37"/>
        <v>4918_A1C1.webp</v>
      </c>
      <c r="K1186" s="5">
        <f>Sheet4!E1186</f>
        <v>12</v>
      </c>
      <c r="L1186" s="5"/>
      <c r="M1186" s="4"/>
    </row>
    <row r="1187" spans="1:13" x14ac:dyDescent="0.25">
      <c r="A1187" t="s">
        <v>3875</v>
      </c>
      <c r="B1187" t="s">
        <v>1151</v>
      </c>
      <c r="C1187" s="25">
        <v>4919</v>
      </c>
      <c r="D1187" s="28">
        <v>4919</v>
      </c>
      <c r="E1187" s="2" t="str">
        <f t="shared" si="38"/>
        <v>Same</v>
      </c>
      <c r="F1187" s="6" t="s">
        <v>1873</v>
      </c>
      <c r="G1187" s="3">
        <v>24.5</v>
      </c>
      <c r="H1187" s="2" t="s">
        <v>1151</v>
      </c>
      <c r="I1187" s="4">
        <f>[1]Sheet1!I1187</f>
        <v>0</v>
      </c>
      <c r="J1187" s="3" t="str">
        <f t="shared" si="37"/>
        <v>4919_A1C1.webp</v>
      </c>
      <c r="K1187" s="5">
        <f>Sheet4!E1187</f>
        <v>12</v>
      </c>
      <c r="L1187" s="5"/>
      <c r="M1187" s="4"/>
    </row>
    <row r="1188" spans="1:13" x14ac:dyDescent="0.25">
      <c r="A1188" t="s">
        <v>3875</v>
      </c>
      <c r="B1188" t="s">
        <v>4368</v>
      </c>
      <c r="C1188" s="25">
        <v>4920</v>
      </c>
      <c r="D1188" s="28">
        <v>4920</v>
      </c>
      <c r="E1188" s="2" t="str">
        <f t="shared" si="38"/>
        <v>Same</v>
      </c>
      <c r="F1188" s="6" t="s">
        <v>1863</v>
      </c>
      <c r="G1188" s="3">
        <v>23.95</v>
      </c>
      <c r="H1188" s="2" t="s">
        <v>1135</v>
      </c>
      <c r="I1188" s="4">
        <f>[1]Sheet1!I1188</f>
        <v>2005</v>
      </c>
      <c r="J1188" s="3" t="str">
        <f t="shared" si="37"/>
        <v>4920_A1C1.webp</v>
      </c>
      <c r="K1188" s="5">
        <f>Sheet4!E1188</f>
        <v>20</v>
      </c>
      <c r="L1188" s="5"/>
      <c r="M1188" s="4"/>
    </row>
    <row r="1189" spans="1:13" x14ac:dyDescent="0.25">
      <c r="A1189" t="s">
        <v>3875</v>
      </c>
      <c r="B1189" t="s">
        <v>4392</v>
      </c>
      <c r="C1189" s="25">
        <v>4921</v>
      </c>
      <c r="D1189" s="28">
        <v>4921</v>
      </c>
      <c r="E1189" s="2" t="str">
        <f t="shared" si="38"/>
        <v>Same</v>
      </c>
      <c r="F1189" s="6" t="s">
        <v>1839</v>
      </c>
      <c r="G1189" s="3">
        <v>18.75</v>
      </c>
      <c r="H1189" s="2" t="s">
        <v>1152</v>
      </c>
      <c r="I1189" s="4">
        <f>[1]Sheet1!I1189</f>
        <v>419</v>
      </c>
      <c r="J1189" s="3" t="str">
        <f t="shared" si="37"/>
        <v>4921_A1C1.webp</v>
      </c>
      <c r="K1189" s="5">
        <f>Sheet4!E1189</f>
        <v>12</v>
      </c>
      <c r="L1189" s="5"/>
      <c r="M1189" s="4"/>
    </row>
    <row r="1190" spans="1:13" x14ac:dyDescent="0.25">
      <c r="A1190" t="s">
        <v>3875</v>
      </c>
      <c r="B1190" t="s">
        <v>1151</v>
      </c>
      <c r="C1190" s="25">
        <v>4923</v>
      </c>
      <c r="D1190" s="28">
        <v>4923</v>
      </c>
      <c r="E1190" s="2" t="str">
        <f t="shared" si="38"/>
        <v>Same</v>
      </c>
      <c r="F1190" s="6" t="s">
        <v>1873</v>
      </c>
      <c r="G1190" s="3">
        <v>24.5</v>
      </c>
      <c r="H1190" s="2" t="s">
        <v>1153</v>
      </c>
      <c r="I1190" s="4">
        <f>[1]Sheet1!I1190</f>
        <v>0</v>
      </c>
      <c r="J1190" s="3" t="str">
        <f t="shared" si="37"/>
        <v>4923_A1C1.webp</v>
      </c>
      <c r="K1190" s="5">
        <f>Sheet4!E1190</f>
        <v>12</v>
      </c>
      <c r="L1190" s="5"/>
      <c r="M1190" s="4"/>
    </row>
    <row r="1191" spans="1:13" x14ac:dyDescent="0.25">
      <c r="A1191" t="s">
        <v>3875</v>
      </c>
      <c r="B1191" t="s">
        <v>4368</v>
      </c>
      <c r="C1191" s="25">
        <v>4924</v>
      </c>
      <c r="D1191" s="28">
        <v>4924</v>
      </c>
      <c r="E1191" s="2" t="str">
        <f t="shared" si="38"/>
        <v>Same</v>
      </c>
      <c r="F1191" s="6" t="s">
        <v>1868</v>
      </c>
      <c r="G1191" s="3">
        <v>38.950000000000003</v>
      </c>
      <c r="H1191" s="2" t="s">
        <v>1154</v>
      </c>
      <c r="I1191" s="4">
        <f>[1]Sheet1!I1191</f>
        <v>154</v>
      </c>
      <c r="J1191" s="3" t="str">
        <f t="shared" si="37"/>
        <v>4924_A1C1.webp</v>
      </c>
      <c r="K1191" s="5">
        <f>Sheet4!E1191</f>
        <v>10</v>
      </c>
      <c r="L1191" s="5"/>
      <c r="M1191" s="4"/>
    </row>
    <row r="1192" spans="1:13" x14ac:dyDescent="0.25">
      <c r="A1192" t="s">
        <v>3875</v>
      </c>
      <c r="B1192" t="s">
        <v>4368</v>
      </c>
      <c r="C1192" s="26">
        <v>4925</v>
      </c>
      <c r="D1192" s="28">
        <v>4925</v>
      </c>
      <c r="E1192" s="2" t="str">
        <f t="shared" si="38"/>
        <v>Same</v>
      </c>
      <c r="F1192" s="6" t="s">
        <v>1847</v>
      </c>
      <c r="G1192" s="3">
        <v>25.95</v>
      </c>
      <c r="H1192" s="2" t="s">
        <v>1155</v>
      </c>
      <c r="I1192" s="4">
        <f>[1]Sheet1!I1192</f>
        <v>6900</v>
      </c>
      <c r="J1192" s="3" t="str">
        <f t="shared" si="37"/>
        <v>4925_A1C1.webp</v>
      </c>
      <c r="K1192" s="5">
        <f>Sheet4!E1192</f>
        <v>12</v>
      </c>
      <c r="L1192" s="5"/>
      <c r="M1192" s="4"/>
    </row>
    <row r="1193" spans="1:13" x14ac:dyDescent="0.25">
      <c r="A1193" t="s">
        <v>3875</v>
      </c>
      <c r="B1193" t="s">
        <v>4368</v>
      </c>
      <c r="C1193" s="26">
        <v>4926</v>
      </c>
      <c r="D1193" s="28">
        <v>4926</v>
      </c>
      <c r="E1193" s="2" t="str">
        <f t="shared" si="38"/>
        <v>Same</v>
      </c>
      <c r="F1193" s="2" t="s">
        <v>1902</v>
      </c>
      <c r="H1193" s="2" t="s">
        <v>5364</v>
      </c>
      <c r="I1193" s="4">
        <f>[1]Sheet1!I1193</f>
        <v>0</v>
      </c>
      <c r="J1193" s="3" t="str">
        <f t="shared" si="37"/>
        <v>4926_A1C1.webp</v>
      </c>
      <c r="K1193" s="5">
        <f>Sheet4!E1193</f>
        <v>12</v>
      </c>
      <c r="L1193" s="5" t="s">
        <v>5278</v>
      </c>
      <c r="M1193" s="4"/>
    </row>
    <row r="1194" spans="1:13" x14ac:dyDescent="0.25">
      <c r="A1194" t="s">
        <v>3875</v>
      </c>
      <c r="B1194" t="s">
        <v>4368</v>
      </c>
      <c r="C1194" s="25">
        <v>4927</v>
      </c>
      <c r="D1194" s="28">
        <v>4927</v>
      </c>
      <c r="E1194" s="2" t="str">
        <f t="shared" si="38"/>
        <v>Same</v>
      </c>
      <c r="F1194" s="6" t="s">
        <v>1863</v>
      </c>
      <c r="G1194" s="3">
        <v>25.95</v>
      </c>
      <c r="H1194" s="2" t="s">
        <v>1156</v>
      </c>
      <c r="I1194" s="4">
        <f>[1]Sheet1!I1194</f>
        <v>3247</v>
      </c>
      <c r="J1194" s="3" t="str">
        <f t="shared" si="37"/>
        <v>4927_A1C1.webp</v>
      </c>
      <c r="K1194" s="5">
        <f>Sheet4!E1194</f>
        <v>20</v>
      </c>
      <c r="L1194" s="5"/>
      <c r="M1194" s="4"/>
    </row>
    <row r="1195" spans="1:13" x14ac:dyDescent="0.25">
      <c r="A1195" t="s">
        <v>3875</v>
      </c>
      <c r="B1195" t="s">
        <v>4368</v>
      </c>
      <c r="C1195" s="25">
        <v>4932</v>
      </c>
      <c r="D1195" s="28">
        <v>4932</v>
      </c>
      <c r="E1195" s="2" t="str">
        <f t="shared" si="38"/>
        <v>Same</v>
      </c>
      <c r="F1195" s="6" t="s">
        <v>1847</v>
      </c>
      <c r="G1195" s="3">
        <v>27.5</v>
      </c>
      <c r="H1195" s="2" t="s">
        <v>1157</v>
      </c>
      <c r="I1195" s="4">
        <f>[1]Sheet1!I1195</f>
        <v>510</v>
      </c>
      <c r="J1195" s="3" t="str">
        <f t="shared" si="37"/>
        <v>4932_A1C1.webp</v>
      </c>
      <c r="K1195" s="5">
        <f>Sheet4!E1195</f>
        <v>12</v>
      </c>
      <c r="L1195" s="5"/>
      <c r="M1195" s="4"/>
    </row>
    <row r="1196" spans="1:13" x14ac:dyDescent="0.25">
      <c r="A1196" t="s">
        <v>3875</v>
      </c>
      <c r="B1196" t="s">
        <v>4368</v>
      </c>
      <c r="C1196" s="25">
        <v>4933</v>
      </c>
      <c r="D1196" s="28">
        <v>4933</v>
      </c>
      <c r="E1196" s="2" t="str">
        <f t="shared" si="38"/>
        <v>Same</v>
      </c>
      <c r="F1196" s="6" t="s">
        <v>1847</v>
      </c>
      <c r="G1196" s="3">
        <v>27.5</v>
      </c>
      <c r="H1196" s="2" t="s">
        <v>1158</v>
      </c>
      <c r="I1196" s="4">
        <f>[1]Sheet1!I1196</f>
        <v>3799</v>
      </c>
      <c r="J1196" s="3" t="str">
        <f t="shared" si="37"/>
        <v>4933_A1C1.webp</v>
      </c>
      <c r="K1196" s="5">
        <f>Sheet4!E1196</f>
        <v>12</v>
      </c>
      <c r="L1196" s="5"/>
      <c r="M1196" s="4"/>
    </row>
    <row r="1197" spans="1:13" x14ac:dyDescent="0.25">
      <c r="A1197" t="s">
        <v>3875</v>
      </c>
      <c r="B1197" t="s">
        <v>4368</v>
      </c>
      <c r="C1197" s="25">
        <v>4934</v>
      </c>
      <c r="D1197" s="28">
        <v>4934</v>
      </c>
      <c r="E1197" s="2" t="str">
        <f t="shared" si="38"/>
        <v>Same</v>
      </c>
      <c r="F1197" s="6" t="s">
        <v>1936</v>
      </c>
      <c r="G1197" s="3">
        <v>23.5</v>
      </c>
      <c r="H1197" s="2" t="s">
        <v>1159</v>
      </c>
      <c r="I1197" s="4">
        <f>[1]Sheet1!I1197</f>
        <v>319</v>
      </c>
      <c r="J1197" s="3" t="str">
        <f t="shared" si="37"/>
        <v>4934_A1C1.webp</v>
      </c>
      <c r="K1197" s="5">
        <f>Sheet4!E1197</f>
        <v>12</v>
      </c>
      <c r="L1197" s="5"/>
      <c r="M1197" s="4"/>
    </row>
    <row r="1198" spans="1:13" x14ac:dyDescent="0.25">
      <c r="A1198" t="s">
        <v>3875</v>
      </c>
      <c r="B1198" t="s">
        <v>4392</v>
      </c>
      <c r="C1198" s="25">
        <v>4935</v>
      </c>
      <c r="D1198" s="28">
        <v>4935</v>
      </c>
      <c r="E1198" s="2" t="str">
        <f t="shared" si="38"/>
        <v>Same</v>
      </c>
      <c r="F1198" s="6" t="s">
        <v>1839</v>
      </c>
      <c r="G1198" s="3">
        <v>18.75</v>
      </c>
      <c r="H1198" s="2" t="s">
        <v>1160</v>
      </c>
      <c r="I1198" s="4">
        <f>[1]Sheet1!I1198</f>
        <v>3026</v>
      </c>
      <c r="J1198" s="3" t="str">
        <f t="shared" si="37"/>
        <v>4935_A1C1.webp</v>
      </c>
      <c r="K1198" s="5">
        <f>Sheet4!E1198</f>
        <v>12</v>
      </c>
      <c r="L1198" s="5"/>
      <c r="M1198" s="4"/>
    </row>
    <row r="1199" spans="1:13" x14ac:dyDescent="0.25">
      <c r="A1199" t="s">
        <v>3875</v>
      </c>
      <c r="B1199" t="s">
        <v>4392</v>
      </c>
      <c r="C1199" s="25">
        <v>4936</v>
      </c>
      <c r="D1199" s="28">
        <v>4936</v>
      </c>
      <c r="E1199" s="2" t="str">
        <f t="shared" si="38"/>
        <v>Same</v>
      </c>
      <c r="F1199" s="6" t="s">
        <v>1839</v>
      </c>
      <c r="G1199" s="3">
        <v>18.75</v>
      </c>
      <c r="H1199" s="2" t="s">
        <v>1161</v>
      </c>
      <c r="I1199" s="4">
        <f>[1]Sheet1!I1199</f>
        <v>1093</v>
      </c>
      <c r="J1199" s="3" t="str">
        <f t="shared" si="37"/>
        <v>4936_A1C1.webp</v>
      </c>
      <c r="K1199" s="5">
        <f>Sheet4!E1199</f>
        <v>12</v>
      </c>
      <c r="L1199" s="5"/>
      <c r="M1199" s="4"/>
    </row>
    <row r="1200" spans="1:13" x14ac:dyDescent="0.25">
      <c r="A1200" t="s">
        <v>3875</v>
      </c>
      <c r="B1200" t="s">
        <v>4384</v>
      </c>
      <c r="C1200" s="25">
        <v>4941</v>
      </c>
      <c r="D1200" s="28">
        <v>4941</v>
      </c>
      <c r="E1200" s="2" t="str">
        <f t="shared" si="38"/>
        <v>Same</v>
      </c>
      <c r="F1200" s="6" t="s">
        <v>1902</v>
      </c>
      <c r="G1200" s="3">
        <v>23.95</v>
      </c>
      <c r="H1200" s="2" t="s">
        <v>1162</v>
      </c>
      <c r="I1200" s="4">
        <f>[1]Sheet1!I1200</f>
        <v>0</v>
      </c>
      <c r="J1200" s="3" t="str">
        <f t="shared" si="37"/>
        <v>4941_A1C1.webp</v>
      </c>
      <c r="K1200" s="5">
        <f>Sheet4!E1200</f>
        <v>12</v>
      </c>
      <c r="L1200" s="5"/>
      <c r="M1200" s="4"/>
    </row>
    <row r="1201" spans="1:13" x14ac:dyDescent="0.25">
      <c r="A1201" t="s">
        <v>3386</v>
      </c>
      <c r="B1201" t="s">
        <v>4379</v>
      </c>
      <c r="C1201" s="25">
        <v>4942</v>
      </c>
      <c r="D1201" s="28">
        <v>4942</v>
      </c>
      <c r="E1201" s="2" t="str">
        <f t="shared" si="38"/>
        <v>Same</v>
      </c>
      <c r="F1201" s="6" t="s">
        <v>1936</v>
      </c>
      <c r="G1201">
        <v>16.75</v>
      </c>
      <c r="H1201" s="2" t="s">
        <v>1163</v>
      </c>
      <c r="I1201" s="4">
        <f>[1]Sheet1!I1201</f>
        <v>0</v>
      </c>
      <c r="J1201" s="3" t="str">
        <f t="shared" si="37"/>
        <v>4942_A1C1.webp</v>
      </c>
      <c r="K1201" s="5">
        <f>Sheet4!E1201</f>
        <v>32</v>
      </c>
      <c r="L1201" s="5"/>
      <c r="M1201" s="4"/>
    </row>
    <row r="1202" spans="1:13" x14ac:dyDescent="0.25">
      <c r="A1202" t="s">
        <v>3386</v>
      </c>
      <c r="B1202" t="s">
        <v>4379</v>
      </c>
      <c r="C1202" s="25">
        <v>4943</v>
      </c>
      <c r="D1202" s="28">
        <v>4943</v>
      </c>
      <c r="E1202" s="2" t="str">
        <f t="shared" si="38"/>
        <v>Same</v>
      </c>
      <c r="F1202" s="6" t="s">
        <v>1866</v>
      </c>
      <c r="G1202">
        <v>14.95</v>
      </c>
      <c r="H1202" s="2" t="s">
        <v>1164</v>
      </c>
      <c r="I1202" s="4">
        <f>[1]Sheet1!I1202</f>
        <v>14242</v>
      </c>
      <c r="J1202" s="3" t="str">
        <f t="shared" si="37"/>
        <v>4943_A1C1.webp</v>
      </c>
      <c r="K1202" s="5">
        <f>Sheet4!E1202</f>
        <v>16</v>
      </c>
      <c r="L1202" s="5"/>
      <c r="M1202" s="4"/>
    </row>
    <row r="1203" spans="1:13" x14ac:dyDescent="0.25">
      <c r="A1203" t="s">
        <v>3386</v>
      </c>
      <c r="B1203" t="s">
        <v>4379</v>
      </c>
      <c r="C1203" s="25">
        <v>4944</v>
      </c>
      <c r="D1203" s="28">
        <v>4944</v>
      </c>
      <c r="E1203" s="2" t="str">
        <f t="shared" si="38"/>
        <v>Same</v>
      </c>
      <c r="F1203" s="6" t="s">
        <v>1881</v>
      </c>
      <c r="G1203" s="3">
        <v>19.95</v>
      </c>
      <c r="H1203" s="2" t="s">
        <v>1165</v>
      </c>
      <c r="I1203" s="4">
        <f>[1]Sheet1!I1203</f>
        <v>269</v>
      </c>
      <c r="J1203" s="3" t="str">
        <f t="shared" si="37"/>
        <v>4944_A1C1.webp</v>
      </c>
      <c r="K1203" s="5">
        <f>Sheet4!E1203</f>
        <v>6</v>
      </c>
      <c r="L1203" s="5"/>
      <c r="M1203" s="4"/>
    </row>
    <row r="1204" spans="1:13" x14ac:dyDescent="0.25">
      <c r="A1204" t="s">
        <v>3386</v>
      </c>
      <c r="B1204" t="s">
        <v>4379</v>
      </c>
      <c r="C1204" s="25">
        <v>4946</v>
      </c>
      <c r="D1204" s="28">
        <v>4946</v>
      </c>
      <c r="E1204" s="2" t="str">
        <f t="shared" si="38"/>
        <v>Same</v>
      </c>
      <c r="F1204" s="6" t="s">
        <v>1981</v>
      </c>
      <c r="H1204" s="2" t="s">
        <v>1166</v>
      </c>
      <c r="I1204" s="4">
        <f>[1]Sheet1!I1204</f>
        <v>5518</v>
      </c>
      <c r="J1204" s="3" t="str">
        <f t="shared" si="37"/>
        <v>4946_A1C1.webp</v>
      </c>
      <c r="K1204" s="5">
        <f>Sheet4!E1204</f>
        <v>1</v>
      </c>
      <c r="L1204" s="5"/>
      <c r="M1204" s="4"/>
    </row>
    <row r="1205" spans="1:13" x14ac:dyDescent="0.25">
      <c r="A1205" t="s">
        <v>3386</v>
      </c>
      <c r="B1205" t="s">
        <v>4419</v>
      </c>
      <c r="C1205" s="25">
        <v>4947</v>
      </c>
      <c r="D1205" s="28">
        <v>4947</v>
      </c>
      <c r="E1205" s="2" t="str">
        <f t="shared" si="38"/>
        <v>Same</v>
      </c>
      <c r="F1205" s="6" t="s">
        <v>1991</v>
      </c>
      <c r="G1205">
        <v>15.35</v>
      </c>
      <c r="H1205" s="2" t="s">
        <v>1167</v>
      </c>
      <c r="I1205" s="4">
        <f>[1]Sheet1!I1205</f>
        <v>11017</v>
      </c>
      <c r="J1205" s="3" t="str">
        <f t="shared" si="37"/>
        <v>4947_A1C1.webp</v>
      </c>
      <c r="K1205" s="5">
        <f>Sheet4!E1205</f>
        <v>16</v>
      </c>
      <c r="L1205" s="5"/>
      <c r="M1205" s="4"/>
    </row>
    <row r="1206" spans="1:13" x14ac:dyDescent="0.25">
      <c r="A1206" t="s">
        <v>4082</v>
      </c>
      <c r="B1206" t="s">
        <v>1115</v>
      </c>
      <c r="C1206" s="25">
        <v>4948</v>
      </c>
      <c r="D1206" s="28">
        <v>4948</v>
      </c>
      <c r="E1206" s="2" t="str">
        <f t="shared" si="38"/>
        <v>Same</v>
      </c>
      <c r="F1206" s="6" t="s">
        <v>1875</v>
      </c>
      <c r="G1206" s="3">
        <v>15.35</v>
      </c>
      <c r="H1206" s="2" t="s">
        <v>1168</v>
      </c>
      <c r="I1206" s="4">
        <f>[1]Sheet1!I1206</f>
        <v>1848</v>
      </c>
      <c r="J1206" s="3" t="str">
        <f t="shared" si="37"/>
        <v>4948_A1C1.webp</v>
      </c>
      <c r="K1206" s="5">
        <f>Sheet4!E1206</f>
        <v>12</v>
      </c>
      <c r="L1206" s="5"/>
      <c r="M1206" s="4"/>
    </row>
    <row r="1207" spans="1:13" x14ac:dyDescent="0.25">
      <c r="A1207" t="s">
        <v>2671</v>
      </c>
      <c r="B1207" t="s">
        <v>4364</v>
      </c>
      <c r="C1207" s="25">
        <v>4949</v>
      </c>
      <c r="D1207" s="28">
        <v>4949</v>
      </c>
      <c r="E1207" s="2" t="str">
        <f t="shared" si="38"/>
        <v>Same</v>
      </c>
      <c r="F1207" s="6" t="s">
        <v>1866</v>
      </c>
      <c r="G1207">
        <v>448.5</v>
      </c>
      <c r="H1207" s="2" t="s">
        <v>1169</v>
      </c>
      <c r="I1207" s="4">
        <f>[1]Sheet1!I1207</f>
        <v>81</v>
      </c>
      <c r="J1207" s="3" t="str">
        <f t="shared" si="37"/>
        <v>4949_A1C1.webp</v>
      </c>
      <c r="K1207" s="5">
        <f>Sheet4!E1207</f>
        <v>480</v>
      </c>
      <c r="L1207" s="5"/>
      <c r="M1207" s="4"/>
    </row>
    <row r="1208" spans="1:13" x14ac:dyDescent="0.25">
      <c r="A1208" t="s">
        <v>3386</v>
      </c>
      <c r="B1208" t="s">
        <v>4379</v>
      </c>
      <c r="C1208" s="25">
        <v>4951</v>
      </c>
      <c r="D1208" s="28">
        <v>4951</v>
      </c>
      <c r="E1208" s="2" t="str">
        <f t="shared" si="38"/>
        <v>Same</v>
      </c>
      <c r="F1208" s="6" t="s">
        <v>1992</v>
      </c>
      <c r="G1208" s="3">
        <v>25.75</v>
      </c>
      <c r="H1208" s="2" t="s">
        <v>1170</v>
      </c>
      <c r="I1208" s="4">
        <f>[1]Sheet1!I1208</f>
        <v>469</v>
      </c>
      <c r="J1208" s="3" t="str">
        <f t="shared" si="37"/>
        <v>4951_A1C1.webp</v>
      </c>
      <c r="K1208" s="5">
        <f>Sheet4!E1208</f>
        <v>10</v>
      </c>
      <c r="L1208" s="5"/>
      <c r="M1208" s="4"/>
    </row>
    <row r="1209" spans="1:13" x14ac:dyDescent="0.25">
      <c r="A1209" t="s">
        <v>3875</v>
      </c>
      <c r="B1209" t="s">
        <v>4362</v>
      </c>
      <c r="C1209" s="25">
        <v>4956</v>
      </c>
      <c r="D1209" s="28">
        <v>4956</v>
      </c>
      <c r="E1209" s="2" t="str">
        <f t="shared" si="38"/>
        <v>Same</v>
      </c>
      <c r="F1209" s="6" t="s">
        <v>1993</v>
      </c>
      <c r="G1209" s="3">
        <v>23.5</v>
      </c>
      <c r="H1209" s="2" t="s">
        <v>1171</v>
      </c>
      <c r="I1209" s="4">
        <f>[1]Sheet1!I1209</f>
        <v>0</v>
      </c>
      <c r="J1209" s="3" t="str">
        <f t="shared" si="37"/>
        <v>4956_A1C1.webp</v>
      </c>
      <c r="K1209" s="5">
        <f>Sheet4!E1209</f>
        <v>12</v>
      </c>
      <c r="L1209" s="5"/>
      <c r="M1209" s="4"/>
    </row>
    <row r="1210" spans="1:13" x14ac:dyDescent="0.25">
      <c r="A1210" t="s">
        <v>4082</v>
      </c>
      <c r="B1210" t="s">
        <v>4426</v>
      </c>
      <c r="C1210" s="25">
        <v>4961</v>
      </c>
      <c r="D1210" s="28">
        <v>4961</v>
      </c>
      <c r="E1210" s="2" t="str">
        <f t="shared" si="38"/>
        <v>Same</v>
      </c>
      <c r="F1210" s="6" t="s">
        <v>1922</v>
      </c>
      <c r="G1210" s="3">
        <v>37.5</v>
      </c>
      <c r="H1210" s="2" t="s">
        <v>1172</v>
      </c>
      <c r="I1210" s="4">
        <f>[1]Sheet1!I1210</f>
        <v>312</v>
      </c>
      <c r="J1210" s="3" t="str">
        <f t="shared" si="37"/>
        <v>4961_A1C1.webp</v>
      </c>
      <c r="K1210" s="5">
        <f>Sheet4!E1210</f>
        <v>10</v>
      </c>
      <c r="L1210" s="5"/>
      <c r="M1210" s="4"/>
    </row>
    <row r="1211" spans="1:13" x14ac:dyDescent="0.25">
      <c r="A1211" t="s">
        <v>3386</v>
      </c>
      <c r="B1211" t="s">
        <v>4419</v>
      </c>
      <c r="C1211" s="25">
        <v>4962</v>
      </c>
      <c r="D1211" s="28">
        <v>4962</v>
      </c>
      <c r="E1211" s="2" t="str">
        <f t="shared" si="38"/>
        <v>Same</v>
      </c>
      <c r="F1211" s="6" t="s">
        <v>1866</v>
      </c>
      <c r="G1211" s="3">
        <v>18.95</v>
      </c>
      <c r="H1211" s="2" t="s">
        <v>1173</v>
      </c>
      <c r="I1211" s="4">
        <f>[1]Sheet1!I1211</f>
        <v>0</v>
      </c>
      <c r="J1211" s="3" t="str">
        <f t="shared" si="37"/>
        <v>4962_A1C1.webp</v>
      </c>
      <c r="K1211" s="5">
        <f>Sheet4!E1211</f>
        <v>12</v>
      </c>
      <c r="L1211" s="5"/>
      <c r="M1211" s="4"/>
    </row>
    <row r="1212" spans="1:13" x14ac:dyDescent="0.25">
      <c r="A1212" t="s">
        <v>4082</v>
      </c>
      <c r="B1212" t="s">
        <v>4426</v>
      </c>
      <c r="C1212" s="25">
        <v>4963</v>
      </c>
      <c r="D1212" s="28">
        <v>4963</v>
      </c>
      <c r="E1212" s="2" t="str">
        <f t="shared" si="38"/>
        <v>Same</v>
      </c>
      <c r="F1212" s="6" t="s">
        <v>1869</v>
      </c>
      <c r="G1212" s="3">
        <v>37.5</v>
      </c>
      <c r="H1212" s="2" t="s">
        <v>1174</v>
      </c>
      <c r="I1212" s="4">
        <f>[1]Sheet1!I1212</f>
        <v>665</v>
      </c>
      <c r="J1212" s="3" t="str">
        <f t="shared" si="37"/>
        <v>4963_A1C1.webp</v>
      </c>
      <c r="K1212" s="5">
        <f>Sheet4!E1212</f>
        <v>14</v>
      </c>
      <c r="L1212" s="5"/>
      <c r="M1212" s="4"/>
    </row>
    <row r="1213" spans="1:13" x14ac:dyDescent="0.25">
      <c r="A1213" t="s">
        <v>3386</v>
      </c>
      <c r="B1213" t="s">
        <v>4419</v>
      </c>
      <c r="C1213" s="25">
        <v>4967</v>
      </c>
      <c r="D1213" s="28">
        <v>4967</v>
      </c>
      <c r="E1213" s="2" t="str">
        <f t="shared" si="38"/>
        <v>Same</v>
      </c>
      <c r="F1213" s="6" t="s">
        <v>1839</v>
      </c>
      <c r="G1213">
        <v>15.95</v>
      </c>
      <c r="H1213" s="2" t="s">
        <v>1175</v>
      </c>
      <c r="I1213" s="4">
        <f>[1]Sheet1!I1213</f>
        <v>0</v>
      </c>
      <c r="J1213" s="3" t="str">
        <f t="shared" si="37"/>
        <v>4967_A1C1.webp</v>
      </c>
      <c r="K1213" s="5">
        <f>Sheet4!E1213</f>
        <v>32</v>
      </c>
      <c r="L1213" s="5"/>
      <c r="M1213" s="4"/>
    </row>
    <row r="1214" spans="1:13" x14ac:dyDescent="0.25">
      <c r="A1214" t="s">
        <v>3386</v>
      </c>
      <c r="B1214" t="s">
        <v>4379</v>
      </c>
      <c r="C1214" s="25">
        <v>4968</v>
      </c>
      <c r="D1214" s="28">
        <v>4968</v>
      </c>
      <c r="E1214" s="2" t="str">
        <f t="shared" si="38"/>
        <v>Same</v>
      </c>
      <c r="F1214" s="6" t="s">
        <v>1936</v>
      </c>
      <c r="G1214">
        <v>19.350000000000001</v>
      </c>
      <c r="H1214" s="2" t="s">
        <v>1176</v>
      </c>
      <c r="I1214" s="4">
        <f>[1]Sheet1!I1214</f>
        <v>216</v>
      </c>
      <c r="J1214" s="3" t="str">
        <f t="shared" si="37"/>
        <v>4968_A1C1.webp</v>
      </c>
      <c r="K1214" s="5">
        <f>Sheet4!E1214</f>
        <v>32</v>
      </c>
      <c r="L1214" s="5"/>
      <c r="M1214" s="4"/>
    </row>
    <row r="1215" spans="1:13" x14ac:dyDescent="0.25">
      <c r="A1215" t="s">
        <v>3386</v>
      </c>
      <c r="B1215" t="s">
        <v>4379</v>
      </c>
      <c r="C1215" s="25">
        <v>4969</v>
      </c>
      <c r="D1215" s="28">
        <v>4969</v>
      </c>
      <c r="E1215" s="2" t="str">
        <f t="shared" si="38"/>
        <v>Same</v>
      </c>
      <c r="F1215" s="6" t="s">
        <v>1866</v>
      </c>
      <c r="G1215" s="3">
        <v>17.5</v>
      </c>
      <c r="H1215" s="2" t="s">
        <v>1177</v>
      </c>
      <c r="I1215" s="4">
        <f>[1]Sheet1!I1215</f>
        <v>1855</v>
      </c>
      <c r="J1215" s="3" t="str">
        <f t="shared" si="37"/>
        <v>4969_A1C1.webp</v>
      </c>
      <c r="K1215" s="5">
        <f>Sheet4!E1215</f>
        <v>16</v>
      </c>
      <c r="L1215" s="5"/>
      <c r="M1215" s="4"/>
    </row>
    <row r="1216" spans="1:13" x14ac:dyDescent="0.25">
      <c r="A1216" t="s">
        <v>3386</v>
      </c>
      <c r="B1216" t="s">
        <v>4379</v>
      </c>
      <c r="C1216" s="25">
        <v>4970</v>
      </c>
      <c r="D1216" s="28">
        <v>4970</v>
      </c>
      <c r="E1216" s="2" t="str">
        <f t="shared" si="38"/>
        <v>Same</v>
      </c>
      <c r="F1216" s="6" t="s">
        <v>1994</v>
      </c>
      <c r="G1216" s="3">
        <v>18.95</v>
      </c>
      <c r="H1216" s="2" t="s">
        <v>1178</v>
      </c>
      <c r="I1216" s="4">
        <f>[1]Sheet1!I1216</f>
        <v>0</v>
      </c>
      <c r="J1216" s="3" t="str">
        <f t="shared" si="37"/>
        <v>4970_A1C1.webp</v>
      </c>
      <c r="K1216" s="5">
        <f>Sheet4!E1216</f>
        <v>10</v>
      </c>
      <c r="L1216" s="5"/>
      <c r="M1216" s="4"/>
    </row>
    <row r="1217" spans="1:13" x14ac:dyDescent="0.25">
      <c r="A1217" t="s">
        <v>3386</v>
      </c>
      <c r="B1217" t="s">
        <v>4379</v>
      </c>
      <c r="C1217" s="25">
        <v>4972</v>
      </c>
      <c r="D1217" s="28">
        <v>4972</v>
      </c>
      <c r="E1217" s="2" t="str">
        <f t="shared" si="38"/>
        <v>Same</v>
      </c>
      <c r="F1217" s="6" t="s">
        <v>1866</v>
      </c>
      <c r="G1217">
        <v>57.95</v>
      </c>
      <c r="H1217" s="2" t="s">
        <v>1179</v>
      </c>
      <c r="I1217" s="4">
        <f>[1]Sheet1!I1217</f>
        <v>398</v>
      </c>
      <c r="J1217" s="3" t="str">
        <f t="shared" si="37"/>
        <v>4972_A1C1.webp</v>
      </c>
      <c r="K1217" s="5">
        <f>Sheet4!E1217</f>
        <v>64</v>
      </c>
      <c r="L1217" s="5"/>
      <c r="M1217" s="4"/>
    </row>
    <row r="1218" spans="1:13" x14ac:dyDescent="0.25">
      <c r="A1218" t="s">
        <v>3386</v>
      </c>
      <c r="B1218" t="s">
        <v>4353</v>
      </c>
      <c r="C1218" s="25">
        <v>4987</v>
      </c>
      <c r="D1218" s="28">
        <v>4987</v>
      </c>
      <c r="E1218" s="2" t="str">
        <f t="shared" si="38"/>
        <v>Same</v>
      </c>
      <c r="F1218" s="6" t="s">
        <v>1993</v>
      </c>
      <c r="G1218">
        <v>21.5</v>
      </c>
      <c r="H1218" s="2" t="s">
        <v>1180</v>
      </c>
      <c r="I1218" s="4">
        <f>[1]Sheet1!I1218</f>
        <v>156</v>
      </c>
      <c r="J1218" s="3" t="str">
        <f t="shared" ref="J1218:J1281" si="39">C1218 &amp; "_A1C1.webp"</f>
        <v>4987_A1C1.webp</v>
      </c>
      <c r="K1218" s="5">
        <f>Sheet4!E1218</f>
        <v>24</v>
      </c>
      <c r="L1218" s="5"/>
      <c r="M1218" s="4"/>
    </row>
    <row r="1219" spans="1:13" x14ac:dyDescent="0.25">
      <c r="A1219" t="s">
        <v>3386</v>
      </c>
      <c r="B1219" t="s">
        <v>4353</v>
      </c>
      <c r="C1219" s="25">
        <v>4988</v>
      </c>
      <c r="D1219" s="28">
        <v>4988</v>
      </c>
      <c r="E1219" s="2" t="str">
        <f t="shared" si="38"/>
        <v>Same</v>
      </c>
      <c r="F1219" s="6" t="s">
        <v>1993</v>
      </c>
      <c r="G1219">
        <v>21.5</v>
      </c>
      <c r="H1219" s="2" t="s">
        <v>1181</v>
      </c>
      <c r="I1219" s="4">
        <f>[1]Sheet1!I1219</f>
        <v>176</v>
      </c>
      <c r="J1219" s="3" t="str">
        <f t="shared" si="39"/>
        <v>4988_A1C1.webp</v>
      </c>
      <c r="K1219" s="5">
        <f>Sheet4!E1219</f>
        <v>24</v>
      </c>
      <c r="L1219" s="5"/>
      <c r="M1219" s="4"/>
    </row>
    <row r="1220" spans="1:13" x14ac:dyDescent="0.25">
      <c r="A1220" t="s">
        <v>3386</v>
      </c>
      <c r="B1220" t="s">
        <v>4353</v>
      </c>
      <c r="C1220" s="25">
        <v>4989</v>
      </c>
      <c r="D1220" s="28">
        <v>4989</v>
      </c>
      <c r="E1220" s="2" t="str">
        <f t="shared" si="38"/>
        <v>Same</v>
      </c>
      <c r="F1220" s="6" t="s">
        <v>1993</v>
      </c>
      <c r="G1220">
        <v>21.5</v>
      </c>
      <c r="H1220" s="2" t="s">
        <v>1182</v>
      </c>
      <c r="I1220" s="4">
        <f>[1]Sheet1!I1220</f>
        <v>384</v>
      </c>
      <c r="J1220" s="3" t="str">
        <f t="shared" si="39"/>
        <v>4989_A1C1.webp</v>
      </c>
      <c r="K1220" s="5">
        <f>Sheet4!E1220</f>
        <v>24</v>
      </c>
      <c r="L1220" s="5"/>
      <c r="M1220" s="4"/>
    </row>
    <row r="1221" spans="1:13" x14ac:dyDescent="0.25">
      <c r="A1221" t="s">
        <v>3386</v>
      </c>
      <c r="B1221" t="s">
        <v>4379</v>
      </c>
      <c r="C1221" s="25">
        <v>4990</v>
      </c>
      <c r="D1221" s="28">
        <v>4990</v>
      </c>
      <c r="E1221" s="2" t="str">
        <f t="shared" si="38"/>
        <v>Same</v>
      </c>
      <c r="F1221" s="6" t="s">
        <v>1866</v>
      </c>
      <c r="G1221" s="3">
        <v>24.95</v>
      </c>
      <c r="H1221" s="2" t="s">
        <v>1183</v>
      </c>
      <c r="I1221" s="4">
        <f>[1]Sheet1!I1221</f>
        <v>1312</v>
      </c>
      <c r="J1221" s="3" t="str">
        <f t="shared" si="39"/>
        <v>4990_A1C1.webp</v>
      </c>
      <c r="K1221" s="5">
        <f>Sheet4!E1221</f>
        <v>16</v>
      </c>
      <c r="L1221" s="5"/>
      <c r="M1221" s="4"/>
    </row>
    <row r="1222" spans="1:13" x14ac:dyDescent="0.25">
      <c r="A1222" t="s">
        <v>3875</v>
      </c>
      <c r="B1222" t="s">
        <v>4368</v>
      </c>
      <c r="C1222" s="25">
        <v>4999</v>
      </c>
      <c r="D1222" s="28">
        <v>4999</v>
      </c>
      <c r="E1222" s="2" t="str">
        <f t="shared" si="38"/>
        <v>Same</v>
      </c>
      <c r="F1222" s="2" t="s">
        <v>1874</v>
      </c>
      <c r="G1222" s="3"/>
      <c r="H1222" s="2" t="s">
        <v>5353</v>
      </c>
      <c r="I1222" s="4">
        <f>[1]Sheet1!I1222</f>
        <v>321</v>
      </c>
      <c r="J1222" s="3" t="str">
        <f t="shared" si="39"/>
        <v>4999_A1C1.webp</v>
      </c>
      <c r="K1222" s="5">
        <f>Sheet4!E1222</f>
        <v>6</v>
      </c>
      <c r="L1222" s="5" t="s">
        <v>5278</v>
      </c>
      <c r="M1222" s="4"/>
    </row>
    <row r="1223" spans="1:13" x14ac:dyDescent="0.25">
      <c r="A1223" t="s">
        <v>3595</v>
      </c>
      <c r="B1223" t="s">
        <v>4442</v>
      </c>
      <c r="C1223" s="25">
        <v>5000</v>
      </c>
      <c r="D1223" s="28">
        <v>5000</v>
      </c>
      <c r="E1223" s="2" t="str">
        <f t="shared" ref="E1223:E1286" si="40">IF(C1223=D1223, "Same","New")</f>
        <v>Same</v>
      </c>
      <c r="F1223" s="6" t="s">
        <v>1907</v>
      </c>
      <c r="G1223" s="3">
        <v>16.95</v>
      </c>
      <c r="H1223" s="2" t="s">
        <v>1184</v>
      </c>
      <c r="I1223" s="4">
        <f>[1]Sheet1!I1223</f>
        <v>9070</v>
      </c>
      <c r="J1223" s="3" t="str">
        <f t="shared" si="39"/>
        <v>5000_A1C1.webp</v>
      </c>
      <c r="K1223" s="5">
        <f>Sheet4!E1223</f>
        <v>4</v>
      </c>
      <c r="L1223" s="5"/>
      <c r="M1223" s="4"/>
    </row>
    <row r="1224" spans="1:13" x14ac:dyDescent="0.25">
      <c r="A1224" t="s">
        <v>3595</v>
      </c>
      <c r="B1224" t="s">
        <v>4442</v>
      </c>
      <c r="C1224" s="25">
        <v>5001</v>
      </c>
      <c r="D1224" s="28">
        <v>5001</v>
      </c>
      <c r="E1224" s="2" t="str">
        <f t="shared" si="40"/>
        <v>Same</v>
      </c>
      <c r="F1224" s="6" t="s">
        <v>1918</v>
      </c>
      <c r="G1224">
        <v>9.9499999999999993</v>
      </c>
      <c r="H1224" s="2" t="s">
        <v>1185</v>
      </c>
      <c r="I1224" s="4">
        <f>[1]Sheet1!I1224</f>
        <v>1003</v>
      </c>
      <c r="J1224" s="3" t="str">
        <f t="shared" si="39"/>
        <v>5001_A1C1.webp</v>
      </c>
      <c r="K1224" s="5">
        <f>Sheet4!E1224</f>
        <v>12</v>
      </c>
      <c r="L1224" t="str">
        <f>IF(ISNUMBER(MATCH(C1224, Sheet3!A:A, 0)), "New", "")</f>
        <v>New</v>
      </c>
      <c r="M1224" s="4"/>
    </row>
    <row r="1225" spans="1:13" x14ac:dyDescent="0.25">
      <c r="A1225" t="s">
        <v>3595</v>
      </c>
      <c r="B1225" t="s">
        <v>4442</v>
      </c>
      <c r="C1225" s="25">
        <v>5005</v>
      </c>
      <c r="D1225" s="28">
        <v>5005</v>
      </c>
      <c r="E1225" s="2" t="str">
        <f t="shared" si="40"/>
        <v>Same</v>
      </c>
      <c r="F1225" s="6" t="s">
        <v>1907</v>
      </c>
      <c r="G1225" s="3">
        <v>16.95</v>
      </c>
      <c r="H1225" s="2" t="s">
        <v>1186</v>
      </c>
      <c r="I1225" s="4">
        <f>[1]Sheet1!I1225</f>
        <v>573</v>
      </c>
      <c r="J1225" s="3" t="str">
        <f t="shared" si="39"/>
        <v>5005_A1C1.webp</v>
      </c>
      <c r="K1225" s="5">
        <f>Sheet4!E1225</f>
        <v>4</v>
      </c>
      <c r="M1225" s="4"/>
    </row>
    <row r="1226" spans="1:13" x14ac:dyDescent="0.25">
      <c r="A1226" t="s">
        <v>3258</v>
      </c>
      <c r="B1226" s="2" t="s">
        <v>966</v>
      </c>
      <c r="C1226" s="25">
        <v>5008</v>
      </c>
      <c r="D1226" s="28">
        <v>5008</v>
      </c>
      <c r="E1226" s="2" t="str">
        <f t="shared" si="40"/>
        <v>Same</v>
      </c>
      <c r="F1226" s="6" t="s">
        <v>1995</v>
      </c>
      <c r="H1226" s="2" t="s">
        <v>966</v>
      </c>
      <c r="I1226" s="4">
        <f>[1]Sheet1!I1226</f>
        <v>0</v>
      </c>
      <c r="J1226" s="3" t="str">
        <f t="shared" si="39"/>
        <v>5008_A1C1.webp</v>
      </c>
      <c r="K1226" s="5">
        <f>Sheet4!E1226</f>
        <v>1</v>
      </c>
      <c r="L1226" s="5"/>
      <c r="M1226" s="4"/>
    </row>
    <row r="1227" spans="1:13" x14ac:dyDescent="0.25">
      <c r="A1227" t="s">
        <v>3386</v>
      </c>
      <c r="B1227" t="s">
        <v>4353</v>
      </c>
      <c r="C1227" s="25">
        <v>5009</v>
      </c>
      <c r="D1227" s="28">
        <v>5009</v>
      </c>
      <c r="E1227" s="2" t="str">
        <f t="shared" si="40"/>
        <v>Same</v>
      </c>
      <c r="F1227" s="6" t="s">
        <v>1953</v>
      </c>
      <c r="G1227">
        <v>21.5</v>
      </c>
      <c r="H1227" s="2" t="s">
        <v>1187</v>
      </c>
      <c r="I1227" s="4">
        <f>[1]Sheet1!I1227</f>
        <v>1433</v>
      </c>
      <c r="J1227" s="3" t="str">
        <f t="shared" si="39"/>
        <v>5009_A1C1.webp</v>
      </c>
      <c r="K1227" s="5">
        <f>Sheet4!E1227</f>
        <v>24</v>
      </c>
      <c r="L1227" s="5"/>
      <c r="M1227" s="4"/>
    </row>
    <row r="1228" spans="1:13" x14ac:dyDescent="0.25">
      <c r="A1228" t="s">
        <v>3386</v>
      </c>
      <c r="B1228" t="s">
        <v>4353</v>
      </c>
      <c r="C1228" s="25">
        <v>5010</v>
      </c>
      <c r="D1228" s="28">
        <v>5010</v>
      </c>
      <c r="E1228" s="2" t="str">
        <f t="shared" si="40"/>
        <v>Same</v>
      </c>
      <c r="F1228" s="6" t="s">
        <v>1953</v>
      </c>
      <c r="G1228">
        <v>21.5</v>
      </c>
      <c r="H1228" s="2" t="s">
        <v>1188</v>
      </c>
      <c r="I1228" s="4">
        <f>[1]Sheet1!I1228</f>
        <v>653</v>
      </c>
      <c r="J1228" s="3" t="str">
        <f t="shared" si="39"/>
        <v>5010_A1C1.webp</v>
      </c>
      <c r="K1228" s="5">
        <f>Sheet4!E1228</f>
        <v>24</v>
      </c>
      <c r="L1228" s="5"/>
      <c r="M1228" s="4"/>
    </row>
    <row r="1229" spans="1:13" x14ac:dyDescent="0.25">
      <c r="A1229" t="s">
        <v>3386</v>
      </c>
      <c r="B1229" t="s">
        <v>4353</v>
      </c>
      <c r="C1229" s="25">
        <v>5011</v>
      </c>
      <c r="D1229" s="28">
        <v>5011</v>
      </c>
      <c r="E1229" s="2" t="str">
        <f t="shared" si="40"/>
        <v>Same</v>
      </c>
      <c r="F1229" s="6" t="s">
        <v>1953</v>
      </c>
      <c r="G1229">
        <v>21.5</v>
      </c>
      <c r="H1229" s="2" t="s">
        <v>1189</v>
      </c>
      <c r="I1229" s="4">
        <f>[1]Sheet1!I1229</f>
        <v>1763</v>
      </c>
      <c r="J1229" s="3" t="str">
        <f t="shared" si="39"/>
        <v>5011_A1C1.webp</v>
      </c>
      <c r="K1229" s="5">
        <f>Sheet4!E1229</f>
        <v>24</v>
      </c>
      <c r="L1229" s="5"/>
      <c r="M1229" s="4"/>
    </row>
    <row r="1230" spans="1:13" x14ac:dyDescent="0.25">
      <c r="A1230" t="s">
        <v>3595</v>
      </c>
      <c r="B1230" t="s">
        <v>4450</v>
      </c>
      <c r="C1230" s="25">
        <v>5014</v>
      </c>
      <c r="D1230" s="28">
        <v>5014</v>
      </c>
      <c r="E1230" s="2" t="str">
        <f t="shared" si="40"/>
        <v>Same</v>
      </c>
      <c r="F1230" s="6" t="s">
        <v>1918</v>
      </c>
      <c r="G1230" s="3">
        <v>22.5</v>
      </c>
      <c r="H1230" s="2" t="s">
        <v>1190</v>
      </c>
      <c r="I1230" s="4">
        <f>[1]Sheet1!I1230</f>
        <v>193</v>
      </c>
      <c r="J1230" s="3" t="str">
        <f t="shared" si="39"/>
        <v>5014_A1C1.webp</v>
      </c>
      <c r="K1230" s="5">
        <f>Sheet4!E1230</f>
        <v>12</v>
      </c>
      <c r="L1230" s="5"/>
      <c r="M1230" s="4"/>
    </row>
    <row r="1231" spans="1:13" x14ac:dyDescent="0.25">
      <c r="A1231" t="s">
        <v>3386</v>
      </c>
      <c r="B1231" t="s">
        <v>4353</v>
      </c>
      <c r="C1231" s="25">
        <v>5015</v>
      </c>
      <c r="D1231" s="28">
        <v>5015</v>
      </c>
      <c r="E1231" s="2" t="str">
        <f t="shared" si="40"/>
        <v>Same</v>
      </c>
      <c r="F1231" s="6" t="s">
        <v>1953</v>
      </c>
      <c r="G1231">
        <v>21.5</v>
      </c>
      <c r="H1231" s="2" t="s">
        <v>1191</v>
      </c>
      <c r="I1231" s="4">
        <f>[1]Sheet1!I1231</f>
        <v>2264</v>
      </c>
      <c r="J1231" s="3" t="str">
        <f t="shared" si="39"/>
        <v>5015_A1C1.webp</v>
      </c>
      <c r="K1231" s="5">
        <f>Sheet4!E1231</f>
        <v>24</v>
      </c>
      <c r="L1231" s="5"/>
      <c r="M1231" s="4"/>
    </row>
    <row r="1232" spans="1:13" x14ac:dyDescent="0.25">
      <c r="A1232" t="s">
        <v>3386</v>
      </c>
      <c r="B1232" t="s">
        <v>4353</v>
      </c>
      <c r="C1232" s="25">
        <v>5016</v>
      </c>
      <c r="D1232" s="28">
        <v>5016</v>
      </c>
      <c r="E1232" s="2" t="str">
        <f t="shared" si="40"/>
        <v>Same</v>
      </c>
      <c r="F1232" s="6" t="s">
        <v>1953</v>
      </c>
      <c r="G1232">
        <v>21.5</v>
      </c>
      <c r="H1232" s="2" t="s">
        <v>1192</v>
      </c>
      <c r="I1232" s="4">
        <f>[1]Sheet1!I1232</f>
        <v>574</v>
      </c>
      <c r="J1232" s="3" t="str">
        <f t="shared" si="39"/>
        <v>5016_A1C1.webp</v>
      </c>
      <c r="K1232" s="5">
        <f>Sheet4!E1232</f>
        <v>24</v>
      </c>
      <c r="L1232" s="5"/>
      <c r="M1232" s="4"/>
    </row>
    <row r="1233" spans="1:13" x14ac:dyDescent="0.25">
      <c r="A1233" t="s">
        <v>3386</v>
      </c>
      <c r="B1233" t="s">
        <v>4353</v>
      </c>
      <c r="C1233" s="25">
        <v>5017</v>
      </c>
      <c r="D1233" s="28">
        <v>5017</v>
      </c>
      <c r="E1233" s="2" t="str">
        <f t="shared" si="40"/>
        <v>Same</v>
      </c>
      <c r="F1233" s="6" t="s">
        <v>1953</v>
      </c>
      <c r="G1233">
        <v>21.5</v>
      </c>
      <c r="H1233" s="2" t="s">
        <v>1193</v>
      </c>
      <c r="I1233" s="4">
        <f>[1]Sheet1!I1233</f>
        <v>5803</v>
      </c>
      <c r="J1233" s="3" t="str">
        <f t="shared" si="39"/>
        <v>5017_A1C1.webp</v>
      </c>
      <c r="K1233" s="5">
        <f>Sheet4!E1233</f>
        <v>24</v>
      </c>
      <c r="L1233" s="5"/>
      <c r="M1233" s="4"/>
    </row>
    <row r="1234" spans="1:13" x14ac:dyDescent="0.25">
      <c r="A1234" t="s">
        <v>3386</v>
      </c>
      <c r="B1234" t="s">
        <v>4353</v>
      </c>
      <c r="C1234" s="25">
        <v>5018</v>
      </c>
      <c r="D1234" s="28">
        <v>5018</v>
      </c>
      <c r="E1234" s="2" t="str">
        <f t="shared" si="40"/>
        <v>Same</v>
      </c>
      <c r="F1234" s="6" t="s">
        <v>1953</v>
      </c>
      <c r="G1234">
        <v>21.5</v>
      </c>
      <c r="H1234" s="2" t="s">
        <v>1194</v>
      </c>
      <c r="I1234" s="4">
        <f>[1]Sheet1!I1234</f>
        <v>2199</v>
      </c>
      <c r="J1234" s="3" t="str">
        <f t="shared" si="39"/>
        <v>5018_A1C1.webp</v>
      </c>
      <c r="K1234" s="5">
        <f>Sheet4!E1234</f>
        <v>24</v>
      </c>
      <c r="L1234" s="5"/>
      <c r="M1234" s="4"/>
    </row>
    <row r="1235" spans="1:13" x14ac:dyDescent="0.25">
      <c r="A1235" t="s">
        <v>3386</v>
      </c>
      <c r="B1235" t="s">
        <v>4353</v>
      </c>
      <c r="C1235" s="25">
        <v>5019</v>
      </c>
      <c r="D1235" s="28">
        <v>5019</v>
      </c>
      <c r="E1235" s="2" t="str">
        <f t="shared" si="40"/>
        <v>Same</v>
      </c>
      <c r="F1235" s="6" t="s">
        <v>1953</v>
      </c>
      <c r="G1235">
        <v>21.5</v>
      </c>
      <c r="H1235" s="2" t="s">
        <v>1195</v>
      </c>
      <c r="I1235" s="4">
        <f>[1]Sheet1!I1235</f>
        <v>3501</v>
      </c>
      <c r="J1235" s="3" t="str">
        <f t="shared" si="39"/>
        <v>5019_A1C1.webp</v>
      </c>
      <c r="K1235" s="5">
        <f>Sheet4!E1235</f>
        <v>24</v>
      </c>
      <c r="L1235" s="5"/>
      <c r="M1235" s="4"/>
    </row>
    <row r="1236" spans="1:13" x14ac:dyDescent="0.25">
      <c r="A1236" t="s">
        <v>3315</v>
      </c>
      <c r="B1236" t="s">
        <v>1196</v>
      </c>
      <c r="C1236" s="25">
        <v>5023</v>
      </c>
      <c r="D1236" s="28">
        <v>5023</v>
      </c>
      <c r="E1236" s="2" t="str">
        <f t="shared" si="40"/>
        <v>Same</v>
      </c>
      <c r="F1236" s="6" t="s">
        <v>1910</v>
      </c>
      <c r="G1236" s="3">
        <v>34.950000000000003</v>
      </c>
      <c r="H1236" s="2" t="s">
        <v>1196</v>
      </c>
      <c r="I1236" s="4">
        <f>[1]Sheet1!I1236</f>
        <v>5276</v>
      </c>
      <c r="J1236" s="3" t="str">
        <f t="shared" si="39"/>
        <v>5023_A1C1.webp</v>
      </c>
      <c r="K1236" s="5">
        <f>Sheet4!E1236</f>
        <v>12</v>
      </c>
      <c r="L1236" s="5"/>
      <c r="M1236" s="4"/>
    </row>
    <row r="1237" spans="1:13" x14ac:dyDescent="0.25">
      <c r="A1237" t="s">
        <v>3315</v>
      </c>
      <c r="B1237" t="s">
        <v>1196</v>
      </c>
      <c r="C1237" s="25">
        <v>5024</v>
      </c>
      <c r="D1237" s="28">
        <v>5024</v>
      </c>
      <c r="E1237" s="2" t="str">
        <f t="shared" si="40"/>
        <v>Same</v>
      </c>
      <c r="F1237" s="6" t="s">
        <v>1896</v>
      </c>
      <c r="G1237" s="3">
        <v>32.950000000000003</v>
      </c>
      <c r="H1237" s="2" t="s">
        <v>1196</v>
      </c>
      <c r="I1237" s="4">
        <f>[1]Sheet1!I1237</f>
        <v>1022</v>
      </c>
      <c r="J1237" s="3" t="str">
        <f t="shared" si="39"/>
        <v>5024_A1C1.webp</v>
      </c>
      <c r="K1237" s="5">
        <f>Sheet4!E1237</f>
        <v>6</v>
      </c>
      <c r="L1237" s="5"/>
      <c r="M1237" s="4"/>
    </row>
    <row r="1238" spans="1:13" x14ac:dyDescent="0.25">
      <c r="A1238" t="s">
        <v>3595</v>
      </c>
      <c r="B1238" t="s">
        <v>4442</v>
      </c>
      <c r="C1238" s="25">
        <v>5025</v>
      </c>
      <c r="D1238" s="28">
        <v>5025</v>
      </c>
      <c r="E1238" s="2" t="str">
        <f t="shared" si="40"/>
        <v>Same</v>
      </c>
      <c r="F1238" s="6" t="s">
        <v>1907</v>
      </c>
      <c r="H1238" s="2" t="s">
        <v>1197</v>
      </c>
      <c r="I1238" s="4">
        <f>[1]Sheet1!I1238</f>
        <v>0</v>
      </c>
      <c r="J1238" s="3" t="str">
        <f t="shared" si="39"/>
        <v>5025_A1C1.webp</v>
      </c>
      <c r="K1238" s="5">
        <f>Sheet4!E1238</f>
        <v>4</v>
      </c>
      <c r="L1238" s="5"/>
      <c r="M1238" s="4"/>
    </row>
    <row r="1239" spans="1:13" x14ac:dyDescent="0.25">
      <c r="A1239" t="s">
        <v>2671</v>
      </c>
      <c r="B1239" t="s">
        <v>4364</v>
      </c>
      <c r="C1239" s="25">
        <v>5026</v>
      </c>
      <c r="D1239" s="28">
        <v>5026</v>
      </c>
      <c r="E1239" s="2" t="str">
        <f t="shared" si="40"/>
        <v>Same</v>
      </c>
      <c r="F1239" s="6" t="s">
        <v>1996</v>
      </c>
      <c r="G1239" s="3">
        <v>299.95</v>
      </c>
      <c r="H1239" s="2" t="s">
        <v>1198</v>
      </c>
      <c r="I1239" s="4">
        <f>[1]Sheet1!I1239</f>
        <v>1</v>
      </c>
      <c r="J1239" s="3" t="str">
        <f t="shared" si="39"/>
        <v>5026_A1C1.webp</v>
      </c>
      <c r="K1239" s="5">
        <f>Sheet4!E1239</f>
        <v>96</v>
      </c>
      <c r="L1239" t="str">
        <f>IF(ISNUMBER(MATCH(C1239, Sheet3!A:A, 0)), "New", "")</f>
        <v>New</v>
      </c>
      <c r="M1239" s="4"/>
    </row>
    <row r="1240" spans="1:13" x14ac:dyDescent="0.25">
      <c r="A1240" t="s">
        <v>3595</v>
      </c>
      <c r="B1240" t="s">
        <v>4442</v>
      </c>
      <c r="C1240" s="25">
        <v>5030</v>
      </c>
      <c r="D1240" s="28">
        <v>5030</v>
      </c>
      <c r="E1240" s="2" t="str">
        <f t="shared" si="40"/>
        <v>Same</v>
      </c>
      <c r="F1240" s="6" t="s">
        <v>1907</v>
      </c>
      <c r="H1240" s="2" t="s">
        <v>1199</v>
      </c>
      <c r="I1240" s="4">
        <f>[1]Sheet1!I1240</f>
        <v>31</v>
      </c>
      <c r="J1240" s="3" t="str">
        <f t="shared" si="39"/>
        <v>5030_A1C1.webp</v>
      </c>
      <c r="K1240" s="5">
        <f>Sheet4!E1240</f>
        <v>100</v>
      </c>
      <c r="L1240" s="5"/>
      <c r="M1240" s="4"/>
    </row>
    <row r="1241" spans="1:13" x14ac:dyDescent="0.25">
      <c r="A1241" t="s">
        <v>2671</v>
      </c>
      <c r="B1241" t="s">
        <v>4353</v>
      </c>
      <c r="C1241" s="25">
        <v>5031</v>
      </c>
      <c r="D1241" s="28">
        <v>5031</v>
      </c>
      <c r="E1241" s="2" t="str">
        <f t="shared" si="40"/>
        <v>Same</v>
      </c>
      <c r="F1241" s="6" t="s">
        <v>1953</v>
      </c>
      <c r="H1241" s="2" t="s">
        <v>1200</v>
      </c>
      <c r="I1241" s="4">
        <f>[1]Sheet1!I1241</f>
        <v>0</v>
      </c>
      <c r="J1241" s="3" t="str">
        <f t="shared" si="39"/>
        <v>5031_A1C1.webp</v>
      </c>
      <c r="K1241" s="5">
        <f>Sheet4!E1241</f>
        <v>96</v>
      </c>
      <c r="L1241" s="5"/>
      <c r="M1241" s="4"/>
    </row>
    <row r="1242" spans="1:13" x14ac:dyDescent="0.25">
      <c r="A1242" t="s">
        <v>4463</v>
      </c>
      <c r="B1242" t="s">
        <v>4464</v>
      </c>
      <c r="C1242" s="25">
        <v>5034</v>
      </c>
      <c r="D1242" s="28">
        <v>5034</v>
      </c>
      <c r="E1242" s="2" t="str">
        <f t="shared" si="40"/>
        <v>Same</v>
      </c>
      <c r="F1242" s="6" t="s">
        <v>1910</v>
      </c>
      <c r="G1242" s="3">
        <v>17.95</v>
      </c>
      <c r="H1242" s="2" t="s">
        <v>1201</v>
      </c>
      <c r="I1242" s="4">
        <f>[1]Sheet1!I1242</f>
        <v>5871</v>
      </c>
      <c r="J1242" s="3" t="str">
        <f t="shared" si="39"/>
        <v>5034_A1C1.webp</v>
      </c>
      <c r="K1242" s="5">
        <f>Sheet4!E1242</f>
        <v>6</v>
      </c>
      <c r="L1242" s="5"/>
      <c r="M1242" s="4"/>
    </row>
    <row r="1243" spans="1:13" x14ac:dyDescent="0.25">
      <c r="A1243" t="s">
        <v>4463</v>
      </c>
      <c r="B1243" t="s">
        <v>4464</v>
      </c>
      <c r="C1243" s="25">
        <v>5036</v>
      </c>
      <c r="D1243" s="28">
        <v>5036</v>
      </c>
      <c r="E1243" s="2" t="str">
        <f t="shared" si="40"/>
        <v>Same</v>
      </c>
      <c r="F1243" s="6" t="s">
        <v>1874</v>
      </c>
      <c r="G1243" s="3">
        <v>15.95</v>
      </c>
      <c r="H1243" s="2" t="s">
        <v>1202</v>
      </c>
      <c r="I1243" s="4">
        <f>[1]Sheet1!I1243</f>
        <v>2329</v>
      </c>
      <c r="J1243" s="3" t="str">
        <f t="shared" si="39"/>
        <v>5036_A1C1.webp</v>
      </c>
      <c r="K1243" s="5">
        <f>Sheet4!E1243</f>
        <v>12</v>
      </c>
      <c r="L1243" s="5"/>
      <c r="M1243" s="4"/>
    </row>
    <row r="1244" spans="1:13" x14ac:dyDescent="0.25">
      <c r="A1244" t="s">
        <v>3595</v>
      </c>
      <c r="B1244" t="s">
        <v>4442</v>
      </c>
      <c r="C1244" s="25">
        <v>5047</v>
      </c>
      <c r="D1244" s="28">
        <v>5047</v>
      </c>
      <c r="E1244" s="2" t="str">
        <f t="shared" si="40"/>
        <v>Same</v>
      </c>
      <c r="F1244" s="6" t="s">
        <v>1907</v>
      </c>
      <c r="H1244" s="2" t="s">
        <v>1203</v>
      </c>
      <c r="I1244" s="4">
        <f>[1]Sheet1!I1244</f>
        <v>30</v>
      </c>
      <c r="J1244" s="3" t="str">
        <f t="shared" si="39"/>
        <v>5047_A1C1.webp</v>
      </c>
      <c r="K1244" s="5">
        <f>Sheet4!E1244</f>
        <v>200</v>
      </c>
      <c r="L1244" s="5"/>
      <c r="M1244" s="4"/>
    </row>
    <row r="1245" spans="1:13" x14ac:dyDescent="0.25">
      <c r="A1245" t="s">
        <v>2518</v>
      </c>
      <c r="B1245" t="s">
        <v>4470</v>
      </c>
      <c r="C1245" s="25">
        <v>5052</v>
      </c>
      <c r="D1245" s="28">
        <v>5052</v>
      </c>
      <c r="E1245" s="2" t="str">
        <f t="shared" si="40"/>
        <v>Same</v>
      </c>
      <c r="F1245" s="6" t="s">
        <v>1874</v>
      </c>
      <c r="G1245" s="3">
        <v>34.950000000000003</v>
      </c>
      <c r="H1245" s="2" t="s">
        <v>1204</v>
      </c>
      <c r="I1245" s="4">
        <f>[1]Sheet1!I1245</f>
        <v>1733</v>
      </c>
      <c r="J1245" s="3" t="str">
        <f t="shared" si="39"/>
        <v>5052_A1C1.webp</v>
      </c>
      <c r="K1245" s="5">
        <f>Sheet4!E1245</f>
        <v>12</v>
      </c>
      <c r="L1245" s="5"/>
      <c r="M1245" s="4"/>
    </row>
    <row r="1246" spans="1:13" x14ac:dyDescent="0.25">
      <c r="A1246" t="s">
        <v>2518</v>
      </c>
      <c r="B1246" t="s">
        <v>4472</v>
      </c>
      <c r="C1246" s="25">
        <v>5053</v>
      </c>
      <c r="D1246" s="28">
        <v>5053</v>
      </c>
      <c r="E1246" s="2" t="str">
        <f t="shared" si="40"/>
        <v>Same</v>
      </c>
      <c r="F1246" s="6" t="s">
        <v>1876</v>
      </c>
      <c r="G1246" s="3">
        <v>31.95</v>
      </c>
      <c r="H1246" s="2" t="s">
        <v>1205</v>
      </c>
      <c r="I1246" s="4">
        <f>[1]Sheet1!I1246</f>
        <v>865</v>
      </c>
      <c r="J1246" s="3" t="str">
        <f t="shared" si="39"/>
        <v>5053_A1C1.webp</v>
      </c>
      <c r="K1246" s="5">
        <f>Sheet4!E1246</f>
        <v>12</v>
      </c>
      <c r="L1246" s="5"/>
      <c r="M1246" s="4"/>
    </row>
    <row r="1247" spans="1:13" x14ac:dyDescent="0.25">
      <c r="A1247" t="s">
        <v>2518</v>
      </c>
      <c r="B1247" t="s">
        <v>4474</v>
      </c>
      <c r="C1247" s="25">
        <v>5057</v>
      </c>
      <c r="D1247" s="28">
        <v>5057</v>
      </c>
      <c r="E1247" s="2" t="str">
        <f t="shared" si="40"/>
        <v>Same</v>
      </c>
      <c r="F1247" s="6" t="s">
        <v>1874</v>
      </c>
      <c r="G1247" s="3">
        <v>49.95</v>
      </c>
      <c r="H1247" s="2" t="s">
        <v>1206</v>
      </c>
      <c r="I1247" s="4">
        <f>[1]Sheet1!I1247</f>
        <v>92</v>
      </c>
      <c r="J1247" s="3" t="str">
        <f t="shared" si="39"/>
        <v>5057_A1C1.webp</v>
      </c>
      <c r="K1247" s="5">
        <f>Sheet4!E1247</f>
        <v>24</v>
      </c>
      <c r="L1247" s="5"/>
      <c r="M1247" s="4"/>
    </row>
    <row r="1248" spans="1:13" x14ac:dyDescent="0.25">
      <c r="A1248" t="s">
        <v>3595</v>
      </c>
      <c r="B1248" t="s">
        <v>4442</v>
      </c>
      <c r="C1248" s="25">
        <v>5073</v>
      </c>
      <c r="D1248" s="28">
        <v>5073</v>
      </c>
      <c r="E1248" s="2" t="str">
        <f t="shared" si="40"/>
        <v>Same</v>
      </c>
      <c r="F1248" s="6" t="s">
        <v>1972</v>
      </c>
      <c r="G1248" s="3">
        <v>17.95</v>
      </c>
      <c r="H1248" s="2" t="s">
        <v>1207</v>
      </c>
      <c r="I1248" s="4">
        <f>[1]Sheet1!I1248</f>
        <v>5336</v>
      </c>
      <c r="J1248" s="3" t="str">
        <f t="shared" si="39"/>
        <v>5073_A1C1.webp</v>
      </c>
      <c r="K1248" s="5">
        <f>Sheet4!E1248</f>
        <v>10</v>
      </c>
      <c r="L1248" s="5"/>
      <c r="M1248" s="4"/>
    </row>
    <row r="1249" spans="1:13" x14ac:dyDescent="0.25">
      <c r="A1249" t="s">
        <v>3595</v>
      </c>
      <c r="B1249" t="s">
        <v>4442</v>
      </c>
      <c r="C1249" s="25">
        <v>5074</v>
      </c>
      <c r="D1249" s="28">
        <v>5074</v>
      </c>
      <c r="E1249" s="2" t="str">
        <f t="shared" si="40"/>
        <v>Same</v>
      </c>
      <c r="F1249" s="6" t="s">
        <v>1972</v>
      </c>
      <c r="G1249" s="3">
        <v>17.95</v>
      </c>
      <c r="H1249" s="2" t="s">
        <v>1208</v>
      </c>
      <c r="I1249" s="4">
        <f>[1]Sheet1!I1249</f>
        <v>12079</v>
      </c>
      <c r="J1249" s="3" t="str">
        <f t="shared" si="39"/>
        <v>5074_A1C1.webp</v>
      </c>
      <c r="K1249" s="5">
        <f>Sheet4!E1249</f>
        <v>10</v>
      </c>
      <c r="L1249" s="5"/>
      <c r="M1249" s="4"/>
    </row>
    <row r="1250" spans="1:13" x14ac:dyDescent="0.25">
      <c r="A1250" t="s">
        <v>3595</v>
      </c>
      <c r="B1250" t="s">
        <v>4442</v>
      </c>
      <c r="C1250" s="25">
        <v>5075</v>
      </c>
      <c r="D1250" s="28">
        <v>5075</v>
      </c>
      <c r="E1250" s="2" t="str">
        <f t="shared" si="40"/>
        <v>Same</v>
      </c>
      <c r="F1250" s="6" t="s">
        <v>1907</v>
      </c>
      <c r="G1250" s="3">
        <v>41.95</v>
      </c>
      <c r="H1250" s="2" t="s">
        <v>1209</v>
      </c>
      <c r="I1250" s="4">
        <f>[1]Sheet1!I1250</f>
        <v>1014</v>
      </c>
      <c r="J1250" s="3" t="str">
        <f t="shared" si="39"/>
        <v>5075_A1C1.webp</v>
      </c>
      <c r="K1250" s="5">
        <f>Sheet4!E1250</f>
        <v>6</v>
      </c>
      <c r="L1250" s="5"/>
      <c r="M1250" s="4"/>
    </row>
    <row r="1251" spans="1:13" x14ac:dyDescent="0.25">
      <c r="A1251" t="s">
        <v>3595</v>
      </c>
      <c r="B1251" t="s">
        <v>4442</v>
      </c>
      <c r="C1251" s="25">
        <v>5076</v>
      </c>
      <c r="D1251" s="28">
        <v>5076</v>
      </c>
      <c r="E1251" s="2" t="str">
        <f t="shared" si="40"/>
        <v>Same</v>
      </c>
      <c r="F1251" s="6" t="s">
        <v>1907</v>
      </c>
      <c r="G1251" s="3">
        <v>38.950000000000003</v>
      </c>
      <c r="H1251" s="2" t="s">
        <v>1210</v>
      </c>
      <c r="I1251" s="4">
        <f>[1]Sheet1!I1251</f>
        <v>1704</v>
      </c>
      <c r="J1251" s="3" t="str">
        <f t="shared" si="39"/>
        <v>5076_A1C1.webp</v>
      </c>
      <c r="K1251" s="5">
        <f>Sheet4!E1251</f>
        <v>6</v>
      </c>
      <c r="L1251" s="5"/>
      <c r="M1251" s="4"/>
    </row>
    <row r="1252" spans="1:13" x14ac:dyDescent="0.25">
      <c r="A1252" t="s">
        <v>3595</v>
      </c>
      <c r="B1252" t="s">
        <v>4442</v>
      </c>
      <c r="C1252" s="25">
        <v>5077</v>
      </c>
      <c r="D1252" s="28">
        <v>5077</v>
      </c>
      <c r="E1252" s="2" t="str">
        <f t="shared" si="40"/>
        <v>Same</v>
      </c>
      <c r="F1252" s="6" t="s">
        <v>1845</v>
      </c>
      <c r="G1252" s="3">
        <v>26.95</v>
      </c>
      <c r="H1252" s="2" t="s">
        <v>1211</v>
      </c>
      <c r="I1252" s="4">
        <f>[1]Sheet1!I1252</f>
        <v>1545</v>
      </c>
      <c r="J1252" s="3" t="str">
        <f t="shared" si="39"/>
        <v>5077_A1C1.webp</v>
      </c>
      <c r="K1252" s="5">
        <f>Sheet4!E1252</f>
        <v>12</v>
      </c>
      <c r="L1252" s="5"/>
      <c r="M1252" s="4"/>
    </row>
    <row r="1253" spans="1:13" x14ac:dyDescent="0.25">
      <c r="A1253" t="s">
        <v>3595</v>
      </c>
      <c r="B1253" t="s">
        <v>4442</v>
      </c>
      <c r="C1253" s="25">
        <v>5078</v>
      </c>
      <c r="D1253" s="28">
        <v>5078</v>
      </c>
      <c r="E1253" s="2" t="str">
        <f t="shared" si="40"/>
        <v>Same</v>
      </c>
      <c r="F1253" s="6" t="s">
        <v>1845</v>
      </c>
      <c r="G1253" s="3">
        <v>24.95</v>
      </c>
      <c r="H1253" s="2" t="s">
        <v>1212</v>
      </c>
      <c r="I1253" s="4">
        <f>[1]Sheet1!I1253</f>
        <v>3900</v>
      </c>
      <c r="J1253" s="3" t="str">
        <f t="shared" si="39"/>
        <v>5078_A1C1.webp</v>
      </c>
      <c r="K1253" s="5">
        <f>Sheet4!E1253</f>
        <v>12</v>
      </c>
      <c r="L1253" s="5"/>
      <c r="M1253" s="4"/>
    </row>
    <row r="1254" spans="1:13" x14ac:dyDescent="0.25">
      <c r="A1254" t="s">
        <v>3595</v>
      </c>
      <c r="B1254" t="s">
        <v>4482</v>
      </c>
      <c r="C1254" s="25">
        <v>5079</v>
      </c>
      <c r="D1254" s="28">
        <v>5079</v>
      </c>
      <c r="E1254" s="2" t="str">
        <f t="shared" si="40"/>
        <v>Same</v>
      </c>
      <c r="F1254" s="6" t="s">
        <v>1845</v>
      </c>
      <c r="G1254" s="3">
        <v>34.950000000000003</v>
      </c>
      <c r="H1254" s="2" t="s">
        <v>1213</v>
      </c>
      <c r="I1254" s="4">
        <f>[1]Sheet1!I1254</f>
        <v>261</v>
      </c>
      <c r="J1254" s="3" t="str">
        <f t="shared" si="39"/>
        <v>5079_A1C1.webp</v>
      </c>
      <c r="K1254" s="5">
        <f>Sheet4!E1254</f>
        <v>12</v>
      </c>
      <c r="L1254" s="5"/>
      <c r="M1254" s="4"/>
    </row>
    <row r="1255" spans="1:13" x14ac:dyDescent="0.25">
      <c r="A1255" t="s">
        <v>3595</v>
      </c>
      <c r="B1255" t="s">
        <v>4482</v>
      </c>
      <c r="C1255" s="25">
        <v>5080</v>
      </c>
      <c r="D1255" s="28">
        <v>5080</v>
      </c>
      <c r="E1255" s="2" t="str">
        <f t="shared" si="40"/>
        <v>Same</v>
      </c>
      <c r="F1255" s="6" t="s">
        <v>1845</v>
      </c>
      <c r="G1255" s="3">
        <v>34.950000000000003</v>
      </c>
      <c r="H1255" s="2" t="s">
        <v>1214</v>
      </c>
      <c r="I1255" s="4">
        <f>[1]Sheet1!I1255</f>
        <v>586</v>
      </c>
      <c r="J1255" s="3" t="str">
        <f t="shared" si="39"/>
        <v>5080_A1C1.webp</v>
      </c>
      <c r="K1255" s="5">
        <f>Sheet4!E1255</f>
        <v>12</v>
      </c>
      <c r="L1255" s="5"/>
      <c r="M1255" s="4"/>
    </row>
    <row r="1256" spans="1:13" x14ac:dyDescent="0.25">
      <c r="A1256" t="s">
        <v>3595</v>
      </c>
      <c r="B1256" t="s">
        <v>4485</v>
      </c>
      <c r="C1256" s="25">
        <v>5083</v>
      </c>
      <c r="D1256" s="28">
        <v>5083</v>
      </c>
      <c r="E1256" s="2" t="str">
        <f t="shared" si="40"/>
        <v>Same</v>
      </c>
      <c r="F1256" s="6" t="s">
        <v>1896</v>
      </c>
      <c r="G1256">
        <v>27.5</v>
      </c>
      <c r="H1256" s="2" t="s">
        <v>1215</v>
      </c>
      <c r="I1256" s="4">
        <f>[1]Sheet1!I1256</f>
        <v>1601</v>
      </c>
      <c r="J1256" s="3" t="str">
        <f t="shared" si="39"/>
        <v>5083_A1C1.webp</v>
      </c>
      <c r="K1256" s="5">
        <f>Sheet4!E1256</f>
        <v>10</v>
      </c>
      <c r="L1256" s="5"/>
      <c r="M1256" s="4"/>
    </row>
    <row r="1257" spans="1:13" x14ac:dyDescent="0.25">
      <c r="A1257" t="s">
        <v>3595</v>
      </c>
      <c r="B1257" t="s">
        <v>4467</v>
      </c>
      <c r="C1257" s="25">
        <v>5086</v>
      </c>
      <c r="D1257" s="28">
        <v>5086</v>
      </c>
      <c r="E1257" s="2" t="str">
        <f t="shared" si="40"/>
        <v>Same</v>
      </c>
      <c r="F1257" s="6" t="s">
        <v>1907</v>
      </c>
      <c r="G1257" s="3">
        <v>18.350000000000001</v>
      </c>
      <c r="H1257" s="2" t="s">
        <v>1216</v>
      </c>
      <c r="I1257" s="4">
        <f>[1]Sheet1!I1257</f>
        <v>1783</v>
      </c>
      <c r="J1257" s="3" t="str">
        <f t="shared" si="39"/>
        <v>5086_A1C1.webp</v>
      </c>
      <c r="K1257" s="5">
        <f>Sheet4!E1257</f>
        <v>4</v>
      </c>
      <c r="L1257" s="5"/>
      <c r="M1257" s="4"/>
    </row>
    <row r="1258" spans="1:13" x14ac:dyDescent="0.25">
      <c r="A1258" t="s">
        <v>3595</v>
      </c>
      <c r="B1258" t="s">
        <v>4467</v>
      </c>
      <c r="C1258" s="25">
        <v>5087</v>
      </c>
      <c r="D1258" s="28">
        <v>5087</v>
      </c>
      <c r="E1258" s="2" t="str">
        <f t="shared" si="40"/>
        <v>Same</v>
      </c>
      <c r="F1258" s="6" t="s">
        <v>1907</v>
      </c>
      <c r="G1258" s="3">
        <v>18.350000000000001</v>
      </c>
      <c r="H1258" s="2" t="s">
        <v>1217</v>
      </c>
      <c r="I1258" s="4">
        <f>[1]Sheet1!I1258</f>
        <v>701</v>
      </c>
      <c r="J1258" s="3" t="str">
        <f t="shared" si="39"/>
        <v>5087_A1C1.webp</v>
      </c>
      <c r="K1258" s="5">
        <f>Sheet4!E1258</f>
        <v>4</v>
      </c>
      <c r="L1258" s="5"/>
      <c r="M1258" s="4"/>
    </row>
    <row r="1259" spans="1:13" x14ac:dyDescent="0.25">
      <c r="A1259" t="s">
        <v>3595</v>
      </c>
      <c r="B1259" t="s">
        <v>4490</v>
      </c>
      <c r="C1259" s="25">
        <v>5089</v>
      </c>
      <c r="D1259" s="28">
        <v>5089</v>
      </c>
      <c r="E1259" s="2" t="str">
        <f t="shared" si="40"/>
        <v>Same</v>
      </c>
      <c r="F1259" s="6" t="s">
        <v>1907</v>
      </c>
      <c r="G1259" s="3">
        <v>23.95</v>
      </c>
      <c r="H1259" s="2" t="s">
        <v>1218</v>
      </c>
      <c r="I1259" s="4">
        <f>[1]Sheet1!I1259</f>
        <v>1397</v>
      </c>
      <c r="J1259" s="3" t="str">
        <f t="shared" si="39"/>
        <v>5089_A1C1.webp</v>
      </c>
      <c r="K1259" s="5">
        <f>Sheet4!E1259</f>
        <v>4</v>
      </c>
      <c r="L1259" s="5"/>
      <c r="M1259" s="4"/>
    </row>
    <row r="1260" spans="1:13" x14ac:dyDescent="0.25">
      <c r="A1260" t="s">
        <v>3595</v>
      </c>
      <c r="B1260" t="s">
        <v>4492</v>
      </c>
      <c r="C1260" s="25">
        <v>5090</v>
      </c>
      <c r="D1260" s="28">
        <v>5090</v>
      </c>
      <c r="E1260" s="2" t="str">
        <f t="shared" si="40"/>
        <v>Same</v>
      </c>
      <c r="F1260" s="6" t="s">
        <v>1903</v>
      </c>
      <c r="G1260" s="3">
        <v>35.950000000000003</v>
      </c>
      <c r="H1260" s="2" t="s">
        <v>1219</v>
      </c>
      <c r="I1260" s="4">
        <f>[1]Sheet1!I1260</f>
        <v>86</v>
      </c>
      <c r="J1260" s="3" t="str">
        <f t="shared" si="39"/>
        <v>5090_A1C1.webp</v>
      </c>
      <c r="K1260" s="5">
        <f>Sheet4!E1260</f>
        <v>24</v>
      </c>
      <c r="L1260" s="5"/>
      <c r="M1260" s="4"/>
    </row>
    <row r="1261" spans="1:13" x14ac:dyDescent="0.25">
      <c r="A1261" t="s">
        <v>3595</v>
      </c>
      <c r="B1261" t="s">
        <v>4490</v>
      </c>
      <c r="C1261" s="25">
        <v>5091</v>
      </c>
      <c r="D1261" s="28">
        <v>5091</v>
      </c>
      <c r="E1261" s="2" t="str">
        <f t="shared" si="40"/>
        <v>Same</v>
      </c>
      <c r="F1261" s="6" t="s">
        <v>1845</v>
      </c>
      <c r="G1261" s="3">
        <v>57.5</v>
      </c>
      <c r="H1261" s="2" t="s">
        <v>1220</v>
      </c>
      <c r="I1261" s="4">
        <f>[1]Sheet1!I1261</f>
        <v>16</v>
      </c>
      <c r="J1261" s="3" t="str">
        <f t="shared" si="39"/>
        <v>5091_A1C1.webp</v>
      </c>
      <c r="K1261" s="5">
        <f>Sheet4!E1261</f>
        <v>12</v>
      </c>
      <c r="L1261" s="5"/>
      <c r="M1261" s="4"/>
    </row>
    <row r="1262" spans="1:13" x14ac:dyDescent="0.25">
      <c r="A1262" t="s">
        <v>3595</v>
      </c>
      <c r="B1262" t="s">
        <v>4490</v>
      </c>
      <c r="C1262" s="25">
        <v>5093</v>
      </c>
      <c r="D1262" s="28">
        <v>5093</v>
      </c>
      <c r="E1262" s="2" t="str">
        <f t="shared" si="40"/>
        <v>Same</v>
      </c>
      <c r="F1262" s="6" t="s">
        <v>1845</v>
      </c>
      <c r="G1262" s="3">
        <v>36.950000000000003</v>
      </c>
      <c r="H1262" s="2" t="s">
        <v>1221</v>
      </c>
      <c r="I1262" s="4">
        <f>[1]Sheet1!I1262</f>
        <v>1184</v>
      </c>
      <c r="J1262" s="3" t="str">
        <f t="shared" si="39"/>
        <v>5093_A1C1.webp</v>
      </c>
      <c r="K1262" s="5">
        <f>Sheet4!E1262</f>
        <v>12</v>
      </c>
      <c r="L1262" s="5"/>
      <c r="M1262" s="4"/>
    </row>
    <row r="1263" spans="1:13" x14ac:dyDescent="0.25">
      <c r="A1263" t="s">
        <v>2671</v>
      </c>
      <c r="B1263" t="s">
        <v>3595</v>
      </c>
      <c r="C1263" s="25">
        <v>5097</v>
      </c>
      <c r="D1263" s="28">
        <v>5097</v>
      </c>
      <c r="E1263" s="2" t="str">
        <f t="shared" si="40"/>
        <v>Same</v>
      </c>
      <c r="F1263" s="6" t="s">
        <v>1903</v>
      </c>
      <c r="G1263" s="3">
        <v>99.95</v>
      </c>
      <c r="H1263" s="2" t="s">
        <v>1222</v>
      </c>
      <c r="I1263" s="4">
        <f>[1]Sheet1!I1263</f>
        <v>49</v>
      </c>
      <c r="J1263" s="3" t="str">
        <f t="shared" si="39"/>
        <v>5097_A1C1.webp</v>
      </c>
      <c r="K1263" s="5">
        <f>Sheet4!E1263</f>
        <v>72</v>
      </c>
      <c r="L1263" s="5"/>
      <c r="M1263" s="4"/>
    </row>
    <row r="1264" spans="1:13" x14ac:dyDescent="0.25">
      <c r="A1264" t="s">
        <v>3595</v>
      </c>
      <c r="B1264" t="s">
        <v>4492</v>
      </c>
      <c r="C1264" s="25">
        <v>5098</v>
      </c>
      <c r="D1264" s="28">
        <v>5098</v>
      </c>
      <c r="E1264" s="2" t="str">
        <f t="shared" si="40"/>
        <v>Same</v>
      </c>
      <c r="F1264" s="6" t="s">
        <v>1903</v>
      </c>
      <c r="G1264" s="3">
        <v>33.5</v>
      </c>
      <c r="H1264" s="2" t="s">
        <v>1223</v>
      </c>
      <c r="I1264" s="4">
        <f>[1]Sheet1!I1264</f>
        <v>2096</v>
      </c>
      <c r="J1264" s="3" t="str">
        <f t="shared" si="39"/>
        <v>5098_A1C1.webp</v>
      </c>
      <c r="K1264" s="5">
        <f>Sheet4!E1264</f>
        <v>24</v>
      </c>
      <c r="L1264" s="5"/>
      <c r="M1264" s="4"/>
    </row>
    <row r="1265" spans="1:13" x14ac:dyDescent="0.25">
      <c r="A1265" t="s">
        <v>3595</v>
      </c>
      <c r="B1265" t="s">
        <v>4467</v>
      </c>
      <c r="C1265" s="25">
        <v>5099</v>
      </c>
      <c r="D1265" s="28">
        <v>5099</v>
      </c>
      <c r="E1265" s="2" t="str">
        <f t="shared" si="40"/>
        <v>Same</v>
      </c>
      <c r="F1265" s="6" t="s">
        <v>1845</v>
      </c>
      <c r="G1265" s="3">
        <v>17.75</v>
      </c>
      <c r="H1265" s="2" t="s">
        <v>1224</v>
      </c>
      <c r="I1265" s="4">
        <f>[1]Sheet1!I1265</f>
        <v>850</v>
      </c>
      <c r="J1265" s="3" t="str">
        <f t="shared" si="39"/>
        <v>5099_A1C1.webp</v>
      </c>
      <c r="K1265" s="5">
        <f>Sheet4!E1265</f>
        <v>12</v>
      </c>
      <c r="L1265" s="5"/>
      <c r="M1265" s="4"/>
    </row>
    <row r="1266" spans="1:13" x14ac:dyDescent="0.25">
      <c r="A1266" t="s">
        <v>3595</v>
      </c>
      <c r="B1266" t="s">
        <v>4467</v>
      </c>
      <c r="C1266" s="25">
        <v>5100</v>
      </c>
      <c r="D1266" s="28">
        <v>5100</v>
      </c>
      <c r="E1266" s="2" t="str">
        <f t="shared" si="40"/>
        <v>Same</v>
      </c>
      <c r="F1266" s="6" t="s">
        <v>1845</v>
      </c>
      <c r="G1266" s="3">
        <v>17.75</v>
      </c>
      <c r="H1266" s="2" t="s">
        <v>1225</v>
      </c>
      <c r="I1266" s="4">
        <f>[1]Sheet1!I1266</f>
        <v>2951</v>
      </c>
      <c r="J1266" s="3" t="str">
        <f t="shared" si="39"/>
        <v>5100_A1C1.webp</v>
      </c>
      <c r="K1266" s="5">
        <f>Sheet4!E1266</f>
        <v>12</v>
      </c>
      <c r="L1266" s="5"/>
      <c r="M1266" s="4"/>
    </row>
    <row r="1267" spans="1:13" x14ac:dyDescent="0.25">
      <c r="A1267" t="s">
        <v>3595</v>
      </c>
      <c r="B1267" t="s">
        <v>4467</v>
      </c>
      <c r="C1267" s="25">
        <v>5101</v>
      </c>
      <c r="D1267" s="28">
        <v>5101</v>
      </c>
      <c r="E1267" s="2" t="str">
        <f t="shared" si="40"/>
        <v>Same</v>
      </c>
      <c r="F1267" s="6" t="s">
        <v>1874</v>
      </c>
      <c r="G1267">
        <v>19.25</v>
      </c>
      <c r="H1267" s="2" t="s">
        <v>1226</v>
      </c>
      <c r="I1267" s="4">
        <f>[1]Sheet1!I1267</f>
        <v>283</v>
      </c>
      <c r="J1267" s="3" t="str">
        <f t="shared" si="39"/>
        <v>5101_A1C1.webp</v>
      </c>
      <c r="K1267" s="5">
        <f>Sheet4!E1267</f>
        <v>24</v>
      </c>
      <c r="L1267" s="5"/>
      <c r="M1267" s="4"/>
    </row>
    <row r="1268" spans="1:13" x14ac:dyDescent="0.25">
      <c r="A1268" t="s">
        <v>3595</v>
      </c>
      <c r="B1268" t="s">
        <v>4467</v>
      </c>
      <c r="C1268" s="25">
        <v>5102</v>
      </c>
      <c r="D1268" s="28">
        <v>5102</v>
      </c>
      <c r="E1268" s="2" t="str">
        <f t="shared" si="40"/>
        <v>Same</v>
      </c>
      <c r="F1268" s="6" t="s">
        <v>1874</v>
      </c>
      <c r="G1268">
        <v>19.25</v>
      </c>
      <c r="H1268" s="2" t="s">
        <v>1227</v>
      </c>
      <c r="I1268" s="4">
        <f>[1]Sheet1!I1268</f>
        <v>65</v>
      </c>
      <c r="J1268" s="3" t="str">
        <f t="shared" si="39"/>
        <v>5102_A1C1.webp</v>
      </c>
      <c r="K1268" s="5">
        <f>Sheet4!E1268</f>
        <v>24</v>
      </c>
      <c r="L1268" s="5"/>
      <c r="M1268" s="4"/>
    </row>
    <row r="1269" spans="1:13" x14ac:dyDescent="0.25">
      <c r="A1269" t="s">
        <v>3595</v>
      </c>
      <c r="B1269" t="s">
        <v>4482</v>
      </c>
      <c r="C1269" s="25">
        <v>5103</v>
      </c>
      <c r="D1269" s="28">
        <v>5103</v>
      </c>
      <c r="E1269" s="2" t="str">
        <f t="shared" si="40"/>
        <v>Same</v>
      </c>
      <c r="F1269" s="6" t="s">
        <v>1874</v>
      </c>
      <c r="G1269">
        <v>17.95</v>
      </c>
      <c r="H1269" s="2" t="s">
        <v>1228</v>
      </c>
      <c r="I1269" s="4">
        <f>[1]Sheet1!I1269</f>
        <v>675</v>
      </c>
      <c r="J1269" s="3" t="str">
        <f t="shared" si="39"/>
        <v>5103_A1C1.webp</v>
      </c>
      <c r="K1269" s="5">
        <f>Sheet4!E1269</f>
        <v>24</v>
      </c>
      <c r="L1269" s="5"/>
      <c r="M1269" s="4"/>
    </row>
    <row r="1270" spans="1:13" x14ac:dyDescent="0.25">
      <c r="A1270" t="s">
        <v>3595</v>
      </c>
      <c r="B1270" t="s">
        <v>4482</v>
      </c>
      <c r="C1270" s="25">
        <v>5104</v>
      </c>
      <c r="D1270" s="28">
        <v>5104</v>
      </c>
      <c r="E1270" s="2" t="str">
        <f t="shared" si="40"/>
        <v>Same</v>
      </c>
      <c r="F1270" s="6" t="s">
        <v>1845</v>
      </c>
      <c r="G1270" s="3">
        <v>17.5</v>
      </c>
      <c r="H1270" s="2" t="s">
        <v>1229</v>
      </c>
      <c r="I1270" s="4">
        <f>[1]Sheet1!I1270</f>
        <v>3095</v>
      </c>
      <c r="J1270" s="3" t="str">
        <f t="shared" si="39"/>
        <v>5104_A1C1.webp</v>
      </c>
      <c r="K1270" s="5">
        <f>Sheet4!E1270</f>
        <v>12</v>
      </c>
      <c r="L1270" s="5"/>
      <c r="M1270" s="4"/>
    </row>
    <row r="1271" spans="1:13" x14ac:dyDescent="0.25">
      <c r="A1271" t="s">
        <v>3595</v>
      </c>
      <c r="B1271" t="s">
        <v>4490</v>
      </c>
      <c r="C1271" s="25">
        <v>5105</v>
      </c>
      <c r="D1271" s="28">
        <v>5105</v>
      </c>
      <c r="E1271" s="2" t="str">
        <f t="shared" si="40"/>
        <v>Same</v>
      </c>
      <c r="F1271" s="6" t="s">
        <v>1874</v>
      </c>
      <c r="G1271">
        <v>22.35</v>
      </c>
      <c r="H1271" s="2" t="s">
        <v>1230</v>
      </c>
      <c r="I1271" s="4">
        <f>[1]Sheet1!I1271</f>
        <v>264</v>
      </c>
      <c r="J1271" s="3" t="str">
        <f t="shared" si="39"/>
        <v>5105_A1C1.webp</v>
      </c>
      <c r="K1271" s="5">
        <f>Sheet4!E1271</f>
        <v>24</v>
      </c>
      <c r="L1271" s="5"/>
      <c r="M1271" s="4"/>
    </row>
    <row r="1272" spans="1:13" x14ac:dyDescent="0.25">
      <c r="A1272" t="s">
        <v>3595</v>
      </c>
      <c r="B1272" t="s">
        <v>4490</v>
      </c>
      <c r="C1272" s="25">
        <v>5106</v>
      </c>
      <c r="D1272" s="28">
        <v>5106</v>
      </c>
      <c r="E1272" s="2" t="str">
        <f t="shared" si="40"/>
        <v>Same</v>
      </c>
      <c r="F1272" s="6" t="s">
        <v>1845</v>
      </c>
      <c r="G1272" s="3">
        <v>22.5</v>
      </c>
      <c r="H1272" s="2" t="s">
        <v>1231</v>
      </c>
      <c r="I1272" s="4">
        <f>[1]Sheet1!I1272</f>
        <v>1543</v>
      </c>
      <c r="J1272" s="3" t="str">
        <f t="shared" si="39"/>
        <v>5106_A1C1.webp</v>
      </c>
      <c r="K1272" s="5">
        <f>Sheet4!E1272</f>
        <v>12</v>
      </c>
      <c r="L1272" s="5"/>
      <c r="M1272" s="4"/>
    </row>
    <row r="1273" spans="1:13" x14ac:dyDescent="0.25">
      <c r="A1273" t="s">
        <v>3595</v>
      </c>
      <c r="B1273" t="s">
        <v>4467</v>
      </c>
      <c r="C1273" s="25">
        <v>5108</v>
      </c>
      <c r="D1273" s="28">
        <v>5108</v>
      </c>
      <c r="E1273" s="2" t="str">
        <f t="shared" si="40"/>
        <v>Same</v>
      </c>
      <c r="F1273" s="6" t="s">
        <v>1874</v>
      </c>
      <c r="H1273" s="2" t="s">
        <v>1232</v>
      </c>
      <c r="I1273" s="4">
        <f>[1]Sheet1!I1273</f>
        <v>28</v>
      </c>
      <c r="J1273" s="3" t="str">
        <f t="shared" si="39"/>
        <v>5108_A1C1.webp</v>
      </c>
      <c r="K1273" s="5">
        <f>Sheet4!E1273</f>
        <v>24</v>
      </c>
      <c r="L1273" s="5"/>
      <c r="M1273" s="4"/>
    </row>
    <row r="1274" spans="1:13" x14ac:dyDescent="0.25">
      <c r="A1274" t="s">
        <v>3595</v>
      </c>
      <c r="B1274" t="s">
        <v>4467</v>
      </c>
      <c r="C1274" s="25">
        <v>5109</v>
      </c>
      <c r="D1274" s="28">
        <v>5109</v>
      </c>
      <c r="E1274" s="2" t="str">
        <f t="shared" si="40"/>
        <v>Same</v>
      </c>
      <c r="F1274" s="6" t="s">
        <v>1845</v>
      </c>
      <c r="G1274" s="3">
        <v>19.5</v>
      </c>
      <c r="H1274" s="2" t="s">
        <v>1233</v>
      </c>
      <c r="I1274" s="4">
        <f>[1]Sheet1!I1274</f>
        <v>452</v>
      </c>
      <c r="J1274" s="3" t="str">
        <f t="shared" si="39"/>
        <v>5109_A1C1.webp</v>
      </c>
      <c r="K1274" s="5">
        <f>Sheet4!E1274</f>
        <v>12</v>
      </c>
      <c r="L1274" s="5"/>
      <c r="M1274" s="4"/>
    </row>
    <row r="1275" spans="1:13" x14ac:dyDescent="0.25">
      <c r="A1275" t="s">
        <v>3595</v>
      </c>
      <c r="B1275" t="s">
        <v>4450</v>
      </c>
      <c r="C1275" s="25">
        <v>5110</v>
      </c>
      <c r="D1275" s="28">
        <v>5110</v>
      </c>
      <c r="E1275" s="2" t="str">
        <f t="shared" si="40"/>
        <v>Same</v>
      </c>
      <c r="F1275" s="6" t="s">
        <v>1918</v>
      </c>
      <c r="G1275" s="3">
        <v>18.95</v>
      </c>
      <c r="H1275" s="2" t="s">
        <v>1234</v>
      </c>
      <c r="I1275" s="4">
        <f>[1]Sheet1!I1275</f>
        <v>46</v>
      </c>
      <c r="J1275" s="3" t="str">
        <f t="shared" si="39"/>
        <v>5110_A1C1.webp</v>
      </c>
      <c r="K1275" s="5">
        <f>Sheet4!E1275</f>
        <v>12</v>
      </c>
      <c r="L1275" s="5"/>
      <c r="M1275" s="4"/>
    </row>
    <row r="1276" spans="1:13" x14ac:dyDescent="0.25">
      <c r="A1276" t="s">
        <v>3595</v>
      </c>
      <c r="B1276" t="s">
        <v>4450</v>
      </c>
      <c r="C1276" s="25">
        <v>5111</v>
      </c>
      <c r="D1276" s="28">
        <v>5111</v>
      </c>
      <c r="E1276" s="2" t="str">
        <f t="shared" si="40"/>
        <v>Same</v>
      </c>
      <c r="F1276" s="6" t="s">
        <v>1918</v>
      </c>
      <c r="G1276" s="3">
        <v>29.25</v>
      </c>
      <c r="H1276" s="2" t="s">
        <v>1235</v>
      </c>
      <c r="I1276" s="4">
        <f>[1]Sheet1!I1276</f>
        <v>143</v>
      </c>
      <c r="J1276" s="3" t="str">
        <f t="shared" si="39"/>
        <v>5111_A1C1.webp</v>
      </c>
      <c r="K1276" s="5">
        <f>Sheet4!E1276</f>
        <v>12</v>
      </c>
      <c r="L1276" s="5"/>
      <c r="M1276" s="4"/>
    </row>
    <row r="1277" spans="1:13" x14ac:dyDescent="0.25">
      <c r="A1277" t="s">
        <v>3881</v>
      </c>
      <c r="B1277" t="s">
        <v>3881</v>
      </c>
      <c r="C1277" s="25">
        <v>5122</v>
      </c>
      <c r="D1277" s="28">
        <v>5122</v>
      </c>
      <c r="E1277" s="2" t="str">
        <f t="shared" si="40"/>
        <v>Same</v>
      </c>
      <c r="F1277" s="6" t="s">
        <v>1874</v>
      </c>
      <c r="G1277" s="3">
        <v>66.5</v>
      </c>
      <c r="H1277" s="2" t="s">
        <v>1236</v>
      </c>
      <c r="I1277" s="4">
        <f>[1]Sheet1!I1277</f>
        <v>0</v>
      </c>
      <c r="J1277" s="3" t="str">
        <f t="shared" si="39"/>
        <v>5122_A1C1.webp</v>
      </c>
      <c r="K1277" s="5">
        <f>Sheet4!E1277</f>
        <v>12</v>
      </c>
      <c r="L1277" s="5"/>
      <c r="M1277" s="4"/>
    </row>
    <row r="1278" spans="1:13" x14ac:dyDescent="0.25">
      <c r="A1278" t="s">
        <v>2685</v>
      </c>
      <c r="B1278" t="s">
        <v>4517</v>
      </c>
      <c r="C1278" s="25">
        <v>5127</v>
      </c>
      <c r="D1278" s="28">
        <v>5127</v>
      </c>
      <c r="E1278" s="2" t="str">
        <f t="shared" si="40"/>
        <v>Same</v>
      </c>
      <c r="F1278" s="6" t="s">
        <v>1997</v>
      </c>
      <c r="G1278">
        <v>3.95</v>
      </c>
      <c r="H1278" s="2" t="s">
        <v>1237</v>
      </c>
      <c r="I1278" s="4">
        <f>[1]Sheet1!I1278</f>
        <v>72</v>
      </c>
      <c r="J1278" s="3" t="str">
        <f t="shared" si="39"/>
        <v>5127_A1C1.webp</v>
      </c>
      <c r="K1278" s="5">
        <f>Sheet4!E1278</f>
        <v>12</v>
      </c>
      <c r="L1278" s="5"/>
      <c r="M1278" s="4"/>
    </row>
    <row r="1279" spans="1:13" x14ac:dyDescent="0.25">
      <c r="A1279" t="s">
        <v>2685</v>
      </c>
      <c r="B1279" t="s">
        <v>4517</v>
      </c>
      <c r="C1279" s="25">
        <v>5128</v>
      </c>
      <c r="D1279" s="28">
        <v>5128</v>
      </c>
      <c r="E1279" s="2" t="str">
        <f t="shared" si="40"/>
        <v>Same</v>
      </c>
      <c r="F1279" s="6" t="s">
        <v>1997</v>
      </c>
      <c r="G1279">
        <v>3.95</v>
      </c>
      <c r="H1279" s="2" t="s">
        <v>1238</v>
      </c>
      <c r="I1279" s="4">
        <f>[1]Sheet1!I1279</f>
        <v>0</v>
      </c>
      <c r="J1279" s="3" t="str">
        <f t="shared" si="39"/>
        <v>5128_A1C1.webp</v>
      </c>
      <c r="K1279" s="5">
        <f>Sheet4!E1279</f>
        <v>12</v>
      </c>
      <c r="L1279" s="5"/>
      <c r="M1279" s="4"/>
    </row>
    <row r="1280" spans="1:13" x14ac:dyDescent="0.25">
      <c r="A1280" t="s">
        <v>2685</v>
      </c>
      <c r="B1280" t="s">
        <v>4517</v>
      </c>
      <c r="C1280" s="25">
        <v>5129</v>
      </c>
      <c r="D1280" s="28">
        <v>5129</v>
      </c>
      <c r="E1280" s="2" t="str">
        <f t="shared" si="40"/>
        <v>Same</v>
      </c>
      <c r="F1280" s="6" t="s">
        <v>1997</v>
      </c>
      <c r="G1280">
        <v>3.95</v>
      </c>
      <c r="H1280" s="2" t="s">
        <v>1239</v>
      </c>
      <c r="I1280" s="4">
        <f>[1]Sheet1!I1280</f>
        <v>0</v>
      </c>
      <c r="J1280" s="3" t="str">
        <f t="shared" si="39"/>
        <v>5129_A1C1.webp</v>
      </c>
      <c r="K1280" s="5">
        <f>Sheet4!E1280</f>
        <v>12</v>
      </c>
      <c r="L1280" s="5"/>
      <c r="M1280" s="4"/>
    </row>
    <row r="1281" spans="1:13" x14ac:dyDescent="0.25">
      <c r="A1281" t="s">
        <v>3595</v>
      </c>
      <c r="B1281" t="s">
        <v>4467</v>
      </c>
      <c r="C1281" s="25">
        <v>5131</v>
      </c>
      <c r="D1281" s="28">
        <v>5131</v>
      </c>
      <c r="E1281" s="2" t="str">
        <f t="shared" si="40"/>
        <v>Same</v>
      </c>
      <c r="F1281" s="6" t="s">
        <v>1845</v>
      </c>
      <c r="G1281" s="3">
        <v>19.5</v>
      </c>
      <c r="H1281" s="2" t="s">
        <v>1240</v>
      </c>
      <c r="I1281" s="4">
        <f>[1]Sheet1!I1281</f>
        <v>23</v>
      </c>
      <c r="J1281" s="3" t="str">
        <f t="shared" si="39"/>
        <v>5131_A1C1.webp</v>
      </c>
      <c r="K1281" s="5">
        <f>Sheet4!E1281</f>
        <v>12</v>
      </c>
      <c r="L1281" s="5"/>
      <c r="M1281" s="4"/>
    </row>
    <row r="1282" spans="1:13" x14ac:dyDescent="0.25">
      <c r="A1282" t="s">
        <v>3881</v>
      </c>
      <c r="B1282" t="s">
        <v>3881</v>
      </c>
      <c r="C1282" s="25">
        <v>5139</v>
      </c>
      <c r="D1282" s="28">
        <v>5139</v>
      </c>
      <c r="E1282" s="2" t="str">
        <f t="shared" si="40"/>
        <v>Same</v>
      </c>
      <c r="F1282" s="6" t="s">
        <v>1866</v>
      </c>
      <c r="G1282" s="3">
        <v>85.95</v>
      </c>
      <c r="H1282" s="2" t="s">
        <v>1241</v>
      </c>
      <c r="I1282" s="4">
        <f>[1]Sheet1!I1282</f>
        <v>182</v>
      </c>
      <c r="J1282" s="3" t="str">
        <f t="shared" ref="J1282:J1345" si="41">C1282 &amp; "_A1C1.webp"</f>
        <v>5139_A1C1.webp</v>
      </c>
      <c r="K1282" s="5">
        <f>Sheet4!E1282</f>
        <v>20</v>
      </c>
      <c r="L1282" s="5"/>
      <c r="M1282" s="4"/>
    </row>
    <row r="1283" spans="1:13" x14ac:dyDescent="0.25">
      <c r="A1283" t="s">
        <v>3881</v>
      </c>
      <c r="B1283" t="s">
        <v>3881</v>
      </c>
      <c r="C1283" s="25">
        <v>5140</v>
      </c>
      <c r="D1283" s="28">
        <v>5140</v>
      </c>
      <c r="E1283" s="2" t="str">
        <f t="shared" si="40"/>
        <v>Same</v>
      </c>
      <c r="F1283" s="6" t="s">
        <v>1868</v>
      </c>
      <c r="G1283" s="3">
        <v>61.95</v>
      </c>
      <c r="H1283" s="2" t="s">
        <v>1242</v>
      </c>
      <c r="I1283" s="4">
        <f>[1]Sheet1!I1283</f>
        <v>0</v>
      </c>
      <c r="J1283" s="3" t="str">
        <f t="shared" si="41"/>
        <v>5140_A1C1.webp</v>
      </c>
      <c r="K1283" s="5">
        <f>Sheet4!E1283</f>
        <v>12</v>
      </c>
      <c r="L1283" s="5"/>
      <c r="M1283" s="4"/>
    </row>
    <row r="1284" spans="1:13" x14ac:dyDescent="0.25">
      <c r="A1284" t="s">
        <v>3881</v>
      </c>
      <c r="B1284" t="s">
        <v>3881</v>
      </c>
      <c r="C1284" s="25">
        <v>5141</v>
      </c>
      <c r="D1284" s="28">
        <v>5141</v>
      </c>
      <c r="E1284" s="2" t="str">
        <f t="shared" si="40"/>
        <v>Same</v>
      </c>
      <c r="F1284" s="6" t="s">
        <v>1874</v>
      </c>
      <c r="G1284" s="3">
        <v>73.5</v>
      </c>
      <c r="H1284" s="2" t="s">
        <v>1243</v>
      </c>
      <c r="I1284" s="4">
        <f>[1]Sheet1!I1284</f>
        <v>0</v>
      </c>
      <c r="J1284" s="3" t="str">
        <f t="shared" si="41"/>
        <v>5141_A1C1.webp</v>
      </c>
      <c r="K1284" s="5">
        <f>Sheet4!E1284</f>
        <v>12</v>
      </c>
      <c r="L1284" s="5"/>
      <c r="M1284" s="4"/>
    </row>
    <row r="1285" spans="1:13" x14ac:dyDescent="0.25">
      <c r="A1285" t="s">
        <v>3881</v>
      </c>
      <c r="B1285" t="s">
        <v>3881</v>
      </c>
      <c r="C1285" s="25">
        <v>5142</v>
      </c>
      <c r="D1285" s="28">
        <v>5142</v>
      </c>
      <c r="E1285" s="2" t="str">
        <f t="shared" si="40"/>
        <v>Same</v>
      </c>
      <c r="F1285" s="6" t="s">
        <v>1873</v>
      </c>
      <c r="G1285" s="3">
        <v>37.5</v>
      </c>
      <c r="H1285" s="2" t="s">
        <v>1244</v>
      </c>
      <c r="I1285" s="4">
        <f>[1]Sheet1!I1285</f>
        <v>0</v>
      </c>
      <c r="J1285" s="3" t="str">
        <f t="shared" si="41"/>
        <v>5142_A1C1.webp</v>
      </c>
      <c r="K1285" s="5">
        <f>Sheet4!E1285</f>
        <v>12</v>
      </c>
      <c r="L1285" s="5"/>
      <c r="M1285" s="4"/>
    </row>
    <row r="1286" spans="1:13" x14ac:dyDescent="0.25">
      <c r="A1286" t="s">
        <v>3881</v>
      </c>
      <c r="B1286" t="s">
        <v>3881</v>
      </c>
      <c r="C1286" s="25">
        <v>5143</v>
      </c>
      <c r="D1286" s="28">
        <v>5143</v>
      </c>
      <c r="E1286" s="2" t="str">
        <f t="shared" si="40"/>
        <v>Same</v>
      </c>
      <c r="F1286" s="6" t="s">
        <v>1866</v>
      </c>
      <c r="G1286" s="3">
        <v>79.95</v>
      </c>
      <c r="H1286" s="2" t="s">
        <v>1245</v>
      </c>
      <c r="I1286" s="4">
        <f>[1]Sheet1!I1286</f>
        <v>146</v>
      </c>
      <c r="J1286" s="3" t="str">
        <f t="shared" si="41"/>
        <v>5143_A1C1.webp</v>
      </c>
      <c r="K1286" s="5">
        <f>Sheet4!E1286</f>
        <v>20</v>
      </c>
      <c r="L1286" s="5"/>
      <c r="M1286" s="4"/>
    </row>
    <row r="1287" spans="1:13" x14ac:dyDescent="0.25">
      <c r="A1287" t="s">
        <v>3595</v>
      </c>
      <c r="B1287" t="s">
        <v>1252</v>
      </c>
      <c r="C1287" s="25">
        <v>5154</v>
      </c>
      <c r="D1287" s="28">
        <v>5154</v>
      </c>
      <c r="E1287" s="2" t="str">
        <f t="shared" ref="E1287:E1350" si="42">IF(C1287=D1287, "Same","New")</f>
        <v>Same</v>
      </c>
      <c r="F1287" s="6" t="s">
        <v>1883</v>
      </c>
      <c r="G1287" s="3">
        <v>34.950000000000003</v>
      </c>
      <c r="H1287" s="2" t="s">
        <v>1246</v>
      </c>
      <c r="I1287" s="4">
        <f>[1]Sheet1!I1287</f>
        <v>297</v>
      </c>
      <c r="J1287" s="3" t="str">
        <f t="shared" si="41"/>
        <v>5154_A1C1.webp</v>
      </c>
      <c r="K1287" s="5">
        <f>Sheet4!E1287</f>
        <v>12</v>
      </c>
      <c r="L1287" s="5"/>
      <c r="M1287" s="4"/>
    </row>
    <row r="1288" spans="1:13" x14ac:dyDescent="0.25">
      <c r="A1288" t="s">
        <v>3595</v>
      </c>
      <c r="B1288" t="s">
        <v>1252</v>
      </c>
      <c r="C1288" s="25">
        <v>5155</v>
      </c>
      <c r="D1288" s="28">
        <v>5155</v>
      </c>
      <c r="E1288" s="2" t="str">
        <f t="shared" si="42"/>
        <v>Same</v>
      </c>
      <c r="F1288" s="6" t="s">
        <v>1883</v>
      </c>
      <c r="G1288" s="3">
        <v>34.950000000000003</v>
      </c>
      <c r="H1288" s="2" t="s">
        <v>1247</v>
      </c>
      <c r="I1288" s="4">
        <f>[1]Sheet1!I1288</f>
        <v>93</v>
      </c>
      <c r="J1288" s="3" t="str">
        <f t="shared" si="41"/>
        <v>5155_A1C1.webp</v>
      </c>
      <c r="K1288" s="5">
        <f>Sheet4!E1288</f>
        <v>12</v>
      </c>
      <c r="L1288" s="5"/>
      <c r="M1288" s="4"/>
    </row>
    <row r="1289" spans="1:13" x14ac:dyDescent="0.25">
      <c r="A1289" t="s">
        <v>2671</v>
      </c>
      <c r="B1289" t="s">
        <v>4364</v>
      </c>
      <c r="C1289" s="25">
        <v>5158</v>
      </c>
      <c r="D1289" s="28">
        <v>5158</v>
      </c>
      <c r="E1289" s="2" t="str">
        <f t="shared" si="42"/>
        <v>Same</v>
      </c>
      <c r="F1289" s="6" t="s">
        <v>1953</v>
      </c>
      <c r="G1289">
        <v>84.5</v>
      </c>
      <c r="H1289" s="2" t="s">
        <v>1248</v>
      </c>
      <c r="I1289" s="4">
        <f>[1]Sheet1!I1289</f>
        <v>6</v>
      </c>
      <c r="J1289" s="3" t="str">
        <f t="shared" si="41"/>
        <v>5158_A1C1.webp</v>
      </c>
      <c r="K1289" s="5">
        <f>Sheet4!E1289</f>
        <v>96</v>
      </c>
      <c r="L1289" s="5"/>
      <c r="M1289" s="4"/>
    </row>
    <row r="1290" spans="1:13" x14ac:dyDescent="0.25">
      <c r="A1290" t="s">
        <v>2671</v>
      </c>
      <c r="B1290" t="s">
        <v>4364</v>
      </c>
      <c r="C1290" s="25">
        <v>5159</v>
      </c>
      <c r="D1290" s="28">
        <v>5159</v>
      </c>
      <c r="E1290" s="2" t="str">
        <f t="shared" si="42"/>
        <v>Same</v>
      </c>
      <c r="F1290" s="6" t="s">
        <v>1953</v>
      </c>
      <c r="G1290">
        <v>84.5</v>
      </c>
      <c r="H1290" s="2" t="s">
        <v>1249</v>
      </c>
      <c r="I1290" s="4">
        <f>[1]Sheet1!I1290</f>
        <v>0</v>
      </c>
      <c r="J1290" s="3" t="str">
        <f t="shared" si="41"/>
        <v>5159_A1C1.webp</v>
      </c>
      <c r="K1290" s="5">
        <f>Sheet4!E1290</f>
        <v>96</v>
      </c>
      <c r="L1290" s="5"/>
      <c r="M1290" s="4"/>
    </row>
    <row r="1291" spans="1:13" x14ac:dyDescent="0.25">
      <c r="A1291" t="s">
        <v>2685</v>
      </c>
      <c r="B1291" t="s">
        <v>4543</v>
      </c>
      <c r="C1291" s="25">
        <v>5164</v>
      </c>
      <c r="D1291" s="28">
        <v>5164</v>
      </c>
      <c r="E1291" s="2" t="str">
        <f t="shared" si="42"/>
        <v>Same</v>
      </c>
      <c r="F1291" s="6" t="s">
        <v>1998</v>
      </c>
      <c r="H1291" s="2" t="s">
        <v>1250</v>
      </c>
      <c r="I1291" s="4">
        <f>[1]Sheet1!I1291</f>
        <v>1059</v>
      </c>
      <c r="J1291" s="3" t="str">
        <f t="shared" si="41"/>
        <v>5164_A1C1.webp</v>
      </c>
      <c r="K1291" s="5">
        <f>Sheet4!E1291</f>
        <v>24</v>
      </c>
      <c r="L1291" s="5"/>
      <c r="M1291" s="4"/>
    </row>
    <row r="1292" spans="1:13" x14ac:dyDescent="0.25">
      <c r="A1292" t="s">
        <v>3595</v>
      </c>
      <c r="C1292" s="25">
        <v>5165</v>
      </c>
      <c r="D1292" s="28">
        <v>5165</v>
      </c>
      <c r="E1292" s="2" t="str">
        <f t="shared" si="42"/>
        <v>Same</v>
      </c>
      <c r="F1292" s="6" t="s">
        <v>1999</v>
      </c>
      <c r="G1292" s="3">
        <v>34.950000000000003</v>
      </c>
      <c r="H1292" s="2" t="s">
        <v>1251</v>
      </c>
      <c r="I1292" s="4">
        <f>[1]Sheet1!I1292</f>
        <v>0</v>
      </c>
      <c r="J1292" s="3" t="str">
        <f t="shared" si="41"/>
        <v>5165_A1C1.webp</v>
      </c>
      <c r="K1292" s="5">
        <f>Sheet4!E1292</f>
        <v>12</v>
      </c>
      <c r="L1292" s="5"/>
      <c r="M1292" s="4"/>
    </row>
    <row r="1293" spans="1:13" x14ac:dyDescent="0.25">
      <c r="A1293" t="s">
        <v>3595</v>
      </c>
      <c r="B1293" t="s">
        <v>1252</v>
      </c>
      <c r="C1293" s="25">
        <v>5168</v>
      </c>
      <c r="D1293" s="28">
        <v>5168</v>
      </c>
      <c r="E1293" s="2" t="str">
        <f t="shared" si="42"/>
        <v>Same</v>
      </c>
      <c r="F1293" s="6" t="s">
        <v>1951</v>
      </c>
      <c r="G1293" s="3">
        <v>21.25</v>
      </c>
      <c r="H1293" s="2" t="s">
        <v>1252</v>
      </c>
      <c r="I1293" s="4">
        <f>[1]Sheet1!I1293</f>
        <v>3099</v>
      </c>
      <c r="J1293" s="3" t="str">
        <f t="shared" si="41"/>
        <v>5168_A1C1.webp</v>
      </c>
      <c r="K1293" s="5">
        <f>Sheet4!E1293</f>
        <v>12</v>
      </c>
      <c r="L1293" s="5"/>
      <c r="M1293" s="4"/>
    </row>
    <row r="1294" spans="1:13" x14ac:dyDescent="0.25">
      <c r="A1294" t="s">
        <v>2685</v>
      </c>
      <c r="B1294" t="s">
        <v>4543</v>
      </c>
      <c r="C1294" s="25">
        <v>5169</v>
      </c>
      <c r="D1294" s="28">
        <v>5169</v>
      </c>
      <c r="E1294" s="2" t="str">
        <f t="shared" si="42"/>
        <v>Same</v>
      </c>
      <c r="F1294" s="6" t="s">
        <v>1998</v>
      </c>
      <c r="G1294">
        <v>13.95</v>
      </c>
      <c r="H1294" s="2" t="s">
        <v>1253</v>
      </c>
      <c r="I1294" s="4">
        <f>[1]Sheet1!I1294</f>
        <v>551</v>
      </c>
      <c r="J1294" s="3" t="str">
        <f t="shared" si="41"/>
        <v>5169_A1C1.webp</v>
      </c>
      <c r="K1294" s="5">
        <f>Sheet4!E1294</f>
        <v>24</v>
      </c>
      <c r="L1294" s="5"/>
      <c r="M1294" s="4"/>
    </row>
    <row r="1295" spans="1:13" x14ac:dyDescent="0.25">
      <c r="A1295" t="s">
        <v>2685</v>
      </c>
      <c r="B1295" t="s">
        <v>1252</v>
      </c>
      <c r="C1295" s="25">
        <v>5172</v>
      </c>
      <c r="D1295" s="28">
        <v>5172</v>
      </c>
      <c r="E1295" s="2" t="str">
        <f t="shared" si="42"/>
        <v>Same</v>
      </c>
      <c r="F1295" s="2" t="s">
        <v>5407</v>
      </c>
      <c r="H1295" s="2" t="s">
        <v>5408</v>
      </c>
      <c r="I1295" s="4">
        <f>[1]Sheet1!I1295</f>
        <v>0</v>
      </c>
      <c r="J1295" s="3" t="str">
        <f t="shared" si="41"/>
        <v>5172_A1C1.webp</v>
      </c>
      <c r="K1295" s="5">
        <f>Sheet4!E1295</f>
        <v>4</v>
      </c>
      <c r="L1295" s="5" t="s">
        <v>5278</v>
      </c>
      <c r="M1295" s="4"/>
    </row>
    <row r="1296" spans="1:13" x14ac:dyDescent="0.25">
      <c r="A1296" t="s">
        <v>2685</v>
      </c>
      <c r="B1296" t="s">
        <v>4543</v>
      </c>
      <c r="C1296" s="25">
        <v>5174</v>
      </c>
      <c r="D1296" s="28">
        <v>5174</v>
      </c>
      <c r="E1296" s="2" t="str">
        <f t="shared" si="42"/>
        <v>Same</v>
      </c>
      <c r="F1296" s="6" t="s">
        <v>1998</v>
      </c>
      <c r="G1296">
        <v>13.95</v>
      </c>
      <c r="H1296" s="2" t="s">
        <v>1254</v>
      </c>
      <c r="I1296" s="4">
        <f>[1]Sheet1!I1296</f>
        <v>1825</v>
      </c>
      <c r="J1296" s="3" t="str">
        <f t="shared" si="41"/>
        <v>5174_A1C1.webp</v>
      </c>
      <c r="K1296" s="5">
        <f>Sheet4!E1296</f>
        <v>24</v>
      </c>
      <c r="L1296" s="5"/>
      <c r="M1296" s="4"/>
    </row>
    <row r="1297" spans="1:13" x14ac:dyDescent="0.25">
      <c r="A1297" t="s">
        <v>2685</v>
      </c>
      <c r="B1297" t="s">
        <v>4543</v>
      </c>
      <c r="C1297" s="25">
        <v>5176</v>
      </c>
      <c r="D1297" s="28">
        <v>5176</v>
      </c>
      <c r="E1297" s="2" t="str">
        <f t="shared" si="42"/>
        <v>Same</v>
      </c>
      <c r="F1297" s="6" t="s">
        <v>1998</v>
      </c>
      <c r="G1297">
        <v>13.95</v>
      </c>
      <c r="H1297" s="2" t="s">
        <v>1255</v>
      </c>
      <c r="I1297" s="4">
        <f>[1]Sheet1!I1297</f>
        <v>1151</v>
      </c>
      <c r="J1297" s="3" t="str">
        <f t="shared" si="41"/>
        <v>5176_A1C1.webp</v>
      </c>
      <c r="K1297" s="5">
        <f>Sheet4!E1297</f>
        <v>24</v>
      </c>
      <c r="L1297" s="5"/>
      <c r="M1297" s="4"/>
    </row>
    <row r="1298" spans="1:13" x14ac:dyDescent="0.25">
      <c r="A1298" t="s">
        <v>2685</v>
      </c>
      <c r="B1298" t="s">
        <v>4543</v>
      </c>
      <c r="C1298" s="25">
        <v>5177</v>
      </c>
      <c r="D1298" s="28">
        <v>5177</v>
      </c>
      <c r="E1298" s="2" t="str">
        <f t="shared" si="42"/>
        <v>Same</v>
      </c>
      <c r="F1298" s="6" t="s">
        <v>1998</v>
      </c>
      <c r="G1298">
        <v>13.95</v>
      </c>
      <c r="H1298" s="2" t="s">
        <v>1256</v>
      </c>
      <c r="I1298" s="4">
        <f>[1]Sheet1!I1298</f>
        <v>2477</v>
      </c>
      <c r="J1298" s="3" t="str">
        <f t="shared" si="41"/>
        <v>5177_A1C1.webp</v>
      </c>
      <c r="K1298" s="5">
        <f>Sheet4!E1298</f>
        <v>24</v>
      </c>
      <c r="L1298" s="5"/>
      <c r="M1298" s="4"/>
    </row>
    <row r="1299" spans="1:13" x14ac:dyDescent="0.25">
      <c r="A1299" t="s">
        <v>2685</v>
      </c>
      <c r="B1299" t="s">
        <v>4543</v>
      </c>
      <c r="C1299" s="25">
        <v>5188</v>
      </c>
      <c r="D1299" s="28">
        <v>5188</v>
      </c>
      <c r="E1299" s="2" t="str">
        <f t="shared" si="42"/>
        <v>Same</v>
      </c>
      <c r="F1299" s="6" t="s">
        <v>1998</v>
      </c>
      <c r="G1299">
        <v>13.95</v>
      </c>
      <c r="H1299" s="2" t="s">
        <v>1257</v>
      </c>
      <c r="I1299" s="4">
        <f>[1]Sheet1!I1299</f>
        <v>840</v>
      </c>
      <c r="J1299" s="3" t="str">
        <f t="shared" si="41"/>
        <v>5188_A1C1.webp</v>
      </c>
      <c r="K1299" s="5">
        <f>Sheet4!E1299</f>
        <v>24</v>
      </c>
      <c r="L1299" s="5"/>
      <c r="M1299" s="4"/>
    </row>
    <row r="1300" spans="1:13" x14ac:dyDescent="0.25">
      <c r="A1300" t="s">
        <v>2685</v>
      </c>
      <c r="B1300" t="s">
        <v>4543</v>
      </c>
      <c r="C1300" s="25">
        <v>5189</v>
      </c>
      <c r="D1300" s="28">
        <v>5189</v>
      </c>
      <c r="E1300" s="2" t="str">
        <f t="shared" si="42"/>
        <v>Same</v>
      </c>
      <c r="F1300" s="6" t="s">
        <v>1998</v>
      </c>
      <c r="G1300">
        <v>13.95</v>
      </c>
      <c r="H1300" s="2" t="s">
        <v>1258</v>
      </c>
      <c r="I1300" s="4">
        <f>[1]Sheet1!I1300</f>
        <v>217</v>
      </c>
      <c r="J1300" s="3" t="str">
        <f t="shared" si="41"/>
        <v>5189_A1C1.webp</v>
      </c>
      <c r="K1300" s="5">
        <f>Sheet4!E1300</f>
        <v>24</v>
      </c>
      <c r="L1300" s="5"/>
      <c r="M1300" s="4"/>
    </row>
    <row r="1301" spans="1:13" x14ac:dyDescent="0.25">
      <c r="A1301" t="s">
        <v>3595</v>
      </c>
      <c r="B1301" t="s">
        <v>4550</v>
      </c>
      <c r="C1301" s="25">
        <v>5198</v>
      </c>
      <c r="D1301" s="28">
        <v>5198</v>
      </c>
      <c r="E1301" s="2" t="str">
        <f t="shared" si="42"/>
        <v>Same</v>
      </c>
      <c r="F1301" s="6" t="s">
        <v>1910</v>
      </c>
      <c r="G1301" s="3">
        <v>17.95</v>
      </c>
      <c r="H1301" s="2" t="s">
        <v>1259</v>
      </c>
      <c r="I1301" s="4">
        <f>[1]Sheet1!I1301</f>
        <v>98</v>
      </c>
      <c r="J1301" s="3" t="str">
        <f t="shared" si="41"/>
        <v>5198_A1C1.webp</v>
      </c>
      <c r="K1301" s="5">
        <f>Sheet4!E1301</f>
        <v>10</v>
      </c>
      <c r="L1301" s="5"/>
      <c r="M1301" s="4"/>
    </row>
    <row r="1302" spans="1:13" x14ac:dyDescent="0.25">
      <c r="A1302" t="s">
        <v>3595</v>
      </c>
      <c r="B1302" t="s">
        <v>4442</v>
      </c>
      <c r="C1302" s="25">
        <v>5199</v>
      </c>
      <c r="D1302" s="28">
        <v>5199</v>
      </c>
      <c r="E1302" s="2" t="str">
        <f t="shared" si="42"/>
        <v>Same</v>
      </c>
      <c r="F1302" s="6" t="s">
        <v>2000</v>
      </c>
      <c r="G1302" s="3">
        <v>18.75</v>
      </c>
      <c r="H1302" s="2" t="s">
        <v>1260</v>
      </c>
      <c r="I1302" s="4">
        <f>[1]Sheet1!I1302</f>
        <v>54</v>
      </c>
      <c r="J1302" s="3" t="str">
        <f t="shared" si="41"/>
        <v>5199_A1C1.webp</v>
      </c>
      <c r="K1302" s="5">
        <f>Sheet4!E1302</f>
        <v>1</v>
      </c>
      <c r="L1302" s="5"/>
      <c r="M1302" s="4"/>
    </row>
    <row r="1303" spans="1:13" x14ac:dyDescent="0.25">
      <c r="A1303" t="s">
        <v>2685</v>
      </c>
      <c r="B1303" t="s">
        <v>4554</v>
      </c>
      <c r="C1303" s="25">
        <v>5223</v>
      </c>
      <c r="D1303" s="28">
        <v>5223</v>
      </c>
      <c r="E1303" s="2" t="str">
        <f t="shared" si="42"/>
        <v>Same</v>
      </c>
      <c r="F1303" s="6" t="s">
        <v>2001</v>
      </c>
      <c r="G1303" s="3">
        <v>54.95</v>
      </c>
      <c r="H1303" s="2" t="s">
        <v>1261</v>
      </c>
      <c r="I1303" s="4">
        <f>[1]Sheet1!I1303</f>
        <v>506</v>
      </c>
      <c r="J1303" s="3" t="str">
        <f t="shared" si="41"/>
        <v>5223_A1C1.webp</v>
      </c>
      <c r="K1303" s="5">
        <f>Sheet4!E1303</f>
        <v>18</v>
      </c>
      <c r="L1303" s="5"/>
      <c r="M1303" s="4"/>
    </row>
    <row r="1304" spans="1:13" x14ac:dyDescent="0.25">
      <c r="A1304" t="s">
        <v>2685</v>
      </c>
      <c r="B1304" t="s">
        <v>4554</v>
      </c>
      <c r="C1304" s="25">
        <v>5229</v>
      </c>
      <c r="D1304" s="28">
        <v>5229</v>
      </c>
      <c r="E1304" s="2" t="str">
        <f t="shared" si="42"/>
        <v>Same</v>
      </c>
      <c r="F1304" s="6" t="s">
        <v>1868</v>
      </c>
      <c r="G1304" s="3">
        <v>52.95</v>
      </c>
      <c r="H1304" s="2" t="s">
        <v>1262</v>
      </c>
      <c r="I1304" s="4">
        <f>[1]Sheet1!I1304</f>
        <v>167</v>
      </c>
      <c r="J1304" s="3" t="str">
        <f t="shared" si="41"/>
        <v>5229_A1C1.webp</v>
      </c>
      <c r="K1304" s="5">
        <f>Sheet4!E1304</f>
        <v>12</v>
      </c>
      <c r="L1304" s="5"/>
      <c r="M1304" s="4"/>
    </row>
    <row r="1305" spans="1:13" x14ac:dyDescent="0.25">
      <c r="A1305" t="s">
        <v>2685</v>
      </c>
      <c r="B1305" t="s">
        <v>4554</v>
      </c>
      <c r="C1305" s="25">
        <v>5236</v>
      </c>
      <c r="D1305" s="28">
        <v>5236</v>
      </c>
      <c r="E1305" s="2" t="str">
        <f t="shared" si="42"/>
        <v>Same</v>
      </c>
      <c r="F1305" s="6" t="s">
        <v>2001</v>
      </c>
      <c r="G1305" s="3">
        <v>47.95</v>
      </c>
      <c r="H1305" s="2" t="s">
        <v>1263</v>
      </c>
      <c r="I1305" s="4">
        <f>[1]Sheet1!I1305</f>
        <v>1834</v>
      </c>
      <c r="J1305" s="3" t="str">
        <f t="shared" si="41"/>
        <v>5236_A1C1.webp</v>
      </c>
      <c r="K1305" s="5">
        <f>Sheet4!E1305</f>
        <v>18</v>
      </c>
      <c r="L1305" s="5"/>
      <c r="M1305" s="4"/>
    </row>
    <row r="1306" spans="1:13" x14ac:dyDescent="0.25">
      <c r="A1306" t="s">
        <v>2671</v>
      </c>
      <c r="B1306" t="s">
        <v>2685</v>
      </c>
      <c r="C1306" s="25">
        <v>5237</v>
      </c>
      <c r="D1306" s="28">
        <v>5237</v>
      </c>
      <c r="E1306" s="2" t="str">
        <f t="shared" si="42"/>
        <v>Same</v>
      </c>
      <c r="F1306" s="6" t="s">
        <v>2001</v>
      </c>
      <c r="G1306" s="3">
        <v>186.5</v>
      </c>
      <c r="H1306" s="2" t="s">
        <v>1264</v>
      </c>
      <c r="I1306" s="4">
        <f>[1]Sheet1!I1306</f>
        <v>0</v>
      </c>
      <c r="J1306" s="3" t="str">
        <f t="shared" si="41"/>
        <v>5237_A1C1.webp</v>
      </c>
      <c r="K1306" s="5">
        <f>Sheet4!E1306</f>
        <v>70</v>
      </c>
      <c r="L1306" s="5"/>
      <c r="M1306" s="4"/>
    </row>
    <row r="1307" spans="1:13" x14ac:dyDescent="0.25">
      <c r="A1307" t="s">
        <v>2685</v>
      </c>
      <c r="B1307" t="s">
        <v>4554</v>
      </c>
      <c r="C1307" s="25">
        <v>5238</v>
      </c>
      <c r="D1307" s="28">
        <v>5238</v>
      </c>
      <c r="E1307" s="2" t="str">
        <f t="shared" si="42"/>
        <v>Same</v>
      </c>
      <c r="F1307" s="6" t="s">
        <v>1868</v>
      </c>
      <c r="G1307" s="3">
        <v>46.95</v>
      </c>
      <c r="H1307" s="2" t="s">
        <v>1265</v>
      </c>
      <c r="I1307" s="4">
        <f>[1]Sheet1!I1307</f>
        <v>64</v>
      </c>
      <c r="J1307" s="3" t="str">
        <f t="shared" si="41"/>
        <v>5238_A1C1.webp</v>
      </c>
      <c r="K1307" s="5">
        <f>Sheet4!E1307</f>
        <v>12</v>
      </c>
      <c r="L1307" s="5"/>
      <c r="M1307" s="4"/>
    </row>
    <row r="1308" spans="1:13" x14ac:dyDescent="0.25">
      <c r="A1308" t="s">
        <v>2685</v>
      </c>
      <c r="B1308" t="s">
        <v>5264</v>
      </c>
      <c r="C1308" s="25">
        <v>5251</v>
      </c>
      <c r="D1308" s="28">
        <v>5251</v>
      </c>
      <c r="E1308" s="2" t="str">
        <f t="shared" si="42"/>
        <v>Same</v>
      </c>
      <c r="F1308" s="6" t="s">
        <v>2001</v>
      </c>
      <c r="H1308" s="2" t="s">
        <v>1266</v>
      </c>
      <c r="I1308" s="4">
        <f>[1]Sheet1!I1308</f>
        <v>0</v>
      </c>
      <c r="J1308" s="3" t="str">
        <f t="shared" si="41"/>
        <v>5251_A1C1.webp</v>
      </c>
      <c r="K1308" s="5">
        <f>Sheet4!E1308</f>
        <v>420</v>
      </c>
      <c r="L1308" s="5"/>
      <c r="M1308" s="4"/>
    </row>
    <row r="1309" spans="1:13" x14ac:dyDescent="0.25">
      <c r="A1309" t="s">
        <v>2685</v>
      </c>
      <c r="B1309" t="s">
        <v>4564</v>
      </c>
      <c r="C1309" s="25">
        <v>5252</v>
      </c>
      <c r="D1309" s="28">
        <v>5252</v>
      </c>
      <c r="E1309" s="2" t="str">
        <f t="shared" si="42"/>
        <v>Same</v>
      </c>
      <c r="F1309" s="6" t="s">
        <v>2002</v>
      </c>
      <c r="G1309" s="3">
        <v>44.5</v>
      </c>
      <c r="H1309" s="2" t="s">
        <v>1267</v>
      </c>
      <c r="I1309" s="4">
        <f>[1]Sheet1!I1309</f>
        <v>63</v>
      </c>
      <c r="J1309" s="3" t="str">
        <f t="shared" si="41"/>
        <v>5252_A1C1.webp</v>
      </c>
      <c r="K1309" s="5">
        <f>Sheet4!E1309</f>
        <v>12</v>
      </c>
      <c r="L1309" s="5"/>
      <c r="M1309" s="4"/>
    </row>
    <row r="1310" spans="1:13" x14ac:dyDescent="0.25">
      <c r="A1310" t="s">
        <v>2685</v>
      </c>
      <c r="B1310" t="s">
        <v>4564</v>
      </c>
      <c r="C1310" s="25">
        <v>5253</v>
      </c>
      <c r="D1310" s="28">
        <v>5253</v>
      </c>
      <c r="E1310" s="2" t="str">
        <f t="shared" si="42"/>
        <v>Same</v>
      </c>
      <c r="F1310" s="6" t="s">
        <v>1936</v>
      </c>
      <c r="G1310" s="3">
        <v>40.950000000000003</v>
      </c>
      <c r="H1310" s="2" t="s">
        <v>1268</v>
      </c>
      <c r="I1310" s="4">
        <f>[1]Sheet1!I1310</f>
        <v>140</v>
      </c>
      <c r="J1310" s="3" t="str">
        <f t="shared" si="41"/>
        <v>5253_A1C1.webp</v>
      </c>
      <c r="K1310" s="5">
        <f>Sheet4!E1310</f>
        <v>6</v>
      </c>
      <c r="L1310" s="5"/>
      <c r="M1310" s="4"/>
    </row>
    <row r="1311" spans="1:13" x14ac:dyDescent="0.25">
      <c r="A1311" t="s">
        <v>2685</v>
      </c>
      <c r="B1311" t="s">
        <v>4564</v>
      </c>
      <c r="C1311" s="25">
        <v>5254</v>
      </c>
      <c r="D1311" s="28">
        <v>5254</v>
      </c>
      <c r="E1311" s="2" t="str">
        <f t="shared" si="42"/>
        <v>Same</v>
      </c>
      <c r="F1311" s="6" t="s">
        <v>1866</v>
      </c>
      <c r="G1311" s="3">
        <v>66.5</v>
      </c>
      <c r="H1311" s="2" t="s">
        <v>1269</v>
      </c>
      <c r="I1311" s="4">
        <f>[1]Sheet1!I1311</f>
        <v>136</v>
      </c>
      <c r="J1311" s="3" t="str">
        <f t="shared" si="41"/>
        <v>5254_A1C1.webp</v>
      </c>
      <c r="K1311" s="5">
        <f>Sheet4!E1311</f>
        <v>6</v>
      </c>
      <c r="L1311" s="5"/>
      <c r="M1311" s="4"/>
    </row>
    <row r="1312" spans="1:13" x14ac:dyDescent="0.25">
      <c r="A1312" t="s">
        <v>2685</v>
      </c>
      <c r="B1312" t="s">
        <v>4564</v>
      </c>
      <c r="C1312" s="25">
        <v>5255</v>
      </c>
      <c r="D1312" s="28">
        <v>5255</v>
      </c>
      <c r="E1312" s="2" t="str">
        <f t="shared" si="42"/>
        <v>Same</v>
      </c>
      <c r="F1312" s="6" t="s">
        <v>1875</v>
      </c>
      <c r="G1312" s="3">
        <v>118.95</v>
      </c>
      <c r="H1312" s="2" t="s">
        <v>1270</v>
      </c>
      <c r="I1312" s="4">
        <f>[1]Sheet1!I1312</f>
        <v>37</v>
      </c>
      <c r="J1312" s="3" t="str">
        <f t="shared" si="41"/>
        <v>5255_A1C1.webp</v>
      </c>
      <c r="K1312" s="5">
        <f>Sheet4!E1312</f>
        <v>8</v>
      </c>
      <c r="L1312" s="5"/>
      <c r="M1312" s="4"/>
    </row>
    <row r="1313" spans="1:13" x14ac:dyDescent="0.25">
      <c r="A1313" t="s">
        <v>2685</v>
      </c>
      <c r="B1313" t="s">
        <v>4564</v>
      </c>
      <c r="C1313" s="25">
        <v>5256</v>
      </c>
      <c r="D1313" s="28">
        <v>5256</v>
      </c>
      <c r="E1313" s="2" t="str">
        <f t="shared" si="42"/>
        <v>Same</v>
      </c>
      <c r="F1313" s="6" t="s">
        <v>1866</v>
      </c>
      <c r="G1313" s="3">
        <v>75.5</v>
      </c>
      <c r="H1313" s="2" t="s">
        <v>1271</v>
      </c>
      <c r="I1313" s="4">
        <f>[1]Sheet1!I1313</f>
        <v>267</v>
      </c>
      <c r="J1313" s="3" t="str">
        <f t="shared" si="41"/>
        <v>5256_A1C1.webp</v>
      </c>
      <c r="K1313" s="5">
        <f>Sheet4!E1313</f>
        <v>6</v>
      </c>
      <c r="L1313" s="5"/>
      <c r="M1313" s="4"/>
    </row>
    <row r="1314" spans="1:13" x14ac:dyDescent="0.25">
      <c r="A1314" t="s">
        <v>3315</v>
      </c>
      <c r="B1314" t="s">
        <v>4581</v>
      </c>
      <c r="C1314" s="25">
        <v>5267</v>
      </c>
      <c r="D1314" s="28">
        <v>5267</v>
      </c>
      <c r="E1314" s="2" t="str">
        <f t="shared" si="42"/>
        <v>Same</v>
      </c>
      <c r="F1314" s="6" t="s">
        <v>1924</v>
      </c>
      <c r="G1314" s="3">
        <v>87.95</v>
      </c>
      <c r="H1314" s="2" t="s">
        <v>1272</v>
      </c>
      <c r="I1314" s="4">
        <f>[1]Sheet1!I1314</f>
        <v>144</v>
      </c>
      <c r="J1314" s="3" t="str">
        <f t="shared" si="41"/>
        <v>5267_A1C1.webp</v>
      </c>
      <c r="K1314" s="5">
        <f>Sheet4!E1314</f>
        <v>25</v>
      </c>
      <c r="L1314" s="5"/>
      <c r="M1314" s="4"/>
    </row>
    <row r="1315" spans="1:13" x14ac:dyDescent="0.25">
      <c r="A1315" t="s">
        <v>3315</v>
      </c>
      <c r="B1315" t="s">
        <v>4581</v>
      </c>
      <c r="C1315" s="25">
        <v>5268</v>
      </c>
      <c r="D1315" s="28">
        <v>5268</v>
      </c>
      <c r="E1315" s="2" t="str">
        <f t="shared" si="42"/>
        <v>Same</v>
      </c>
      <c r="F1315" s="6" t="s">
        <v>1920</v>
      </c>
      <c r="G1315" s="3">
        <v>32.5</v>
      </c>
      <c r="H1315" s="2" t="s">
        <v>1273</v>
      </c>
      <c r="I1315" s="4">
        <f>[1]Sheet1!I1315</f>
        <v>189</v>
      </c>
      <c r="J1315" s="3" t="str">
        <f t="shared" si="41"/>
        <v>5268_A1C1.webp</v>
      </c>
      <c r="K1315" s="5">
        <f>Sheet4!E1315</f>
        <v>6</v>
      </c>
      <c r="L1315" s="5"/>
      <c r="M1315" s="4"/>
    </row>
    <row r="1316" spans="1:13" x14ac:dyDescent="0.25">
      <c r="A1316" t="s">
        <v>2685</v>
      </c>
      <c r="B1316" t="s">
        <v>4587</v>
      </c>
      <c r="C1316" s="25">
        <v>5276</v>
      </c>
      <c r="D1316" s="28">
        <v>5276</v>
      </c>
      <c r="E1316" s="2" t="str">
        <f t="shared" si="42"/>
        <v>Same</v>
      </c>
      <c r="F1316" s="6" t="s">
        <v>2003</v>
      </c>
      <c r="G1316" s="3">
        <v>40.950000000000003</v>
      </c>
      <c r="H1316" s="2" t="s">
        <v>1274</v>
      </c>
      <c r="I1316" s="4">
        <f>[1]Sheet1!I1316</f>
        <v>72</v>
      </c>
      <c r="J1316" s="3" t="str">
        <f t="shared" si="41"/>
        <v>5276_A1C1.webp</v>
      </c>
      <c r="K1316" s="5">
        <f>Sheet4!E1316</f>
        <v>12</v>
      </c>
      <c r="L1316" s="5"/>
      <c r="M1316" s="4"/>
    </row>
    <row r="1317" spans="1:13" x14ac:dyDescent="0.25">
      <c r="A1317" t="s">
        <v>2685</v>
      </c>
      <c r="B1317" t="s">
        <v>4587</v>
      </c>
      <c r="C1317" s="25">
        <v>5277</v>
      </c>
      <c r="D1317" s="28">
        <v>5277</v>
      </c>
      <c r="E1317" s="2" t="str">
        <f t="shared" si="42"/>
        <v>Same</v>
      </c>
      <c r="F1317" s="6" t="s">
        <v>2004</v>
      </c>
      <c r="G1317" s="3">
        <v>40.950000000000003</v>
      </c>
      <c r="H1317" s="2" t="s">
        <v>1275</v>
      </c>
      <c r="I1317" s="4">
        <f>[1]Sheet1!I1317</f>
        <v>584</v>
      </c>
      <c r="J1317" s="3" t="str">
        <f t="shared" si="41"/>
        <v>5277_A1C1.webp</v>
      </c>
      <c r="K1317" s="5">
        <f>Sheet4!E1317</f>
        <v>12</v>
      </c>
      <c r="L1317" s="5"/>
      <c r="M1317" s="4"/>
    </row>
    <row r="1318" spans="1:13" x14ac:dyDescent="0.25">
      <c r="A1318" t="s">
        <v>2685</v>
      </c>
      <c r="B1318" t="s">
        <v>4587</v>
      </c>
      <c r="C1318" s="25">
        <v>5278</v>
      </c>
      <c r="D1318" s="28">
        <v>5278</v>
      </c>
      <c r="E1318" s="2" t="str">
        <f t="shared" si="42"/>
        <v>Same</v>
      </c>
      <c r="F1318" s="6" t="s">
        <v>2003</v>
      </c>
      <c r="G1318" s="3">
        <v>40.950000000000003</v>
      </c>
      <c r="H1318" s="2" t="s">
        <v>1276</v>
      </c>
      <c r="I1318" s="4">
        <f>[1]Sheet1!I1318</f>
        <v>0</v>
      </c>
      <c r="J1318" s="3" t="str">
        <f t="shared" si="41"/>
        <v>5278_A1C1.webp</v>
      </c>
      <c r="K1318" s="5">
        <f>Sheet4!E1318</f>
        <v>12</v>
      </c>
      <c r="L1318" s="5"/>
      <c r="M1318" s="4"/>
    </row>
    <row r="1319" spans="1:13" x14ac:dyDescent="0.25">
      <c r="A1319" t="s">
        <v>2685</v>
      </c>
      <c r="B1319" t="s">
        <v>4587</v>
      </c>
      <c r="C1319" s="25">
        <v>5279</v>
      </c>
      <c r="D1319" s="28">
        <v>5279</v>
      </c>
      <c r="E1319" s="2" t="str">
        <f t="shared" si="42"/>
        <v>Same</v>
      </c>
      <c r="F1319" s="6" t="s">
        <v>2005</v>
      </c>
      <c r="G1319" s="3">
        <v>40.950000000000003</v>
      </c>
      <c r="H1319" s="2" t="s">
        <v>1277</v>
      </c>
      <c r="I1319" s="4">
        <f>[1]Sheet1!I1319</f>
        <v>0</v>
      </c>
      <c r="J1319" s="3" t="str">
        <f t="shared" si="41"/>
        <v>5279_A1C1.webp</v>
      </c>
      <c r="K1319" s="5">
        <f>Sheet4!E1319</f>
        <v>12</v>
      </c>
      <c r="L1319" s="5"/>
      <c r="M1319" s="4"/>
    </row>
    <row r="1320" spans="1:13" x14ac:dyDescent="0.25">
      <c r="A1320" t="s">
        <v>2685</v>
      </c>
      <c r="B1320" t="s">
        <v>4595</v>
      </c>
      <c r="C1320" s="25">
        <v>5280</v>
      </c>
      <c r="D1320" s="28">
        <v>5280</v>
      </c>
      <c r="E1320" s="2" t="str">
        <f t="shared" si="42"/>
        <v>Same</v>
      </c>
      <c r="F1320" s="6" t="s">
        <v>1849</v>
      </c>
      <c r="G1320" s="3">
        <v>106.5</v>
      </c>
      <c r="H1320" s="2" t="s">
        <v>1278</v>
      </c>
      <c r="I1320" s="4">
        <f>[1]Sheet1!I1320</f>
        <v>282</v>
      </c>
      <c r="J1320" s="3" t="str">
        <f t="shared" si="41"/>
        <v>5280_A1C1.webp</v>
      </c>
      <c r="K1320" s="5">
        <f>Sheet4!E1320</f>
        <v>6</v>
      </c>
      <c r="L1320" s="5"/>
      <c r="M1320" s="4"/>
    </row>
    <row r="1321" spans="1:13" x14ac:dyDescent="0.25">
      <c r="A1321" t="s">
        <v>2685</v>
      </c>
      <c r="B1321" t="s">
        <v>4595</v>
      </c>
      <c r="C1321" s="25">
        <v>5281</v>
      </c>
      <c r="D1321" s="28">
        <v>5281</v>
      </c>
      <c r="E1321" s="2" t="str">
        <f t="shared" si="42"/>
        <v>Same</v>
      </c>
      <c r="F1321" s="6" t="s">
        <v>1868</v>
      </c>
      <c r="G1321" s="3">
        <v>78.95</v>
      </c>
      <c r="H1321" s="2" t="s">
        <v>1279</v>
      </c>
      <c r="I1321" s="4">
        <f>[1]Sheet1!I1321</f>
        <v>187</v>
      </c>
      <c r="J1321" s="3" t="str">
        <f t="shared" si="41"/>
        <v>5281_A1C1.webp</v>
      </c>
      <c r="K1321" s="5">
        <f>Sheet4!E1321</f>
        <v>12</v>
      </c>
      <c r="L1321" s="5"/>
      <c r="M1321" s="4"/>
    </row>
    <row r="1322" spans="1:13" x14ac:dyDescent="0.25">
      <c r="A1322" t="s">
        <v>2685</v>
      </c>
      <c r="B1322" t="s">
        <v>4587</v>
      </c>
      <c r="C1322" s="25">
        <v>5284</v>
      </c>
      <c r="D1322" s="28">
        <v>5284</v>
      </c>
      <c r="E1322" s="2" t="str">
        <f t="shared" si="42"/>
        <v>Same</v>
      </c>
      <c r="F1322" s="6" t="s">
        <v>1962</v>
      </c>
      <c r="G1322" s="3">
        <v>40.950000000000003</v>
      </c>
      <c r="H1322" s="2" t="s">
        <v>1280</v>
      </c>
      <c r="I1322" s="4">
        <f>[1]Sheet1!I1322</f>
        <v>0</v>
      </c>
      <c r="J1322" s="3" t="str">
        <f t="shared" si="41"/>
        <v>5284_A1C1.webp</v>
      </c>
      <c r="K1322" s="5">
        <f>Sheet4!E1322</f>
        <v>12</v>
      </c>
      <c r="L1322" s="5"/>
      <c r="M1322" s="4"/>
    </row>
    <row r="1323" spans="1:13" x14ac:dyDescent="0.25">
      <c r="A1323" t="s">
        <v>2618</v>
      </c>
      <c r="B1323" t="s">
        <v>4601</v>
      </c>
      <c r="C1323" s="25">
        <v>5287</v>
      </c>
      <c r="D1323" s="28">
        <v>5287</v>
      </c>
      <c r="E1323" s="2" t="str">
        <f t="shared" si="42"/>
        <v>Same</v>
      </c>
      <c r="F1323" s="6" t="s">
        <v>2006</v>
      </c>
      <c r="G1323">
        <v>17.850000000000001</v>
      </c>
      <c r="H1323" s="2" t="s">
        <v>1281</v>
      </c>
      <c r="I1323" s="4">
        <f>[1]Sheet1!I1323</f>
        <v>29182</v>
      </c>
      <c r="J1323" s="3" t="str">
        <f t="shared" si="41"/>
        <v>5287_A1C1.webp</v>
      </c>
      <c r="K1323" s="5">
        <f>Sheet4!E1323</f>
        <v>24</v>
      </c>
      <c r="L1323" s="5" t="s">
        <v>5278</v>
      </c>
      <c r="M1323" s="4"/>
    </row>
    <row r="1324" spans="1:13" x14ac:dyDescent="0.25">
      <c r="A1324" t="s">
        <v>2618</v>
      </c>
      <c r="B1324" t="s">
        <v>4601</v>
      </c>
      <c r="C1324" s="25">
        <v>5288</v>
      </c>
      <c r="D1324" s="28">
        <v>5288</v>
      </c>
      <c r="E1324" s="2" t="str">
        <f t="shared" si="42"/>
        <v>Same</v>
      </c>
      <c r="F1324" s="6" t="s">
        <v>2006</v>
      </c>
      <c r="G1324">
        <v>17.850000000000001</v>
      </c>
      <c r="H1324" s="2" t="s">
        <v>1282</v>
      </c>
      <c r="I1324" s="4">
        <f>[1]Sheet1!I1324</f>
        <v>4017</v>
      </c>
      <c r="J1324" s="3" t="str">
        <f t="shared" si="41"/>
        <v>5288_A1C1.webp</v>
      </c>
      <c r="K1324" s="5">
        <f>Sheet4!E1324</f>
        <v>24</v>
      </c>
      <c r="L1324" s="5" t="s">
        <v>5278</v>
      </c>
      <c r="M1324" s="4"/>
    </row>
    <row r="1325" spans="1:13" x14ac:dyDescent="0.25">
      <c r="A1325" t="s">
        <v>2618</v>
      </c>
      <c r="B1325" t="s">
        <v>4601</v>
      </c>
      <c r="C1325" s="25">
        <v>5289</v>
      </c>
      <c r="D1325" s="28">
        <v>5289</v>
      </c>
      <c r="E1325" s="2" t="str">
        <f t="shared" si="42"/>
        <v>Same</v>
      </c>
      <c r="F1325" s="6" t="s">
        <v>2006</v>
      </c>
      <c r="G1325">
        <v>17.850000000000001</v>
      </c>
      <c r="H1325" s="2" t="s">
        <v>1283</v>
      </c>
      <c r="I1325" s="4">
        <f>[1]Sheet1!I1325</f>
        <v>2446</v>
      </c>
      <c r="J1325" s="3" t="str">
        <f t="shared" si="41"/>
        <v>5289_A1C1.webp</v>
      </c>
      <c r="K1325" s="5">
        <f>Sheet4!E1325</f>
        <v>24</v>
      </c>
      <c r="L1325" s="5" t="s">
        <v>5278</v>
      </c>
      <c r="M1325" s="4"/>
    </row>
    <row r="1326" spans="1:13" x14ac:dyDescent="0.25">
      <c r="A1326" t="s">
        <v>2618</v>
      </c>
      <c r="B1326" t="s">
        <v>4601</v>
      </c>
      <c r="C1326" s="25">
        <v>5290</v>
      </c>
      <c r="D1326" s="28">
        <v>5290</v>
      </c>
      <c r="E1326" s="2" t="str">
        <f t="shared" si="42"/>
        <v>Same</v>
      </c>
      <c r="F1326" s="6" t="s">
        <v>2007</v>
      </c>
      <c r="G1326" s="3">
        <v>14.5</v>
      </c>
      <c r="H1326" s="2" t="s">
        <v>1284</v>
      </c>
      <c r="I1326" s="4">
        <f>[1]Sheet1!I1326</f>
        <v>1993</v>
      </c>
      <c r="J1326" s="3" t="str">
        <f t="shared" si="41"/>
        <v>5290_A1C1.webp</v>
      </c>
      <c r="K1326" s="5">
        <f>Sheet4!E1326</f>
        <v>12</v>
      </c>
      <c r="L1326" s="5" t="s">
        <v>5278</v>
      </c>
      <c r="M1326" s="4"/>
    </row>
    <row r="1327" spans="1:13" x14ac:dyDescent="0.25">
      <c r="A1327" t="s">
        <v>2618</v>
      </c>
      <c r="B1327" t="s">
        <v>4601</v>
      </c>
      <c r="C1327" s="25">
        <v>5291</v>
      </c>
      <c r="D1327" s="28">
        <v>5291</v>
      </c>
      <c r="E1327" s="2" t="str">
        <f t="shared" si="42"/>
        <v>Same</v>
      </c>
      <c r="F1327" s="6" t="s">
        <v>2008</v>
      </c>
      <c r="G1327">
        <v>17.850000000000001</v>
      </c>
      <c r="H1327" s="2" t="s">
        <v>1285</v>
      </c>
      <c r="I1327" s="4">
        <f>[1]Sheet1!I1327</f>
        <v>2380</v>
      </c>
      <c r="J1327" s="3" t="str">
        <f t="shared" si="41"/>
        <v>5291_A1C1.webp</v>
      </c>
      <c r="K1327" s="5">
        <f>Sheet4!E1327</f>
        <v>24</v>
      </c>
      <c r="L1327" s="5" t="s">
        <v>5278</v>
      </c>
      <c r="M1327" s="4"/>
    </row>
    <row r="1328" spans="1:13" x14ac:dyDescent="0.25">
      <c r="A1328" t="s">
        <v>2618</v>
      </c>
      <c r="B1328" t="s">
        <v>4601</v>
      </c>
      <c r="C1328" s="25">
        <v>5292</v>
      </c>
      <c r="D1328" s="28">
        <v>5292</v>
      </c>
      <c r="E1328" s="2" t="str">
        <f t="shared" si="42"/>
        <v>Same</v>
      </c>
      <c r="F1328" s="6" t="s">
        <v>2007</v>
      </c>
      <c r="G1328" s="3">
        <v>14.5</v>
      </c>
      <c r="H1328" s="2" t="s">
        <v>1286</v>
      </c>
      <c r="I1328" s="4">
        <f>[1]Sheet1!I1328</f>
        <v>2604</v>
      </c>
      <c r="J1328" s="3" t="str">
        <f t="shared" si="41"/>
        <v>5292_A1C1.webp</v>
      </c>
      <c r="K1328" s="5">
        <f>Sheet4!E1328</f>
        <v>12</v>
      </c>
      <c r="L1328" s="5" t="s">
        <v>5278</v>
      </c>
      <c r="M1328" s="4"/>
    </row>
    <row r="1329" spans="1:13" x14ac:dyDescent="0.25">
      <c r="A1329" t="s">
        <v>2685</v>
      </c>
      <c r="B1329" t="s">
        <v>4587</v>
      </c>
      <c r="C1329" s="25">
        <v>5293</v>
      </c>
      <c r="D1329" s="28">
        <v>5293</v>
      </c>
      <c r="E1329" s="2" t="str">
        <f t="shared" si="42"/>
        <v>Same</v>
      </c>
      <c r="F1329" s="6" t="s">
        <v>2003</v>
      </c>
      <c r="G1329" s="3">
        <v>40.950000000000003</v>
      </c>
      <c r="H1329" s="2" t="s">
        <v>1287</v>
      </c>
      <c r="I1329" s="4">
        <f>[1]Sheet1!I1329</f>
        <v>0</v>
      </c>
      <c r="J1329" s="3" t="str">
        <f t="shared" si="41"/>
        <v>5293_A1C1.webp</v>
      </c>
      <c r="K1329" s="5">
        <f>Sheet4!E1329</f>
        <v>12</v>
      </c>
      <c r="L1329" s="5" t="s">
        <v>5347</v>
      </c>
      <c r="M1329" s="4"/>
    </row>
    <row r="1330" spans="1:13" x14ac:dyDescent="0.25">
      <c r="A1330" t="s">
        <v>3595</v>
      </c>
      <c r="B1330" t="s">
        <v>4442</v>
      </c>
      <c r="C1330" s="25">
        <v>5294</v>
      </c>
      <c r="D1330" s="28">
        <v>5294</v>
      </c>
      <c r="E1330" s="2" t="str">
        <f t="shared" si="42"/>
        <v>Same</v>
      </c>
      <c r="F1330" s="6" t="s">
        <v>1918</v>
      </c>
      <c r="G1330" s="3">
        <v>17.95</v>
      </c>
      <c r="H1330" s="2" t="s">
        <v>1288</v>
      </c>
      <c r="I1330" s="4">
        <f>[1]Sheet1!I1330</f>
        <v>468</v>
      </c>
      <c r="J1330" s="3" t="str">
        <f t="shared" si="41"/>
        <v>5294_A1C1.webp</v>
      </c>
      <c r="K1330" s="5">
        <f>Sheet4!E1330</f>
        <v>12</v>
      </c>
      <c r="L1330" s="5" t="s">
        <v>5278</v>
      </c>
      <c r="M1330" s="4"/>
    </row>
    <row r="1331" spans="1:13" x14ac:dyDescent="0.25">
      <c r="A1331" t="s">
        <v>2685</v>
      </c>
      <c r="B1331" t="s">
        <v>4543</v>
      </c>
      <c r="C1331" s="25">
        <v>5302</v>
      </c>
      <c r="D1331" s="28">
        <v>5302</v>
      </c>
      <c r="E1331" s="2" t="str">
        <f t="shared" si="42"/>
        <v>Same</v>
      </c>
      <c r="F1331" s="6" t="s">
        <v>2009</v>
      </c>
      <c r="G1331" s="3">
        <v>9.9499999999999993</v>
      </c>
      <c r="H1331" s="2" t="s">
        <v>1289</v>
      </c>
      <c r="I1331" s="4">
        <f>[1]Sheet1!I1331</f>
        <v>1</v>
      </c>
      <c r="J1331" s="3" t="str">
        <f t="shared" si="41"/>
        <v>5302_A1C1.webp</v>
      </c>
      <c r="K1331" s="5">
        <f>Sheet4!E1331</f>
        <v>8</v>
      </c>
      <c r="L1331" s="5"/>
      <c r="M1331" s="4"/>
    </row>
    <row r="1332" spans="1:13" x14ac:dyDescent="0.25">
      <c r="A1332" t="s">
        <v>2685</v>
      </c>
      <c r="B1332" t="s">
        <v>4543</v>
      </c>
      <c r="C1332" s="25">
        <v>5308</v>
      </c>
      <c r="D1332" s="28">
        <v>5308</v>
      </c>
      <c r="E1332" s="2" t="str">
        <f t="shared" si="42"/>
        <v>Same</v>
      </c>
      <c r="F1332" s="6" t="s">
        <v>2009</v>
      </c>
      <c r="G1332" s="3">
        <v>9.9499999999999993</v>
      </c>
      <c r="H1332" s="2" t="s">
        <v>1290</v>
      </c>
      <c r="I1332" s="4">
        <f>[1]Sheet1!I1332</f>
        <v>0</v>
      </c>
      <c r="J1332" s="3" t="str">
        <f t="shared" si="41"/>
        <v>5308_A1C1.webp</v>
      </c>
      <c r="K1332" s="5">
        <f>Sheet4!E1332</f>
        <v>8</v>
      </c>
      <c r="L1332" s="5"/>
      <c r="M1332" s="4"/>
    </row>
    <row r="1333" spans="1:13" x14ac:dyDescent="0.25">
      <c r="A1333" t="s">
        <v>2685</v>
      </c>
      <c r="B1333" t="s">
        <v>4543</v>
      </c>
      <c r="C1333" s="25">
        <v>5309</v>
      </c>
      <c r="D1333" s="28">
        <v>5309</v>
      </c>
      <c r="E1333" s="2" t="str">
        <f t="shared" si="42"/>
        <v>Same</v>
      </c>
      <c r="F1333" s="6" t="s">
        <v>2009</v>
      </c>
      <c r="G1333" s="3">
        <v>9.9499999999999993</v>
      </c>
      <c r="H1333" s="2" t="s">
        <v>1291</v>
      </c>
      <c r="I1333" s="4">
        <f>[1]Sheet1!I1333</f>
        <v>0</v>
      </c>
      <c r="J1333" s="3" t="str">
        <f t="shared" si="41"/>
        <v>5309_A1C1.webp</v>
      </c>
      <c r="K1333" s="5">
        <f>Sheet4!E1333</f>
        <v>8</v>
      </c>
      <c r="L1333" s="5"/>
      <c r="M1333" s="4"/>
    </row>
    <row r="1334" spans="1:13" x14ac:dyDescent="0.25">
      <c r="A1334" t="s">
        <v>2685</v>
      </c>
      <c r="B1334" t="s">
        <v>4543</v>
      </c>
      <c r="C1334" s="25">
        <v>5342</v>
      </c>
      <c r="D1334" s="28">
        <v>5342</v>
      </c>
      <c r="E1334" s="2" t="str">
        <f t="shared" si="42"/>
        <v>Same</v>
      </c>
      <c r="F1334" s="6" t="s">
        <v>2009</v>
      </c>
      <c r="G1334" s="3">
        <v>9.9499999999999993</v>
      </c>
      <c r="H1334" s="2" t="s">
        <v>1292</v>
      </c>
      <c r="I1334" s="4">
        <f>[1]Sheet1!I1334</f>
        <v>0</v>
      </c>
      <c r="J1334" s="3" t="str">
        <f t="shared" si="41"/>
        <v>5342_A1C1.webp</v>
      </c>
      <c r="K1334" s="5">
        <f>Sheet4!E1334</f>
        <v>8</v>
      </c>
      <c r="L1334" s="5"/>
      <c r="M1334" s="4"/>
    </row>
    <row r="1335" spans="1:13" x14ac:dyDescent="0.25">
      <c r="A1335" t="s">
        <v>2685</v>
      </c>
      <c r="B1335" t="s">
        <v>4543</v>
      </c>
      <c r="C1335" s="25">
        <v>5405</v>
      </c>
      <c r="D1335" s="28">
        <v>5405</v>
      </c>
      <c r="E1335" s="2" t="str">
        <f t="shared" si="42"/>
        <v>Same</v>
      </c>
      <c r="F1335" s="6" t="s">
        <v>1913</v>
      </c>
      <c r="G1335">
        <v>15.95</v>
      </c>
      <c r="H1335" s="2" t="s">
        <v>1293</v>
      </c>
      <c r="I1335" s="4">
        <f>[1]Sheet1!I1335</f>
        <v>0</v>
      </c>
      <c r="J1335" s="3" t="str">
        <f t="shared" si="41"/>
        <v>5405_A1C1.webp</v>
      </c>
      <c r="K1335" s="5">
        <f>Sheet4!E1335</f>
        <v>12</v>
      </c>
      <c r="L1335" s="5"/>
      <c r="M1335" s="4"/>
    </row>
    <row r="1336" spans="1:13" x14ac:dyDescent="0.25">
      <c r="A1336" t="s">
        <v>2685</v>
      </c>
      <c r="B1336" t="s">
        <v>4595</v>
      </c>
      <c r="C1336" s="25">
        <v>5407</v>
      </c>
      <c r="D1336" s="28">
        <v>5407</v>
      </c>
      <c r="E1336" s="2" t="str">
        <f t="shared" si="42"/>
        <v>Same</v>
      </c>
      <c r="F1336" s="6" t="s">
        <v>1849</v>
      </c>
      <c r="G1336" s="3">
        <v>88.5</v>
      </c>
      <c r="H1336" s="2" t="s">
        <v>1294</v>
      </c>
      <c r="I1336" s="4">
        <f>[1]Sheet1!I1336</f>
        <v>2879</v>
      </c>
      <c r="J1336" s="3" t="str">
        <f t="shared" si="41"/>
        <v>5407_A1C1.webp</v>
      </c>
      <c r="K1336" s="5">
        <f>Sheet4!E1336</f>
        <v>16</v>
      </c>
      <c r="L1336" s="5"/>
      <c r="M1336" s="4"/>
    </row>
    <row r="1337" spans="1:13" x14ac:dyDescent="0.25">
      <c r="A1337" t="s">
        <v>2685</v>
      </c>
      <c r="B1337" t="s">
        <v>4595</v>
      </c>
      <c r="C1337" s="25">
        <v>5408</v>
      </c>
      <c r="D1337" s="28">
        <v>5408</v>
      </c>
      <c r="E1337" s="2" t="str">
        <f t="shared" si="42"/>
        <v>Same</v>
      </c>
      <c r="F1337" s="6" t="s">
        <v>1868</v>
      </c>
      <c r="G1337" s="3">
        <v>60.5</v>
      </c>
      <c r="H1337" s="2" t="s">
        <v>1295</v>
      </c>
      <c r="I1337" s="4">
        <f>[1]Sheet1!I1337</f>
        <v>1388</v>
      </c>
      <c r="J1337" s="3" t="str">
        <f t="shared" si="41"/>
        <v>5408_A1C1.webp</v>
      </c>
      <c r="K1337" s="5">
        <f>Sheet4!E1337</f>
        <v>12</v>
      </c>
      <c r="L1337" s="5"/>
      <c r="M1337" s="4"/>
    </row>
    <row r="1338" spans="1:13" x14ac:dyDescent="0.25">
      <c r="A1338" t="s">
        <v>2685</v>
      </c>
      <c r="B1338" t="s">
        <v>4595</v>
      </c>
      <c r="C1338" s="25">
        <v>5409</v>
      </c>
      <c r="D1338" s="28">
        <v>5409</v>
      </c>
      <c r="E1338" s="2" t="str">
        <f t="shared" si="42"/>
        <v>Same</v>
      </c>
      <c r="F1338" s="6" t="s">
        <v>1868</v>
      </c>
      <c r="G1338" s="3">
        <v>72.95</v>
      </c>
      <c r="H1338" s="2" t="s">
        <v>1296</v>
      </c>
      <c r="I1338" s="4">
        <f>[1]Sheet1!I1338</f>
        <v>2230</v>
      </c>
      <c r="J1338" s="3" t="str">
        <f t="shared" si="41"/>
        <v>5409_A1C1.webp</v>
      </c>
      <c r="K1338" s="5">
        <f>Sheet4!E1338</f>
        <v>20</v>
      </c>
      <c r="L1338" s="5"/>
      <c r="M1338" s="4"/>
    </row>
    <row r="1339" spans="1:13" x14ac:dyDescent="0.25">
      <c r="A1339" t="s">
        <v>2685</v>
      </c>
      <c r="B1339" t="s">
        <v>4595</v>
      </c>
      <c r="C1339" s="25">
        <v>5410</v>
      </c>
      <c r="D1339" s="28">
        <v>5410</v>
      </c>
      <c r="E1339" s="2" t="str">
        <f t="shared" si="42"/>
        <v>Same</v>
      </c>
      <c r="F1339" s="6" t="s">
        <v>1868</v>
      </c>
      <c r="G1339" s="3">
        <v>62.35</v>
      </c>
      <c r="H1339" s="2" t="s">
        <v>1297</v>
      </c>
      <c r="I1339" s="4">
        <f>[1]Sheet1!I1339</f>
        <v>159</v>
      </c>
      <c r="J1339" s="3" t="str">
        <f t="shared" si="41"/>
        <v>5410_A1C1.webp</v>
      </c>
      <c r="K1339" s="5">
        <f>Sheet4!E1339</f>
        <v>20</v>
      </c>
      <c r="L1339" s="5"/>
      <c r="M1339" s="4"/>
    </row>
    <row r="1340" spans="1:13" x14ac:dyDescent="0.25">
      <c r="A1340" t="s">
        <v>2671</v>
      </c>
      <c r="B1340" t="s">
        <v>4601</v>
      </c>
      <c r="C1340" s="25">
        <v>5432</v>
      </c>
      <c r="D1340" s="28">
        <v>5432</v>
      </c>
      <c r="E1340" s="2" t="str">
        <f t="shared" si="42"/>
        <v>Same</v>
      </c>
      <c r="F1340" s="6" t="s">
        <v>2010</v>
      </c>
      <c r="H1340" s="2" t="s">
        <v>1298</v>
      </c>
      <c r="I1340" s="4">
        <f>[1]Sheet1!I1340</f>
        <v>0</v>
      </c>
      <c r="J1340" s="3" t="str">
        <f t="shared" si="41"/>
        <v>5432_A1C1.webp</v>
      </c>
      <c r="K1340" s="5">
        <f>Sheet4!E1340</f>
        <v>88</v>
      </c>
      <c r="L1340" s="5"/>
      <c r="M1340" s="4"/>
    </row>
    <row r="1341" spans="1:13" x14ac:dyDescent="0.25">
      <c r="A1341" t="s">
        <v>2671</v>
      </c>
      <c r="B1341" t="s">
        <v>4601</v>
      </c>
      <c r="C1341" s="25">
        <v>5433</v>
      </c>
      <c r="D1341" s="28">
        <v>5433</v>
      </c>
      <c r="E1341" s="2" t="str">
        <f t="shared" si="42"/>
        <v>Same</v>
      </c>
      <c r="F1341" s="6" t="s">
        <v>1969</v>
      </c>
      <c r="H1341" s="2" t="s">
        <v>1299</v>
      </c>
      <c r="I1341" s="4">
        <f>[1]Sheet1!I1341</f>
        <v>0</v>
      </c>
      <c r="J1341" s="3" t="str">
        <f t="shared" si="41"/>
        <v>5433_A1C1.webp</v>
      </c>
      <c r="K1341" s="5">
        <f>Sheet4!E1341</f>
        <v>96</v>
      </c>
      <c r="L1341" s="5"/>
      <c r="M1341" s="4"/>
    </row>
    <row r="1342" spans="1:13" x14ac:dyDescent="0.25">
      <c r="A1342" t="s">
        <v>2618</v>
      </c>
      <c r="B1342" t="s">
        <v>4601</v>
      </c>
      <c r="C1342" s="25">
        <v>5438</v>
      </c>
      <c r="D1342" s="28">
        <v>5438</v>
      </c>
      <c r="E1342" s="2" t="str">
        <f t="shared" si="42"/>
        <v>Same</v>
      </c>
      <c r="F1342" s="6" t="s">
        <v>2011</v>
      </c>
      <c r="G1342">
        <v>18.95</v>
      </c>
      <c r="H1342" s="2" t="s">
        <v>1300</v>
      </c>
      <c r="I1342" s="4">
        <f>[1]Sheet1!I1342</f>
        <v>4308</v>
      </c>
      <c r="J1342" s="3" t="str">
        <f t="shared" si="41"/>
        <v>5438_A1C1.webp</v>
      </c>
      <c r="K1342" s="5">
        <f>Sheet4!E1342</f>
        <v>24</v>
      </c>
      <c r="L1342" s="5"/>
      <c r="M1342" s="4"/>
    </row>
    <row r="1343" spans="1:13" x14ac:dyDescent="0.25">
      <c r="A1343" t="s">
        <v>2618</v>
      </c>
      <c r="B1343" t="s">
        <v>4601</v>
      </c>
      <c r="C1343" s="25">
        <v>5439</v>
      </c>
      <c r="D1343" s="28">
        <v>5439</v>
      </c>
      <c r="E1343" s="2" t="str">
        <f t="shared" si="42"/>
        <v>Same</v>
      </c>
      <c r="F1343" s="6" t="s">
        <v>2012</v>
      </c>
      <c r="G1343">
        <v>18.95</v>
      </c>
      <c r="H1343" s="2" t="s">
        <v>1301</v>
      </c>
      <c r="I1343" s="4">
        <f>[1]Sheet1!I1343</f>
        <v>2111</v>
      </c>
      <c r="J1343" s="3" t="str">
        <f t="shared" si="41"/>
        <v>5439_A1C1.webp</v>
      </c>
      <c r="K1343" s="5">
        <f>Sheet4!E1343</f>
        <v>24</v>
      </c>
      <c r="L1343" s="5"/>
      <c r="M1343" s="4"/>
    </row>
    <row r="1344" spans="1:13" x14ac:dyDescent="0.25">
      <c r="A1344" t="s">
        <v>2685</v>
      </c>
      <c r="B1344" t="s">
        <v>4543</v>
      </c>
      <c r="C1344" s="25">
        <v>5447</v>
      </c>
      <c r="D1344" s="28">
        <v>5447</v>
      </c>
      <c r="E1344" s="2" t="str">
        <f t="shared" si="42"/>
        <v>Same</v>
      </c>
      <c r="F1344" s="6" t="s">
        <v>1913</v>
      </c>
      <c r="G1344">
        <v>15.95</v>
      </c>
      <c r="H1344" s="2" t="s">
        <v>1302</v>
      </c>
      <c r="I1344" s="4">
        <f>[1]Sheet1!I1344</f>
        <v>0</v>
      </c>
      <c r="J1344" s="3" t="str">
        <f t="shared" si="41"/>
        <v>5447_A1C1.webp</v>
      </c>
      <c r="K1344" s="5">
        <f>Sheet4!E1344</f>
        <v>12</v>
      </c>
      <c r="L1344" s="5"/>
      <c r="M1344" s="4"/>
    </row>
    <row r="1345" spans="1:13" x14ac:dyDescent="0.25">
      <c r="A1345" t="s">
        <v>2685</v>
      </c>
      <c r="B1345" t="s">
        <v>4543</v>
      </c>
      <c r="C1345" s="25">
        <v>5448</v>
      </c>
      <c r="D1345" s="28">
        <v>5448</v>
      </c>
      <c r="E1345" s="2" t="str">
        <f t="shared" si="42"/>
        <v>Same</v>
      </c>
      <c r="F1345" s="6" t="s">
        <v>1913</v>
      </c>
      <c r="G1345">
        <v>15.95</v>
      </c>
      <c r="H1345" s="2" t="s">
        <v>1303</v>
      </c>
      <c r="I1345" s="4">
        <f>[1]Sheet1!I1345</f>
        <v>0</v>
      </c>
      <c r="J1345" s="3" t="str">
        <f t="shared" si="41"/>
        <v>5448_A1C1.webp</v>
      </c>
      <c r="K1345" s="5">
        <f>Sheet4!E1345</f>
        <v>12</v>
      </c>
      <c r="L1345" s="5"/>
      <c r="M1345" s="4"/>
    </row>
    <row r="1346" spans="1:13" x14ac:dyDescent="0.25">
      <c r="A1346" t="s">
        <v>3258</v>
      </c>
      <c r="B1346" t="s">
        <v>4632</v>
      </c>
      <c r="C1346" s="25">
        <v>5453</v>
      </c>
      <c r="D1346" s="28">
        <v>5453</v>
      </c>
      <c r="E1346" s="2" t="str">
        <f t="shared" si="42"/>
        <v>Same</v>
      </c>
      <c r="F1346" s="6" t="s">
        <v>1942</v>
      </c>
      <c r="G1346" s="3">
        <v>38.950000000000003</v>
      </c>
      <c r="H1346" s="2" t="s">
        <v>1304</v>
      </c>
      <c r="I1346" s="4">
        <f>[1]Sheet1!I1346</f>
        <v>736</v>
      </c>
      <c r="J1346" s="3" t="str">
        <f t="shared" ref="J1346:J1409" si="43">C1346 &amp; "_A1C1.webp"</f>
        <v>5453_A1C1.webp</v>
      </c>
      <c r="K1346" s="5">
        <f>Sheet4!E1346</f>
        <v>24</v>
      </c>
      <c r="L1346" s="5"/>
      <c r="M1346" s="4"/>
    </row>
    <row r="1347" spans="1:13" x14ac:dyDescent="0.25">
      <c r="A1347" t="s">
        <v>3258</v>
      </c>
      <c r="B1347" t="s">
        <v>4632</v>
      </c>
      <c r="C1347" s="25">
        <v>5467</v>
      </c>
      <c r="D1347" s="28">
        <v>5467</v>
      </c>
      <c r="E1347" s="2" t="str">
        <f t="shared" si="42"/>
        <v>Same</v>
      </c>
      <c r="F1347" s="6" t="s">
        <v>2010</v>
      </c>
      <c r="G1347" s="3">
        <v>30.95</v>
      </c>
      <c r="H1347" s="2" t="s">
        <v>1305</v>
      </c>
      <c r="I1347" s="4">
        <f>[1]Sheet1!I1347</f>
        <v>887</v>
      </c>
      <c r="J1347" s="3" t="str">
        <f t="shared" si="43"/>
        <v>5467_A1C1.webp</v>
      </c>
      <c r="K1347" s="5">
        <f>Sheet4!E1347</f>
        <v>12</v>
      </c>
      <c r="L1347" s="5"/>
      <c r="M1347" s="4"/>
    </row>
    <row r="1348" spans="1:13" x14ac:dyDescent="0.25">
      <c r="A1348" t="s">
        <v>2685</v>
      </c>
      <c r="B1348" t="s">
        <v>4543</v>
      </c>
      <c r="C1348" s="25">
        <v>5473</v>
      </c>
      <c r="D1348" s="28">
        <v>5473</v>
      </c>
      <c r="E1348" s="2" t="str">
        <f t="shared" si="42"/>
        <v>Same</v>
      </c>
      <c r="F1348" s="6" t="s">
        <v>1913</v>
      </c>
      <c r="G1348">
        <v>15.95</v>
      </c>
      <c r="H1348" s="2" t="s">
        <v>1306</v>
      </c>
      <c r="I1348" s="4">
        <f>[1]Sheet1!I1348</f>
        <v>0</v>
      </c>
      <c r="J1348" s="3" t="str">
        <f t="shared" si="43"/>
        <v>5473_A1C1.webp</v>
      </c>
      <c r="K1348" s="5">
        <f>Sheet4!E1348</f>
        <v>12</v>
      </c>
      <c r="L1348" s="5"/>
      <c r="M1348" s="4"/>
    </row>
    <row r="1349" spans="1:13" x14ac:dyDescent="0.25">
      <c r="A1349" t="s">
        <v>2622</v>
      </c>
      <c r="B1349" t="s">
        <v>4639</v>
      </c>
      <c r="C1349" s="25">
        <v>5479</v>
      </c>
      <c r="D1349" s="28">
        <v>5479</v>
      </c>
      <c r="E1349" s="2" t="str">
        <f t="shared" si="42"/>
        <v>Same</v>
      </c>
      <c r="F1349" s="6" t="s">
        <v>2013</v>
      </c>
      <c r="G1349" s="3">
        <v>216.95</v>
      </c>
      <c r="H1349" s="2" t="s">
        <v>1307</v>
      </c>
      <c r="I1349" s="4">
        <f>[1]Sheet1!I1349</f>
        <v>102</v>
      </c>
      <c r="J1349" s="3" t="str">
        <f t="shared" si="43"/>
        <v>5479_A1C1.webp</v>
      </c>
      <c r="K1349" s="5">
        <f>Sheet4!E1349</f>
        <v>12</v>
      </c>
      <c r="L1349" s="5"/>
      <c r="M1349" s="4"/>
    </row>
    <row r="1350" spans="1:13" x14ac:dyDescent="0.25">
      <c r="A1350" t="s">
        <v>2685</v>
      </c>
      <c r="B1350" t="s">
        <v>4595</v>
      </c>
      <c r="C1350" s="25">
        <v>5488</v>
      </c>
      <c r="D1350" s="28">
        <v>5488</v>
      </c>
      <c r="E1350" s="2" t="str">
        <f t="shared" si="42"/>
        <v>Same</v>
      </c>
      <c r="F1350" s="6" t="s">
        <v>1869</v>
      </c>
      <c r="G1350" s="3">
        <v>57.95</v>
      </c>
      <c r="H1350" s="2" t="s">
        <v>1308</v>
      </c>
      <c r="I1350" s="4">
        <f>[1]Sheet1!I1350</f>
        <v>694</v>
      </c>
      <c r="J1350" s="3" t="str">
        <f t="shared" si="43"/>
        <v>5488_A1C1.webp</v>
      </c>
      <c r="K1350" s="5">
        <f>Sheet4!E1350</f>
        <v>20</v>
      </c>
      <c r="L1350" s="5"/>
      <c r="M1350" s="4"/>
    </row>
    <row r="1351" spans="1:13" x14ac:dyDescent="0.25">
      <c r="A1351" t="s">
        <v>3258</v>
      </c>
      <c r="B1351" t="s">
        <v>4632</v>
      </c>
      <c r="C1351" s="25">
        <v>5496</v>
      </c>
      <c r="D1351" s="28">
        <v>5496</v>
      </c>
      <c r="E1351" s="2" t="str">
        <f t="shared" ref="E1351:E1414" si="44">IF(C1351=D1351, "Same","New")</f>
        <v>Same</v>
      </c>
      <c r="F1351" s="6" t="s">
        <v>1942</v>
      </c>
      <c r="G1351" s="3">
        <v>38.950000000000003</v>
      </c>
      <c r="H1351" s="2" t="s">
        <v>1309</v>
      </c>
      <c r="I1351" s="4">
        <f>[1]Sheet1!I1351</f>
        <v>333</v>
      </c>
      <c r="J1351" s="3" t="str">
        <f t="shared" si="43"/>
        <v>5496_A1C1.webp</v>
      </c>
      <c r="K1351" s="5">
        <f>Sheet4!E1351</f>
        <v>24</v>
      </c>
      <c r="L1351" s="5"/>
      <c r="M1351" s="4"/>
    </row>
    <row r="1352" spans="1:13" x14ac:dyDescent="0.25">
      <c r="A1352" t="s">
        <v>3258</v>
      </c>
      <c r="B1352" t="s">
        <v>4632</v>
      </c>
      <c r="C1352" s="25">
        <v>5497</v>
      </c>
      <c r="D1352" s="28">
        <v>5497</v>
      </c>
      <c r="E1352" s="2" t="str">
        <f t="shared" si="44"/>
        <v>Same</v>
      </c>
      <c r="F1352" s="6" t="s">
        <v>1942</v>
      </c>
      <c r="G1352" s="3">
        <v>38.950000000000003</v>
      </c>
      <c r="H1352" s="2" t="s">
        <v>1310</v>
      </c>
      <c r="I1352" s="4">
        <f>[1]Sheet1!I1352</f>
        <v>1070</v>
      </c>
      <c r="J1352" s="3" t="str">
        <f t="shared" si="43"/>
        <v>5497_A1C1.webp</v>
      </c>
      <c r="K1352" s="5">
        <f>Sheet4!E1352</f>
        <v>24</v>
      </c>
      <c r="L1352" s="5"/>
      <c r="M1352" s="4"/>
    </row>
    <row r="1353" spans="1:13" x14ac:dyDescent="0.25">
      <c r="A1353" t="s">
        <v>3258</v>
      </c>
      <c r="B1353" t="s">
        <v>4632</v>
      </c>
      <c r="C1353" s="25">
        <v>5500</v>
      </c>
      <c r="D1353" s="28">
        <v>5500</v>
      </c>
      <c r="E1353" s="2" t="str">
        <f t="shared" si="44"/>
        <v>Same</v>
      </c>
      <c r="F1353" s="6" t="s">
        <v>2014</v>
      </c>
      <c r="G1353">
        <v>37.950000000000003</v>
      </c>
      <c r="H1353" s="2" t="s">
        <v>1311</v>
      </c>
      <c r="I1353" s="4">
        <f>[1]Sheet1!I1353</f>
        <v>2802</v>
      </c>
      <c r="J1353" s="3" t="str">
        <f t="shared" si="43"/>
        <v>5500_A1C1.webp</v>
      </c>
      <c r="K1353" s="5">
        <f>Sheet4!E1353</f>
        <v>48</v>
      </c>
      <c r="L1353" s="5"/>
      <c r="M1353" s="4"/>
    </row>
    <row r="1354" spans="1:13" x14ac:dyDescent="0.25">
      <c r="A1354" t="s">
        <v>3258</v>
      </c>
      <c r="B1354" t="s">
        <v>4632</v>
      </c>
      <c r="C1354" s="25">
        <v>5501</v>
      </c>
      <c r="D1354" s="28">
        <v>5501</v>
      </c>
      <c r="E1354" s="2" t="str">
        <f t="shared" si="44"/>
        <v>Same</v>
      </c>
      <c r="F1354" s="6" t="s">
        <v>2015</v>
      </c>
      <c r="G1354">
        <v>37.950000000000003</v>
      </c>
      <c r="H1354" s="2" t="s">
        <v>1312</v>
      </c>
      <c r="I1354" s="4">
        <f>[1]Sheet1!I1354</f>
        <v>6405</v>
      </c>
      <c r="J1354" s="3" t="str">
        <f t="shared" si="43"/>
        <v>5501_A1C1.webp</v>
      </c>
      <c r="K1354" s="5">
        <f>Sheet4!E1354</f>
        <v>48</v>
      </c>
      <c r="L1354" s="5"/>
      <c r="M1354" s="4"/>
    </row>
    <row r="1355" spans="1:13" x14ac:dyDescent="0.25">
      <c r="A1355" t="s">
        <v>3258</v>
      </c>
      <c r="B1355" t="s">
        <v>4632</v>
      </c>
      <c r="C1355" s="25">
        <v>5502</v>
      </c>
      <c r="D1355" s="28">
        <v>5502</v>
      </c>
      <c r="E1355" s="2" t="str">
        <f t="shared" si="44"/>
        <v>Same</v>
      </c>
      <c r="F1355" s="6" t="s">
        <v>2016</v>
      </c>
      <c r="G1355" s="3">
        <v>28.95</v>
      </c>
      <c r="H1355" s="2" t="s">
        <v>1313</v>
      </c>
      <c r="I1355" s="4">
        <f>[1]Sheet1!I1355</f>
        <v>5498</v>
      </c>
      <c r="J1355" s="3" t="str">
        <f t="shared" si="43"/>
        <v>5502_A1C1.webp</v>
      </c>
      <c r="K1355" s="5">
        <f>Sheet4!E1355</f>
        <v>24</v>
      </c>
      <c r="L1355" s="5"/>
      <c r="M1355" s="4"/>
    </row>
    <row r="1356" spans="1:13" x14ac:dyDescent="0.25">
      <c r="A1356" t="s">
        <v>3258</v>
      </c>
      <c r="B1356" t="s">
        <v>4659</v>
      </c>
      <c r="C1356" s="25">
        <v>5514</v>
      </c>
      <c r="D1356" s="28">
        <v>5514</v>
      </c>
      <c r="E1356" s="2" t="str">
        <f t="shared" si="44"/>
        <v>Same</v>
      </c>
      <c r="F1356" s="6" t="s">
        <v>2010</v>
      </c>
      <c r="G1356" s="3">
        <v>30.95</v>
      </c>
      <c r="H1356" s="2" t="s">
        <v>1314</v>
      </c>
      <c r="I1356" s="4">
        <f>[1]Sheet1!I1356</f>
        <v>4128</v>
      </c>
      <c r="J1356" s="3" t="str">
        <f t="shared" si="43"/>
        <v>5514_A1C1.webp</v>
      </c>
      <c r="K1356" s="5">
        <f>Sheet4!E1356</f>
        <v>12</v>
      </c>
      <c r="L1356" s="5"/>
      <c r="M1356" s="4"/>
    </row>
    <row r="1357" spans="1:13" x14ac:dyDescent="0.25">
      <c r="A1357" t="s">
        <v>3258</v>
      </c>
      <c r="B1357" t="s">
        <v>4659</v>
      </c>
      <c r="C1357" s="25">
        <v>5515</v>
      </c>
      <c r="D1357" s="28">
        <v>5515</v>
      </c>
      <c r="E1357" s="2" t="str">
        <f t="shared" si="44"/>
        <v>Same</v>
      </c>
      <c r="F1357" s="6" t="s">
        <v>1951</v>
      </c>
      <c r="G1357" s="3">
        <v>46.75</v>
      </c>
      <c r="H1357" s="2" t="s">
        <v>1315</v>
      </c>
      <c r="I1357" s="4">
        <f>[1]Sheet1!I1357</f>
        <v>3006</v>
      </c>
      <c r="J1357" s="3" t="str">
        <f t="shared" si="43"/>
        <v>5515_A1C1.webp</v>
      </c>
      <c r="K1357" s="5">
        <f>Sheet4!E1357</f>
        <v>12</v>
      </c>
      <c r="L1357" s="5"/>
      <c r="M1357" s="4"/>
    </row>
    <row r="1358" spans="1:13" x14ac:dyDescent="0.25">
      <c r="A1358" t="s">
        <v>3258</v>
      </c>
      <c r="B1358" t="s">
        <v>4659</v>
      </c>
      <c r="C1358" s="25">
        <v>5516</v>
      </c>
      <c r="D1358" s="28">
        <v>5516</v>
      </c>
      <c r="E1358" s="2" t="str">
        <f t="shared" si="44"/>
        <v>Same</v>
      </c>
      <c r="F1358" s="6" t="s">
        <v>1972</v>
      </c>
      <c r="G1358" s="3">
        <v>33.5</v>
      </c>
      <c r="H1358" s="2" t="s">
        <v>1316</v>
      </c>
      <c r="I1358" s="4">
        <f>[1]Sheet1!I1358</f>
        <v>2499</v>
      </c>
      <c r="J1358" s="3" t="str">
        <f t="shared" si="43"/>
        <v>5516_A1C1.webp</v>
      </c>
      <c r="K1358" s="5">
        <f>Sheet4!E1358</f>
        <v>6</v>
      </c>
      <c r="L1358" s="5"/>
      <c r="M1358" s="4"/>
    </row>
    <row r="1359" spans="1:13" x14ac:dyDescent="0.25">
      <c r="A1359" t="s">
        <v>3258</v>
      </c>
      <c r="B1359" t="s">
        <v>4666</v>
      </c>
      <c r="C1359" s="25">
        <v>5526</v>
      </c>
      <c r="D1359" s="28">
        <v>5526</v>
      </c>
      <c r="E1359" s="2" t="str">
        <f t="shared" si="44"/>
        <v>Same</v>
      </c>
      <c r="F1359" s="6" t="s">
        <v>2017</v>
      </c>
      <c r="G1359" s="3">
        <v>45.95</v>
      </c>
      <c r="H1359" s="2" t="s">
        <v>1317</v>
      </c>
      <c r="I1359" s="4">
        <f>[1]Sheet1!I1359</f>
        <v>128</v>
      </c>
      <c r="J1359" s="3" t="str">
        <f t="shared" si="43"/>
        <v>5526_A1C1.webp</v>
      </c>
      <c r="K1359" s="5">
        <f>Sheet4!E1359</f>
        <v>6</v>
      </c>
      <c r="L1359" s="5"/>
      <c r="M1359" s="4"/>
    </row>
    <row r="1360" spans="1:13" x14ac:dyDescent="0.25">
      <c r="A1360" t="s">
        <v>3258</v>
      </c>
      <c r="B1360" t="s">
        <v>4666</v>
      </c>
      <c r="C1360" s="25">
        <v>5527</v>
      </c>
      <c r="D1360" s="28">
        <v>5527</v>
      </c>
      <c r="E1360" s="2" t="str">
        <f t="shared" si="44"/>
        <v>Same</v>
      </c>
      <c r="F1360" s="6" t="s">
        <v>2018</v>
      </c>
      <c r="G1360" s="3">
        <v>37.950000000000003</v>
      </c>
      <c r="H1360" s="2" t="s">
        <v>1318</v>
      </c>
      <c r="I1360" s="4">
        <f>[1]Sheet1!I1360</f>
        <v>929</v>
      </c>
      <c r="J1360" s="3" t="str">
        <f t="shared" si="43"/>
        <v>5527_A1C1.webp</v>
      </c>
      <c r="K1360" s="5">
        <f>Sheet4!E1360</f>
        <v>24</v>
      </c>
      <c r="L1360" s="5"/>
      <c r="M1360" s="4"/>
    </row>
    <row r="1361" spans="1:13" x14ac:dyDescent="0.25">
      <c r="A1361" t="s">
        <v>2622</v>
      </c>
      <c r="B1361" t="s">
        <v>4670</v>
      </c>
      <c r="C1361" s="25">
        <v>5528</v>
      </c>
      <c r="D1361" s="28">
        <v>5528</v>
      </c>
      <c r="E1361" s="2" t="str">
        <f t="shared" si="44"/>
        <v>Same</v>
      </c>
      <c r="F1361" s="6" t="s">
        <v>1919</v>
      </c>
      <c r="G1361" s="3">
        <v>59.95</v>
      </c>
      <c r="H1361" s="2" t="s">
        <v>1319</v>
      </c>
      <c r="I1361" s="4">
        <f>[1]Sheet1!I1361</f>
        <v>0</v>
      </c>
      <c r="J1361" s="3" t="str">
        <f t="shared" si="43"/>
        <v>5528_A1C1.webp</v>
      </c>
      <c r="K1361" s="5">
        <f>Sheet4!E1361</f>
        <v>12</v>
      </c>
      <c r="L1361" s="5"/>
      <c r="M1361" s="4"/>
    </row>
    <row r="1362" spans="1:13" x14ac:dyDescent="0.25">
      <c r="A1362" t="s">
        <v>2622</v>
      </c>
      <c r="B1362" t="s">
        <v>4670</v>
      </c>
      <c r="C1362" s="25">
        <v>5529</v>
      </c>
      <c r="D1362" s="28">
        <v>5529</v>
      </c>
      <c r="E1362" s="2" t="str">
        <f t="shared" si="44"/>
        <v>Same</v>
      </c>
      <c r="F1362" s="6" t="s">
        <v>1936</v>
      </c>
      <c r="G1362" s="3">
        <v>49.95</v>
      </c>
      <c r="H1362" s="2" t="s">
        <v>1320</v>
      </c>
      <c r="I1362" s="4">
        <f>[1]Sheet1!I1362</f>
        <v>395</v>
      </c>
      <c r="J1362" s="3" t="str">
        <f t="shared" si="43"/>
        <v>5529_A1C1.webp</v>
      </c>
      <c r="K1362" s="5">
        <f>Sheet4!E1362</f>
        <v>6</v>
      </c>
      <c r="L1362" s="5"/>
      <c r="M1362" s="4"/>
    </row>
    <row r="1363" spans="1:13" x14ac:dyDescent="0.25">
      <c r="A1363" t="s">
        <v>2622</v>
      </c>
      <c r="B1363" t="s">
        <v>4670</v>
      </c>
      <c r="C1363" s="25">
        <v>5530</v>
      </c>
      <c r="D1363" s="28">
        <v>5530</v>
      </c>
      <c r="E1363" s="2" t="str">
        <f t="shared" si="44"/>
        <v>Same</v>
      </c>
      <c r="F1363" s="6" t="s">
        <v>1882</v>
      </c>
      <c r="G1363" s="3">
        <v>103.75</v>
      </c>
      <c r="H1363" s="2" t="s">
        <v>1321</v>
      </c>
      <c r="I1363" s="4">
        <f>[1]Sheet1!I1363</f>
        <v>200</v>
      </c>
      <c r="J1363" s="3" t="str">
        <f t="shared" si="43"/>
        <v>5530_A1C1.webp</v>
      </c>
      <c r="K1363" s="5">
        <f>Sheet4!E1363</f>
        <v>24</v>
      </c>
      <c r="L1363" s="5"/>
      <c r="M1363" s="4"/>
    </row>
    <row r="1364" spans="1:13" x14ac:dyDescent="0.25">
      <c r="A1364" t="s">
        <v>2622</v>
      </c>
      <c r="B1364" t="s">
        <v>4670</v>
      </c>
      <c r="C1364" s="25">
        <v>5531</v>
      </c>
      <c r="D1364" s="28">
        <v>5531</v>
      </c>
      <c r="E1364" s="2" t="str">
        <f t="shared" si="44"/>
        <v>Same</v>
      </c>
      <c r="F1364" s="6" t="s">
        <v>1934</v>
      </c>
      <c r="G1364" s="3">
        <v>73.95</v>
      </c>
      <c r="H1364" s="2" t="s">
        <v>1322</v>
      </c>
      <c r="I1364" s="4">
        <f>[1]Sheet1!I1364</f>
        <v>272</v>
      </c>
      <c r="J1364" s="3" t="str">
        <f t="shared" si="43"/>
        <v>5531_A1C1.webp</v>
      </c>
      <c r="K1364" s="5">
        <f>Sheet4!E1364</f>
        <v>24</v>
      </c>
      <c r="L1364" s="5"/>
      <c r="M1364" s="4"/>
    </row>
    <row r="1365" spans="1:13" x14ac:dyDescent="0.25">
      <c r="A1365" t="s">
        <v>2622</v>
      </c>
      <c r="B1365" t="s">
        <v>4670</v>
      </c>
      <c r="C1365" s="25">
        <v>5532</v>
      </c>
      <c r="D1365" s="28">
        <v>5532</v>
      </c>
      <c r="E1365" s="2" t="str">
        <f t="shared" si="44"/>
        <v>Same</v>
      </c>
      <c r="F1365" s="6" t="s">
        <v>1944</v>
      </c>
      <c r="G1365" s="3">
        <v>118.5</v>
      </c>
      <c r="H1365" s="2" t="s">
        <v>1323</v>
      </c>
      <c r="I1365" s="4">
        <f>[1]Sheet1!I1365</f>
        <v>128</v>
      </c>
      <c r="J1365" s="3" t="str">
        <f t="shared" si="43"/>
        <v>5532_A1C1.webp</v>
      </c>
      <c r="K1365" s="5">
        <f>Sheet4!E1365</f>
        <v>24</v>
      </c>
      <c r="L1365" s="5"/>
      <c r="M1365" s="4"/>
    </row>
    <row r="1366" spans="1:13" x14ac:dyDescent="0.25">
      <c r="A1366" t="s">
        <v>3881</v>
      </c>
      <c r="B1366" t="s">
        <v>4684</v>
      </c>
      <c r="C1366" s="25">
        <v>5533</v>
      </c>
      <c r="D1366" s="28">
        <v>5533</v>
      </c>
      <c r="E1366" s="2" t="str">
        <f t="shared" si="44"/>
        <v>Same</v>
      </c>
      <c r="F1366" s="6" t="s">
        <v>1882</v>
      </c>
      <c r="G1366" s="3">
        <v>93.95</v>
      </c>
      <c r="H1366" s="2" t="s">
        <v>1324</v>
      </c>
      <c r="I1366" s="4">
        <f>[1]Sheet1!I1366</f>
        <v>244</v>
      </c>
      <c r="J1366" s="3" t="str">
        <f t="shared" si="43"/>
        <v>5533_A1C1.webp</v>
      </c>
      <c r="K1366" s="5">
        <f>Sheet4!E1366</f>
        <v>12</v>
      </c>
      <c r="L1366" s="5"/>
      <c r="M1366" s="4"/>
    </row>
    <row r="1367" spans="1:13" x14ac:dyDescent="0.25">
      <c r="A1367" t="s">
        <v>3881</v>
      </c>
      <c r="B1367" t="s">
        <v>4684</v>
      </c>
      <c r="C1367" s="25">
        <v>5534</v>
      </c>
      <c r="D1367" s="28">
        <v>5534</v>
      </c>
      <c r="E1367" s="2" t="str">
        <f t="shared" si="44"/>
        <v>Same</v>
      </c>
      <c r="F1367" s="6" t="s">
        <v>1869</v>
      </c>
      <c r="G1367" s="3">
        <v>43.95</v>
      </c>
      <c r="H1367" s="2" t="s">
        <v>1325</v>
      </c>
      <c r="I1367" s="4">
        <f>[1]Sheet1!I1367</f>
        <v>210</v>
      </c>
      <c r="J1367" s="3" t="str">
        <f t="shared" si="43"/>
        <v>5534_A1C1.webp</v>
      </c>
      <c r="K1367" s="5">
        <f>Sheet4!E1367</f>
        <v>24</v>
      </c>
      <c r="L1367" s="5"/>
      <c r="M1367" s="4"/>
    </row>
    <row r="1368" spans="1:13" x14ac:dyDescent="0.25">
      <c r="A1368" t="s">
        <v>2622</v>
      </c>
      <c r="B1368" t="s">
        <v>4639</v>
      </c>
      <c r="C1368" s="25">
        <v>5535</v>
      </c>
      <c r="D1368" s="28">
        <v>5535</v>
      </c>
      <c r="E1368" s="2" t="str">
        <f t="shared" si="44"/>
        <v>Same</v>
      </c>
      <c r="F1368" s="6" t="s">
        <v>2019</v>
      </c>
      <c r="G1368" s="3">
        <v>51.95</v>
      </c>
      <c r="H1368" s="2" t="s">
        <v>1326</v>
      </c>
      <c r="I1368" s="4">
        <f>[1]Sheet1!I1368</f>
        <v>176</v>
      </c>
      <c r="J1368" s="3" t="str">
        <f t="shared" si="43"/>
        <v>5535_A1C1.webp</v>
      </c>
      <c r="K1368" s="5">
        <f>Sheet4!E1368</f>
        <v>6</v>
      </c>
      <c r="L1368" s="5"/>
      <c r="M1368" s="4"/>
    </row>
    <row r="1369" spans="1:13" x14ac:dyDescent="0.25">
      <c r="A1369" t="s">
        <v>2622</v>
      </c>
      <c r="B1369" t="s">
        <v>4639</v>
      </c>
      <c r="C1369" s="25">
        <v>5536</v>
      </c>
      <c r="D1369" s="28">
        <v>5536</v>
      </c>
      <c r="E1369" s="2" t="str">
        <f t="shared" si="44"/>
        <v>Same</v>
      </c>
      <c r="F1369" s="6" t="s">
        <v>2020</v>
      </c>
      <c r="G1369" s="3">
        <v>191.95</v>
      </c>
      <c r="H1369" s="2" t="s">
        <v>1327</v>
      </c>
      <c r="I1369" s="4">
        <f>[1]Sheet1!I1369</f>
        <v>37</v>
      </c>
      <c r="J1369" s="3" t="str">
        <f t="shared" si="43"/>
        <v>5536_A1C1.webp</v>
      </c>
      <c r="K1369" s="5">
        <f>Sheet4!E1369</f>
        <v>12</v>
      </c>
      <c r="L1369" s="5"/>
      <c r="M1369" s="4"/>
    </row>
    <row r="1370" spans="1:13" x14ac:dyDescent="0.25">
      <c r="A1370" t="s">
        <v>2622</v>
      </c>
      <c r="B1370" t="s">
        <v>4639</v>
      </c>
      <c r="C1370" s="25">
        <v>5537</v>
      </c>
      <c r="D1370" s="28">
        <v>5537</v>
      </c>
      <c r="E1370" s="2" t="str">
        <f t="shared" si="44"/>
        <v>Same</v>
      </c>
      <c r="F1370" s="6" t="s">
        <v>2021</v>
      </c>
      <c r="G1370" s="3">
        <v>174.95</v>
      </c>
      <c r="H1370" s="2" t="s">
        <v>1328</v>
      </c>
      <c r="I1370" s="4">
        <f>[1]Sheet1!I1370</f>
        <v>0</v>
      </c>
      <c r="J1370" s="3" t="str">
        <f t="shared" si="43"/>
        <v>5537_A1C1.webp</v>
      </c>
      <c r="K1370" s="5">
        <f>Sheet4!E1370</f>
        <v>6</v>
      </c>
      <c r="L1370" s="5"/>
      <c r="M1370" s="4"/>
    </row>
    <row r="1371" spans="1:13" x14ac:dyDescent="0.25">
      <c r="A1371" t="s">
        <v>2622</v>
      </c>
      <c r="B1371" t="s">
        <v>4639</v>
      </c>
      <c r="C1371" s="25">
        <v>5538</v>
      </c>
      <c r="D1371" s="28">
        <v>5538</v>
      </c>
      <c r="E1371" s="2" t="str">
        <f t="shared" si="44"/>
        <v>Same</v>
      </c>
      <c r="F1371" s="6" t="s">
        <v>2019</v>
      </c>
      <c r="G1371" s="3">
        <v>54.5</v>
      </c>
      <c r="H1371" s="2" t="s">
        <v>1329</v>
      </c>
      <c r="I1371" s="4">
        <f>[1]Sheet1!I1371</f>
        <v>198</v>
      </c>
      <c r="J1371" s="3" t="str">
        <f t="shared" si="43"/>
        <v>5538_A1C1.webp</v>
      </c>
      <c r="K1371" s="5">
        <f>Sheet4!E1371</f>
        <v>6</v>
      </c>
      <c r="L1371" s="5"/>
      <c r="M1371" s="4"/>
    </row>
    <row r="1372" spans="1:13" x14ac:dyDescent="0.25">
      <c r="A1372" t="s">
        <v>2622</v>
      </c>
      <c r="B1372" t="s">
        <v>4670</v>
      </c>
      <c r="C1372" s="25">
        <v>5539</v>
      </c>
      <c r="D1372" s="28">
        <v>5539</v>
      </c>
      <c r="E1372" s="2" t="str">
        <f t="shared" si="44"/>
        <v>Same</v>
      </c>
      <c r="F1372" s="6" t="s">
        <v>1882</v>
      </c>
      <c r="G1372" s="3">
        <v>99.95</v>
      </c>
      <c r="H1372" s="2" t="s">
        <v>1330</v>
      </c>
      <c r="I1372" s="4">
        <f>[1]Sheet1!I1372</f>
        <v>30</v>
      </c>
      <c r="J1372" s="3" t="str">
        <f t="shared" si="43"/>
        <v>5539_A1C1.webp</v>
      </c>
      <c r="K1372" s="5">
        <f>Sheet4!E1372</f>
        <v>24</v>
      </c>
      <c r="L1372" s="5"/>
      <c r="M1372" s="4"/>
    </row>
    <row r="1373" spans="1:13" x14ac:dyDescent="0.25">
      <c r="A1373" t="s">
        <v>2622</v>
      </c>
      <c r="B1373" t="s">
        <v>4639</v>
      </c>
      <c r="C1373" s="25">
        <v>5540</v>
      </c>
      <c r="D1373" s="28">
        <v>5540</v>
      </c>
      <c r="E1373" s="2" t="str">
        <f t="shared" si="44"/>
        <v>Same</v>
      </c>
      <c r="F1373" s="6" t="s">
        <v>2021</v>
      </c>
      <c r="G1373" s="3">
        <v>209.95</v>
      </c>
      <c r="H1373" s="2" t="s">
        <v>1331</v>
      </c>
      <c r="I1373" s="4">
        <f>[1]Sheet1!I1373</f>
        <v>23</v>
      </c>
      <c r="J1373" s="3" t="str">
        <f t="shared" si="43"/>
        <v>5540_A1C1.webp</v>
      </c>
      <c r="K1373" s="5">
        <f>Sheet4!E1373</f>
        <v>6</v>
      </c>
      <c r="L1373" s="5"/>
      <c r="M1373" s="4"/>
    </row>
    <row r="1374" spans="1:13" x14ac:dyDescent="0.25">
      <c r="A1374" t="s">
        <v>4463</v>
      </c>
      <c r="B1374" t="s">
        <v>4714</v>
      </c>
      <c r="C1374" s="25">
        <v>5541</v>
      </c>
      <c r="D1374" s="28">
        <v>5541</v>
      </c>
      <c r="E1374" s="2" t="str">
        <f t="shared" si="44"/>
        <v>Same</v>
      </c>
      <c r="F1374" s="6" t="s">
        <v>1875</v>
      </c>
      <c r="G1374" s="3">
        <v>59.95</v>
      </c>
      <c r="H1374" s="2" t="s">
        <v>1332</v>
      </c>
      <c r="I1374" s="4">
        <f>[1]Sheet1!I1374</f>
        <v>463</v>
      </c>
      <c r="J1374" s="3" t="str">
        <f t="shared" si="43"/>
        <v>5541_A1C1.webp</v>
      </c>
      <c r="K1374" s="5">
        <f>Sheet4!E1374</f>
        <v>12</v>
      </c>
      <c r="L1374" s="5"/>
      <c r="M1374" s="4"/>
    </row>
    <row r="1375" spans="1:13" x14ac:dyDescent="0.25">
      <c r="A1375" t="s">
        <v>4463</v>
      </c>
      <c r="B1375" t="s">
        <v>4714</v>
      </c>
      <c r="C1375" s="25">
        <v>5542</v>
      </c>
      <c r="D1375" s="28">
        <v>5542</v>
      </c>
      <c r="E1375" s="2" t="str">
        <f t="shared" si="44"/>
        <v>Same</v>
      </c>
      <c r="F1375" s="6" t="s">
        <v>1927</v>
      </c>
      <c r="G1375" s="3">
        <v>40.950000000000003</v>
      </c>
      <c r="H1375" s="2" t="s">
        <v>1333</v>
      </c>
      <c r="I1375" s="4">
        <f>[1]Sheet1!I1375</f>
        <v>679</v>
      </c>
      <c r="J1375" s="3" t="str">
        <f t="shared" si="43"/>
        <v>5542_A1C1.webp</v>
      </c>
      <c r="K1375" s="5">
        <f>Sheet4!E1375</f>
        <v>6</v>
      </c>
      <c r="L1375" s="5"/>
      <c r="M1375" s="4"/>
    </row>
    <row r="1376" spans="1:13" x14ac:dyDescent="0.25">
      <c r="A1376" t="s">
        <v>4463</v>
      </c>
      <c r="B1376" t="s">
        <v>4714</v>
      </c>
      <c r="C1376" s="25">
        <v>5545</v>
      </c>
      <c r="D1376" s="28">
        <v>5545</v>
      </c>
      <c r="E1376" s="2" t="str">
        <f t="shared" si="44"/>
        <v>Same</v>
      </c>
      <c r="F1376" s="6" t="s">
        <v>1927</v>
      </c>
      <c r="G1376" s="3">
        <v>87.5</v>
      </c>
      <c r="H1376" s="2" t="s">
        <v>1334</v>
      </c>
      <c r="I1376" s="4">
        <f>[1]Sheet1!I1376</f>
        <v>212</v>
      </c>
      <c r="J1376" s="3" t="str">
        <f t="shared" si="43"/>
        <v>5545_A1C1.webp</v>
      </c>
      <c r="K1376" s="5">
        <f>Sheet4!E1376</f>
        <v>12</v>
      </c>
      <c r="L1376" s="5"/>
      <c r="M1376" s="4"/>
    </row>
    <row r="1377" spans="1:13" x14ac:dyDescent="0.25">
      <c r="A1377" t="s">
        <v>3315</v>
      </c>
      <c r="B1377" t="s">
        <v>4581</v>
      </c>
      <c r="C1377" s="25">
        <v>5552</v>
      </c>
      <c r="D1377" s="28">
        <v>5552</v>
      </c>
      <c r="E1377" s="2" t="str">
        <f t="shared" si="44"/>
        <v>Same</v>
      </c>
      <c r="F1377" s="6" t="s">
        <v>1869</v>
      </c>
      <c r="G1377" s="3">
        <v>41.5</v>
      </c>
      <c r="H1377" s="2" t="s">
        <v>1335</v>
      </c>
      <c r="I1377" s="4">
        <f>[1]Sheet1!I1377</f>
        <v>260</v>
      </c>
      <c r="J1377" s="3" t="str">
        <f t="shared" si="43"/>
        <v>5552_A1C1.webp</v>
      </c>
      <c r="K1377" s="5">
        <f>Sheet4!E1377</f>
        <v>12</v>
      </c>
      <c r="L1377" s="5"/>
      <c r="M1377" s="4"/>
    </row>
    <row r="1378" spans="1:13" x14ac:dyDescent="0.25">
      <c r="A1378" t="s">
        <v>3315</v>
      </c>
      <c r="B1378" t="s">
        <v>4581</v>
      </c>
      <c r="C1378" s="25">
        <v>5553</v>
      </c>
      <c r="D1378" s="28">
        <v>5553</v>
      </c>
      <c r="E1378" s="2" t="str">
        <f t="shared" si="44"/>
        <v>Same</v>
      </c>
      <c r="F1378" s="6" t="s">
        <v>1899</v>
      </c>
      <c r="G1378" s="3">
        <v>90.95</v>
      </c>
      <c r="H1378" s="2" t="s">
        <v>1336</v>
      </c>
      <c r="I1378" s="4">
        <f>[1]Sheet1!I1378</f>
        <v>228</v>
      </c>
      <c r="J1378" s="3" t="str">
        <f t="shared" si="43"/>
        <v>5553_A1C1.webp</v>
      </c>
      <c r="K1378" s="5">
        <f>Sheet4!E1378</f>
        <v>12</v>
      </c>
      <c r="L1378" s="5"/>
      <c r="M1378" s="4"/>
    </row>
    <row r="1379" spans="1:13" x14ac:dyDescent="0.25">
      <c r="A1379" t="s">
        <v>2685</v>
      </c>
      <c r="B1379" t="s">
        <v>4543</v>
      </c>
      <c r="C1379" s="28">
        <v>5559</v>
      </c>
      <c r="D1379" s="28">
        <v>5559</v>
      </c>
      <c r="E1379" s="2" t="str">
        <f t="shared" si="44"/>
        <v>Same</v>
      </c>
      <c r="F1379" s="2" t="s">
        <v>5359</v>
      </c>
      <c r="G1379" s="5"/>
      <c r="H1379" s="2" t="s">
        <v>5358</v>
      </c>
      <c r="I1379" s="4">
        <f>[1]Sheet1!I1379</f>
        <v>0</v>
      </c>
      <c r="J1379" s="3" t="str">
        <f t="shared" si="43"/>
        <v>5559_A1C1.webp</v>
      </c>
      <c r="K1379" s="5">
        <f>Sheet4!E1379</f>
        <v>24</v>
      </c>
      <c r="L1379" s="5" t="s">
        <v>5278</v>
      </c>
      <c r="M1379" s="4"/>
    </row>
    <row r="1380" spans="1:13" x14ac:dyDescent="0.25">
      <c r="B1380" t="s">
        <v>4543</v>
      </c>
      <c r="C1380" s="28">
        <v>5560</v>
      </c>
      <c r="D1380" s="28">
        <v>5560</v>
      </c>
      <c r="E1380" s="2" t="str">
        <f t="shared" si="44"/>
        <v>Same</v>
      </c>
      <c r="F1380" s="2" t="s">
        <v>5373</v>
      </c>
      <c r="G1380" s="5"/>
      <c r="H1380" s="2" t="s">
        <v>5358</v>
      </c>
      <c r="I1380" s="4">
        <f>[1]Sheet1!I1380</f>
        <v>0</v>
      </c>
      <c r="J1380" s="3" t="str">
        <f t="shared" si="43"/>
        <v>5560_A1C1.webp</v>
      </c>
      <c r="K1380" s="5">
        <f>Sheet4!E1380</f>
        <v>12</v>
      </c>
      <c r="L1380" t="s">
        <v>5278</v>
      </c>
      <c r="M1380" s="4"/>
    </row>
    <row r="1381" spans="1:13" x14ac:dyDescent="0.25">
      <c r="A1381" t="s">
        <v>2622</v>
      </c>
      <c r="B1381" t="s">
        <v>4670</v>
      </c>
      <c r="C1381" s="25">
        <v>5562</v>
      </c>
      <c r="D1381" s="28">
        <v>5562</v>
      </c>
      <c r="E1381" s="2" t="str">
        <f t="shared" si="44"/>
        <v>Same</v>
      </c>
      <c r="F1381" s="6" t="s">
        <v>1977</v>
      </c>
      <c r="G1381" s="3">
        <v>58.5</v>
      </c>
      <c r="H1381" s="2" t="s">
        <v>1337</v>
      </c>
      <c r="I1381" s="4">
        <f>[1]Sheet1!I1381</f>
        <v>63</v>
      </c>
      <c r="J1381" s="3" t="str">
        <f t="shared" si="43"/>
        <v>5562_A1C1.webp</v>
      </c>
      <c r="K1381" s="5">
        <f>Sheet4!E1381</f>
        <v>12</v>
      </c>
      <c r="L1381" s="5"/>
      <c r="M1381" s="4"/>
    </row>
    <row r="1382" spans="1:13" x14ac:dyDescent="0.25">
      <c r="A1382" t="s">
        <v>4463</v>
      </c>
      <c r="B1382" t="s">
        <v>4714</v>
      </c>
      <c r="C1382" s="25">
        <v>5574</v>
      </c>
      <c r="D1382" s="28">
        <v>5574</v>
      </c>
      <c r="E1382" s="2" t="str">
        <f t="shared" si="44"/>
        <v>Same</v>
      </c>
      <c r="F1382" s="6" t="s">
        <v>2022</v>
      </c>
      <c r="G1382" s="3">
        <v>60.95</v>
      </c>
      <c r="H1382" s="2" t="s">
        <v>1338</v>
      </c>
      <c r="I1382" s="4">
        <f>[1]Sheet1!I1382</f>
        <v>141</v>
      </c>
      <c r="J1382" s="3" t="str">
        <f t="shared" si="43"/>
        <v>5574_A1C1.webp</v>
      </c>
      <c r="K1382" s="5">
        <f>Sheet4!E1382</f>
        <v>12</v>
      </c>
      <c r="L1382" s="5"/>
      <c r="M1382" s="4"/>
    </row>
    <row r="1383" spans="1:13" x14ac:dyDescent="0.25">
      <c r="A1383" t="s">
        <v>5265</v>
      </c>
      <c r="B1383" t="s">
        <v>5265</v>
      </c>
      <c r="C1383" s="25">
        <v>5596</v>
      </c>
      <c r="D1383" s="28">
        <v>5596</v>
      </c>
      <c r="E1383" s="2" t="str">
        <f t="shared" si="44"/>
        <v>Same</v>
      </c>
      <c r="F1383" s="6" t="s">
        <v>2010</v>
      </c>
      <c r="H1383" s="2" t="s">
        <v>1339</v>
      </c>
      <c r="I1383" s="4">
        <f>[1]Sheet1!I1383</f>
        <v>0</v>
      </c>
      <c r="J1383" s="3" t="str">
        <f t="shared" si="43"/>
        <v>5596_A1C1.webp</v>
      </c>
      <c r="K1383" s="5">
        <f>Sheet4!E1383</f>
        <v>12</v>
      </c>
      <c r="L1383" s="5"/>
      <c r="M1383" s="4"/>
    </row>
    <row r="1384" spans="1:13" x14ac:dyDescent="0.25">
      <c r="A1384" t="s">
        <v>4463</v>
      </c>
      <c r="B1384" t="s">
        <v>4714</v>
      </c>
      <c r="C1384" s="25">
        <v>5602</v>
      </c>
      <c r="D1384" s="28">
        <v>5602</v>
      </c>
      <c r="E1384" s="2" t="str">
        <f t="shared" si="44"/>
        <v>Same</v>
      </c>
      <c r="F1384" s="6" t="s">
        <v>1853</v>
      </c>
      <c r="G1384" s="3">
        <v>77.5</v>
      </c>
      <c r="H1384" s="2" t="s">
        <v>1340</v>
      </c>
      <c r="I1384" s="4">
        <f>[1]Sheet1!I1384</f>
        <v>46</v>
      </c>
      <c r="J1384" s="3" t="str">
        <f t="shared" si="43"/>
        <v>5602_A1C1.webp</v>
      </c>
      <c r="K1384" s="5">
        <f>Sheet4!E1384</f>
        <v>12</v>
      </c>
      <c r="L1384" s="5"/>
      <c r="M1384" s="4"/>
    </row>
    <row r="1385" spans="1:13" x14ac:dyDescent="0.25">
      <c r="A1385" t="s">
        <v>4463</v>
      </c>
      <c r="B1385" t="s">
        <v>4714</v>
      </c>
      <c r="C1385" s="25">
        <v>5603</v>
      </c>
      <c r="D1385" s="28">
        <v>5603</v>
      </c>
      <c r="E1385" s="2" t="str">
        <f t="shared" si="44"/>
        <v>Same</v>
      </c>
      <c r="F1385" s="6" t="s">
        <v>1853</v>
      </c>
      <c r="G1385" s="3">
        <v>77.5</v>
      </c>
      <c r="H1385" s="2" t="s">
        <v>1341</v>
      </c>
      <c r="I1385" s="4">
        <f>[1]Sheet1!I1385</f>
        <v>57</v>
      </c>
      <c r="J1385" s="3" t="str">
        <f t="shared" si="43"/>
        <v>5603_A1C1.webp</v>
      </c>
      <c r="K1385" s="5">
        <f>Sheet4!E1385</f>
        <v>12</v>
      </c>
      <c r="L1385" s="5"/>
      <c r="M1385" s="4"/>
    </row>
    <row r="1386" spans="1:13" x14ac:dyDescent="0.25">
      <c r="A1386" t="s">
        <v>4463</v>
      </c>
      <c r="B1386" t="s">
        <v>4734</v>
      </c>
      <c r="C1386" s="25">
        <v>5604</v>
      </c>
      <c r="D1386" s="28">
        <v>5604</v>
      </c>
      <c r="E1386" s="2" t="str">
        <f t="shared" si="44"/>
        <v>Same</v>
      </c>
      <c r="F1386" s="6" t="s">
        <v>2023</v>
      </c>
      <c r="G1386" s="3">
        <v>43.5</v>
      </c>
      <c r="H1386" s="2" t="s">
        <v>1342</v>
      </c>
      <c r="I1386" s="4">
        <f>[1]Sheet1!I1386</f>
        <v>992</v>
      </c>
      <c r="J1386" s="3" t="str">
        <f t="shared" si="43"/>
        <v>5604_A1C1.webp</v>
      </c>
      <c r="K1386" s="5">
        <f>Sheet4!E1386</f>
        <v>12</v>
      </c>
      <c r="L1386" s="5"/>
      <c r="M1386" s="4"/>
    </row>
    <row r="1387" spans="1:13" x14ac:dyDescent="0.25">
      <c r="A1387" t="s">
        <v>4463</v>
      </c>
      <c r="B1387" t="s">
        <v>4734</v>
      </c>
      <c r="C1387" s="25">
        <v>5605</v>
      </c>
      <c r="D1387" s="28">
        <v>5605</v>
      </c>
      <c r="E1387" s="2" t="str">
        <f t="shared" si="44"/>
        <v>Same</v>
      </c>
      <c r="F1387" s="6" t="s">
        <v>2023</v>
      </c>
      <c r="G1387" s="3">
        <v>43.5</v>
      </c>
      <c r="H1387" s="2" t="s">
        <v>1343</v>
      </c>
      <c r="I1387" s="4">
        <f>[1]Sheet1!I1387</f>
        <v>557</v>
      </c>
      <c r="J1387" s="3" t="str">
        <f t="shared" si="43"/>
        <v>5605_A1C1.webp</v>
      </c>
      <c r="K1387" s="5">
        <f>Sheet4!E1387</f>
        <v>12</v>
      </c>
      <c r="L1387" s="5"/>
      <c r="M1387" s="4"/>
    </row>
    <row r="1388" spans="1:13" x14ac:dyDescent="0.25">
      <c r="A1388" t="s">
        <v>4463</v>
      </c>
      <c r="B1388" t="s">
        <v>4734</v>
      </c>
      <c r="C1388" s="25">
        <v>5606</v>
      </c>
      <c r="D1388" s="28">
        <v>5606</v>
      </c>
      <c r="E1388" s="2" t="str">
        <f t="shared" si="44"/>
        <v>Same</v>
      </c>
      <c r="F1388" s="6" t="s">
        <v>2023</v>
      </c>
      <c r="G1388" s="3">
        <v>43.5</v>
      </c>
      <c r="H1388" s="2" t="s">
        <v>1344</v>
      </c>
      <c r="I1388" s="4">
        <f>[1]Sheet1!I1388</f>
        <v>1082</v>
      </c>
      <c r="J1388" s="3" t="str">
        <f t="shared" si="43"/>
        <v>5606_A1C1.webp</v>
      </c>
      <c r="K1388" s="5">
        <f>Sheet4!E1388</f>
        <v>12</v>
      </c>
      <c r="L1388" s="5"/>
      <c r="M1388" s="4"/>
    </row>
    <row r="1389" spans="1:13" x14ac:dyDescent="0.25">
      <c r="A1389" t="s">
        <v>2618</v>
      </c>
      <c r="B1389" t="s">
        <v>4601</v>
      </c>
      <c r="C1389" s="25">
        <v>5607</v>
      </c>
      <c r="D1389" s="28">
        <v>5607</v>
      </c>
      <c r="E1389" s="2" t="str">
        <f t="shared" si="44"/>
        <v>Same</v>
      </c>
      <c r="F1389" s="6" t="s">
        <v>2024</v>
      </c>
      <c r="G1389">
        <v>11.85</v>
      </c>
      <c r="H1389" s="2" t="s">
        <v>1345</v>
      </c>
      <c r="I1389" s="4">
        <f>[1]Sheet1!I1389</f>
        <v>2046</v>
      </c>
      <c r="J1389" s="3" t="str">
        <f t="shared" si="43"/>
        <v>5607_A1C1.webp</v>
      </c>
      <c r="K1389" s="5">
        <f>Sheet4!E1389</f>
        <v>12</v>
      </c>
      <c r="L1389" s="5"/>
      <c r="M1389" s="4"/>
    </row>
    <row r="1390" spans="1:13" x14ac:dyDescent="0.25">
      <c r="A1390" t="s">
        <v>2618</v>
      </c>
      <c r="B1390" t="s">
        <v>4601</v>
      </c>
      <c r="C1390" s="25">
        <v>5608</v>
      </c>
      <c r="D1390" s="28">
        <v>5608</v>
      </c>
      <c r="E1390" s="2" t="str">
        <f t="shared" si="44"/>
        <v>Same</v>
      </c>
      <c r="F1390" s="6" t="s">
        <v>1942</v>
      </c>
      <c r="G1390">
        <v>11.85</v>
      </c>
      <c r="H1390" s="2" t="s">
        <v>1346</v>
      </c>
      <c r="I1390" s="4">
        <f>[1]Sheet1!I1390</f>
        <v>5239</v>
      </c>
      <c r="J1390" s="3" t="str">
        <f t="shared" si="43"/>
        <v>5608_A1C1.webp</v>
      </c>
      <c r="K1390" s="5">
        <f>Sheet4!E1390</f>
        <v>12</v>
      </c>
      <c r="L1390" s="5"/>
      <c r="M1390" s="4"/>
    </row>
    <row r="1391" spans="1:13" x14ac:dyDescent="0.25">
      <c r="A1391" t="s">
        <v>4463</v>
      </c>
      <c r="B1391" t="s">
        <v>4734</v>
      </c>
      <c r="C1391" s="25">
        <v>5609</v>
      </c>
      <c r="D1391" s="28">
        <v>5609</v>
      </c>
      <c r="E1391" s="2" t="str">
        <f t="shared" si="44"/>
        <v>Same</v>
      </c>
      <c r="F1391" s="6" t="s">
        <v>1849</v>
      </c>
      <c r="G1391" s="3">
        <v>41.5</v>
      </c>
      <c r="H1391" s="2" t="s">
        <v>1347</v>
      </c>
      <c r="I1391" s="4">
        <f>[1]Sheet1!I1391</f>
        <v>309</v>
      </c>
      <c r="J1391" s="3" t="str">
        <f t="shared" si="43"/>
        <v>5609_A1C1.webp</v>
      </c>
      <c r="K1391" s="5">
        <f>Sheet4!E1391</f>
        <v>12</v>
      </c>
      <c r="L1391" s="5"/>
      <c r="M1391" s="4"/>
    </row>
    <row r="1392" spans="1:13" x14ac:dyDescent="0.25">
      <c r="A1392" t="s">
        <v>4463</v>
      </c>
      <c r="B1392" t="s">
        <v>4734</v>
      </c>
      <c r="C1392" s="25">
        <v>5610</v>
      </c>
      <c r="D1392" s="28">
        <v>5610</v>
      </c>
      <c r="E1392" s="2" t="str">
        <f t="shared" si="44"/>
        <v>Same</v>
      </c>
      <c r="F1392" s="6" t="s">
        <v>1881</v>
      </c>
      <c r="G1392" s="3">
        <v>62.5</v>
      </c>
      <c r="H1392" s="2" t="s">
        <v>1348</v>
      </c>
      <c r="I1392" s="4">
        <f>[1]Sheet1!I1392</f>
        <v>125</v>
      </c>
      <c r="J1392" s="3" t="str">
        <f t="shared" si="43"/>
        <v>5610_A1C1.webp</v>
      </c>
      <c r="K1392" s="5">
        <f>Sheet4!E1392</f>
        <v>12</v>
      </c>
      <c r="L1392" s="5"/>
      <c r="M1392" s="4"/>
    </row>
    <row r="1393" spans="1:13" x14ac:dyDescent="0.25">
      <c r="A1393" t="s">
        <v>4463</v>
      </c>
      <c r="B1393" t="s">
        <v>4734</v>
      </c>
      <c r="C1393" s="25">
        <v>5611</v>
      </c>
      <c r="D1393" s="28">
        <v>5611</v>
      </c>
      <c r="E1393" s="2" t="str">
        <f t="shared" si="44"/>
        <v>Same</v>
      </c>
      <c r="F1393" s="6" t="s">
        <v>1849</v>
      </c>
      <c r="G1393" s="3">
        <v>38.5</v>
      </c>
      <c r="H1393" s="2" t="s">
        <v>1349</v>
      </c>
      <c r="I1393" s="4">
        <f>[1]Sheet1!I1393</f>
        <v>362</v>
      </c>
      <c r="J1393" s="3" t="str">
        <f t="shared" si="43"/>
        <v>5611_A1C1.webp</v>
      </c>
      <c r="K1393" s="5">
        <f>Sheet4!E1393</f>
        <v>12</v>
      </c>
      <c r="L1393" s="5"/>
      <c r="M1393" s="4"/>
    </row>
    <row r="1394" spans="1:13" x14ac:dyDescent="0.25">
      <c r="A1394" t="s">
        <v>2685</v>
      </c>
      <c r="B1394" t="s">
        <v>4744</v>
      </c>
      <c r="C1394" s="25">
        <v>5623</v>
      </c>
      <c r="D1394" s="28">
        <v>5623</v>
      </c>
      <c r="E1394" s="2" t="str">
        <f t="shared" si="44"/>
        <v>Same</v>
      </c>
      <c r="F1394" s="6" t="s">
        <v>1913</v>
      </c>
      <c r="G1394" s="3">
        <v>45.5</v>
      </c>
      <c r="H1394" s="2" t="s">
        <v>1350</v>
      </c>
      <c r="I1394" s="4">
        <f>[1]Sheet1!I1394</f>
        <v>1956</v>
      </c>
      <c r="J1394" s="3" t="str">
        <f t="shared" si="43"/>
        <v>5623_A1C1.webp</v>
      </c>
      <c r="K1394" s="5">
        <f>Sheet4!E1394</f>
        <v>12</v>
      </c>
      <c r="L1394" s="5"/>
      <c r="M1394" s="4"/>
    </row>
    <row r="1395" spans="1:13" x14ac:dyDescent="0.25">
      <c r="A1395" t="s">
        <v>2685</v>
      </c>
      <c r="B1395" t="s">
        <v>4744</v>
      </c>
      <c r="C1395" s="25">
        <v>5624</v>
      </c>
      <c r="D1395" s="28">
        <v>5624</v>
      </c>
      <c r="E1395" s="2" t="str">
        <f t="shared" si="44"/>
        <v>Same</v>
      </c>
      <c r="F1395" s="6" t="s">
        <v>1910</v>
      </c>
      <c r="G1395" s="3">
        <v>45.5</v>
      </c>
      <c r="H1395" s="2" t="s">
        <v>1351</v>
      </c>
      <c r="I1395" s="4">
        <f>[1]Sheet1!I1395</f>
        <v>614</v>
      </c>
      <c r="J1395" s="3" t="str">
        <f t="shared" si="43"/>
        <v>5624_A1C1.webp</v>
      </c>
      <c r="K1395" s="5">
        <f>Sheet4!E1395</f>
        <v>12</v>
      </c>
      <c r="L1395" s="5"/>
      <c r="M1395" s="4"/>
    </row>
    <row r="1396" spans="1:13" x14ac:dyDescent="0.25">
      <c r="A1396" t="s">
        <v>2685</v>
      </c>
      <c r="B1396" t="s">
        <v>4744</v>
      </c>
      <c r="C1396" s="25">
        <v>5634</v>
      </c>
      <c r="D1396" s="28">
        <v>5634</v>
      </c>
      <c r="E1396" s="2" t="str">
        <f t="shared" si="44"/>
        <v>Same</v>
      </c>
      <c r="F1396" s="6" t="s">
        <v>2025</v>
      </c>
      <c r="G1396" s="3">
        <v>25.5</v>
      </c>
      <c r="H1396" s="2" t="s">
        <v>1352</v>
      </c>
      <c r="I1396" s="4">
        <f>[1]Sheet1!I1396</f>
        <v>293</v>
      </c>
      <c r="J1396" s="3" t="str">
        <f t="shared" si="43"/>
        <v>5634_A1C1.webp</v>
      </c>
      <c r="K1396" s="5">
        <f>Sheet4!E1396</f>
        <v>4</v>
      </c>
      <c r="L1396" s="5"/>
      <c r="M1396" s="4"/>
    </row>
    <row r="1397" spans="1:13" x14ac:dyDescent="0.25">
      <c r="A1397" t="s">
        <v>3315</v>
      </c>
      <c r="B1397" t="s">
        <v>3856</v>
      </c>
      <c r="C1397" s="25">
        <v>5635</v>
      </c>
      <c r="D1397" s="28">
        <v>5635</v>
      </c>
      <c r="E1397" s="2" t="str">
        <f t="shared" si="44"/>
        <v>Same</v>
      </c>
      <c r="F1397" s="6" t="s">
        <v>2001</v>
      </c>
      <c r="G1397" s="3">
        <v>34.950000000000003</v>
      </c>
      <c r="H1397" s="2" t="s">
        <v>1353</v>
      </c>
      <c r="I1397" s="4">
        <f>[1]Sheet1!I1397</f>
        <v>1708</v>
      </c>
      <c r="J1397" s="3" t="str">
        <f t="shared" si="43"/>
        <v>5635_A1C1.webp</v>
      </c>
      <c r="K1397" s="5">
        <f>Sheet4!E1397</f>
        <v>12</v>
      </c>
      <c r="L1397" s="5"/>
      <c r="M1397" s="4"/>
    </row>
    <row r="1398" spans="1:13" x14ac:dyDescent="0.25">
      <c r="A1398" t="s">
        <v>3315</v>
      </c>
      <c r="B1398" t="s">
        <v>3856</v>
      </c>
      <c r="C1398" s="25">
        <v>5636</v>
      </c>
      <c r="D1398" s="28">
        <v>5636</v>
      </c>
      <c r="E1398" s="2" t="str">
        <f t="shared" si="44"/>
        <v>Same</v>
      </c>
      <c r="F1398" s="6" t="s">
        <v>1875</v>
      </c>
      <c r="G1398" s="3">
        <v>48.95</v>
      </c>
      <c r="H1398" s="2" t="s">
        <v>1354</v>
      </c>
      <c r="I1398" s="4">
        <f>[1]Sheet1!I1398</f>
        <v>383</v>
      </c>
      <c r="J1398" s="3" t="str">
        <f t="shared" si="43"/>
        <v>5636_A1C1.webp</v>
      </c>
      <c r="K1398" s="5">
        <f>Sheet4!E1398</f>
        <v>12</v>
      </c>
      <c r="L1398" s="5"/>
      <c r="M1398" s="4"/>
    </row>
    <row r="1399" spans="1:13" x14ac:dyDescent="0.25">
      <c r="A1399" t="s">
        <v>3315</v>
      </c>
      <c r="B1399" t="s">
        <v>3856</v>
      </c>
      <c r="C1399" s="25">
        <v>5637</v>
      </c>
      <c r="D1399" s="28">
        <v>5637</v>
      </c>
      <c r="E1399" s="2" t="str">
        <f t="shared" si="44"/>
        <v>Same</v>
      </c>
      <c r="F1399" s="6" t="s">
        <v>1918</v>
      </c>
      <c r="G1399" s="3">
        <v>56.95</v>
      </c>
      <c r="H1399" s="2" t="s">
        <v>1355</v>
      </c>
      <c r="I1399" s="4">
        <f>[1]Sheet1!I1399</f>
        <v>1554</v>
      </c>
      <c r="J1399" s="3" t="str">
        <f t="shared" si="43"/>
        <v>5637_A1C1.webp</v>
      </c>
      <c r="K1399" s="5">
        <f>Sheet4!E1399</f>
        <v>12</v>
      </c>
      <c r="L1399" s="5"/>
      <c r="M1399" s="4"/>
    </row>
    <row r="1400" spans="1:13" x14ac:dyDescent="0.25">
      <c r="A1400" t="s">
        <v>2685</v>
      </c>
      <c r="B1400" t="s">
        <v>4744</v>
      </c>
      <c r="C1400" s="25">
        <v>5640</v>
      </c>
      <c r="D1400" s="28">
        <v>5640</v>
      </c>
      <c r="E1400" s="2" t="str">
        <f t="shared" si="44"/>
        <v>Same</v>
      </c>
      <c r="F1400" s="6" t="s">
        <v>2025</v>
      </c>
      <c r="G1400" s="3">
        <v>25.5</v>
      </c>
      <c r="H1400" s="2" t="s">
        <v>1356</v>
      </c>
      <c r="I1400" s="4">
        <f>[1]Sheet1!I1400</f>
        <v>223</v>
      </c>
      <c r="J1400" s="3" t="str">
        <f t="shared" si="43"/>
        <v>5640_A1C1.webp</v>
      </c>
      <c r="K1400" s="5">
        <f>Sheet4!E1400</f>
        <v>4</v>
      </c>
      <c r="L1400" s="5"/>
      <c r="M1400" s="4"/>
    </row>
    <row r="1401" spans="1:13" x14ac:dyDescent="0.25">
      <c r="A1401" t="s">
        <v>2685</v>
      </c>
      <c r="B1401" t="s">
        <v>4744</v>
      </c>
      <c r="C1401" s="25">
        <v>5648</v>
      </c>
      <c r="D1401" s="28">
        <v>5648</v>
      </c>
      <c r="E1401" s="2" t="str">
        <f t="shared" si="44"/>
        <v>Same</v>
      </c>
      <c r="F1401" s="6" t="s">
        <v>2025</v>
      </c>
      <c r="G1401" s="3">
        <v>25.5</v>
      </c>
      <c r="H1401" s="2" t="s">
        <v>1357</v>
      </c>
      <c r="I1401" s="4">
        <f>[1]Sheet1!I1401</f>
        <v>131</v>
      </c>
      <c r="J1401" s="3" t="str">
        <f t="shared" si="43"/>
        <v>5648_A1C1.webp</v>
      </c>
      <c r="K1401" s="5">
        <f>Sheet4!E1401</f>
        <v>4</v>
      </c>
      <c r="L1401" s="5"/>
      <c r="M1401" s="4"/>
    </row>
    <row r="1402" spans="1:13" x14ac:dyDescent="0.25">
      <c r="A1402" t="s">
        <v>3258</v>
      </c>
      <c r="B1402" t="s">
        <v>4632</v>
      </c>
      <c r="C1402" s="25">
        <v>5668</v>
      </c>
      <c r="D1402" s="28">
        <v>5668</v>
      </c>
      <c r="E1402" s="2" t="str">
        <f t="shared" si="44"/>
        <v>Same</v>
      </c>
      <c r="F1402" s="6" t="s">
        <v>2014</v>
      </c>
      <c r="G1402">
        <v>94.5</v>
      </c>
      <c r="H1402" s="2" t="s">
        <v>1358</v>
      </c>
      <c r="I1402" s="4">
        <f>[1]Sheet1!I1402</f>
        <v>690</v>
      </c>
      <c r="J1402" s="3" t="str">
        <f t="shared" si="43"/>
        <v>5668_A1C1.webp</v>
      </c>
      <c r="K1402" s="5">
        <f>Sheet4!E1402</f>
        <v>96</v>
      </c>
      <c r="L1402" s="5"/>
      <c r="M1402" s="4"/>
    </row>
    <row r="1403" spans="1:13" x14ac:dyDescent="0.25">
      <c r="A1403" t="s">
        <v>3258</v>
      </c>
      <c r="B1403" t="s">
        <v>4632</v>
      </c>
      <c r="C1403" s="25">
        <v>5670</v>
      </c>
      <c r="D1403" s="28">
        <v>5670</v>
      </c>
      <c r="E1403" s="2" t="str">
        <f t="shared" si="44"/>
        <v>Same</v>
      </c>
      <c r="F1403" s="6" t="s">
        <v>2026</v>
      </c>
      <c r="G1403">
        <v>22.95</v>
      </c>
      <c r="H1403" s="2" t="s">
        <v>1359</v>
      </c>
      <c r="I1403" s="4">
        <f>[1]Sheet1!I1403</f>
        <v>525</v>
      </c>
      <c r="J1403" s="3" t="str">
        <f t="shared" si="43"/>
        <v>5670_A1C1.webp</v>
      </c>
      <c r="K1403" s="5">
        <f>Sheet4!E1403</f>
        <v>24</v>
      </c>
      <c r="L1403" s="5"/>
      <c r="M1403" s="4"/>
    </row>
    <row r="1404" spans="1:13" x14ac:dyDescent="0.25">
      <c r="A1404" t="s">
        <v>2685</v>
      </c>
      <c r="B1404" t="s">
        <v>4744</v>
      </c>
      <c r="C1404" s="25">
        <v>5677</v>
      </c>
      <c r="D1404" s="28">
        <v>5677</v>
      </c>
      <c r="E1404" s="2" t="str">
        <f t="shared" si="44"/>
        <v>Same</v>
      </c>
      <c r="F1404" s="6" t="s">
        <v>1976</v>
      </c>
      <c r="G1404" s="3">
        <v>24.95</v>
      </c>
      <c r="H1404" s="2" t="s">
        <v>1351</v>
      </c>
      <c r="I1404" s="4">
        <f>[1]Sheet1!I1404</f>
        <v>515</v>
      </c>
      <c r="J1404" s="3" t="str">
        <f t="shared" si="43"/>
        <v>5677_A1C1.webp</v>
      </c>
      <c r="K1404" s="5">
        <f>Sheet4!E1404</f>
        <v>24</v>
      </c>
      <c r="L1404" s="5"/>
      <c r="M1404" s="4"/>
    </row>
    <row r="1405" spans="1:13" x14ac:dyDescent="0.25">
      <c r="A1405" t="s">
        <v>2685</v>
      </c>
      <c r="B1405" t="s">
        <v>4744</v>
      </c>
      <c r="C1405" s="25">
        <v>5678</v>
      </c>
      <c r="D1405" s="28">
        <v>5678</v>
      </c>
      <c r="E1405" s="2" t="str">
        <f t="shared" si="44"/>
        <v>Same</v>
      </c>
      <c r="F1405" s="6" t="s">
        <v>1976</v>
      </c>
      <c r="G1405" s="3">
        <v>24.95</v>
      </c>
      <c r="H1405" s="2" t="s">
        <v>1360</v>
      </c>
      <c r="I1405" s="4">
        <f>[1]Sheet1!I1405</f>
        <v>318</v>
      </c>
      <c r="J1405" s="3" t="str">
        <f t="shared" si="43"/>
        <v>5678_A1C1.webp</v>
      </c>
      <c r="K1405" s="5">
        <f>Sheet4!E1405</f>
        <v>24</v>
      </c>
      <c r="L1405" s="5"/>
      <c r="M1405" s="4"/>
    </row>
    <row r="1406" spans="1:13" x14ac:dyDescent="0.25">
      <c r="A1406" t="s">
        <v>2685</v>
      </c>
      <c r="B1406" t="s">
        <v>4744</v>
      </c>
      <c r="C1406" s="25">
        <v>5683</v>
      </c>
      <c r="D1406" s="28">
        <v>5683</v>
      </c>
      <c r="E1406" s="2" t="str">
        <f t="shared" si="44"/>
        <v>Same</v>
      </c>
      <c r="F1406" s="6" t="s">
        <v>1976</v>
      </c>
      <c r="G1406" s="3">
        <v>24.95</v>
      </c>
      <c r="H1406" s="2" t="s">
        <v>1361</v>
      </c>
      <c r="I1406" s="4">
        <f>[1]Sheet1!I1406</f>
        <v>2187</v>
      </c>
      <c r="J1406" s="3" t="str">
        <f t="shared" si="43"/>
        <v>5683_A1C1.webp</v>
      </c>
      <c r="K1406" s="5">
        <f>Sheet4!E1406</f>
        <v>24</v>
      </c>
      <c r="L1406" s="5"/>
      <c r="M1406" s="4"/>
    </row>
    <row r="1407" spans="1:13" x14ac:dyDescent="0.25">
      <c r="A1407" t="s">
        <v>3258</v>
      </c>
      <c r="B1407" t="s">
        <v>4632</v>
      </c>
      <c r="C1407" s="25">
        <v>5684</v>
      </c>
      <c r="D1407" s="28">
        <v>5684</v>
      </c>
      <c r="E1407" s="2" t="str">
        <f t="shared" si="44"/>
        <v>Same</v>
      </c>
      <c r="F1407" s="6" t="s">
        <v>2027</v>
      </c>
      <c r="G1407" s="3">
        <v>42.95</v>
      </c>
      <c r="H1407" s="2" t="s">
        <v>1362</v>
      </c>
      <c r="I1407" s="4">
        <f>[1]Sheet1!I1407</f>
        <v>12201</v>
      </c>
      <c r="J1407" s="3" t="str">
        <f t="shared" si="43"/>
        <v>5684_A1C1.webp</v>
      </c>
      <c r="K1407" s="5">
        <f>Sheet4!E1407</f>
        <v>24</v>
      </c>
      <c r="L1407" s="5"/>
      <c r="M1407" s="4"/>
    </row>
    <row r="1408" spans="1:13" x14ac:dyDescent="0.25">
      <c r="A1408" t="s">
        <v>3258</v>
      </c>
      <c r="B1408" t="s">
        <v>4632</v>
      </c>
      <c r="C1408" s="25">
        <v>5689</v>
      </c>
      <c r="D1408" s="28">
        <v>5689</v>
      </c>
      <c r="E1408" s="2" t="str">
        <f t="shared" si="44"/>
        <v>Same</v>
      </c>
      <c r="F1408" s="6" t="s">
        <v>2026</v>
      </c>
      <c r="G1408" s="3">
        <v>24.5</v>
      </c>
      <c r="H1408" s="2" t="s">
        <v>1363</v>
      </c>
      <c r="I1408" s="4">
        <f>[1]Sheet1!I1408</f>
        <v>223</v>
      </c>
      <c r="J1408" s="3" t="str">
        <f t="shared" si="43"/>
        <v>5689_A1C1.webp</v>
      </c>
      <c r="K1408" s="5">
        <f>Sheet4!E1408</f>
        <v>24</v>
      </c>
      <c r="L1408" s="5"/>
      <c r="M1408" s="4"/>
    </row>
    <row r="1409" spans="1:13" x14ac:dyDescent="0.25">
      <c r="A1409" t="s">
        <v>3258</v>
      </c>
      <c r="B1409" t="s">
        <v>4632</v>
      </c>
      <c r="C1409" s="25">
        <v>5690</v>
      </c>
      <c r="D1409" s="28">
        <v>5690</v>
      </c>
      <c r="E1409" s="2" t="str">
        <f t="shared" si="44"/>
        <v>Same</v>
      </c>
      <c r="F1409" s="6" t="s">
        <v>2010</v>
      </c>
      <c r="G1409" s="3">
        <v>36.35</v>
      </c>
      <c r="H1409" s="2" t="s">
        <v>1364</v>
      </c>
      <c r="I1409" s="4">
        <f>[1]Sheet1!I1409</f>
        <v>62</v>
      </c>
      <c r="J1409" s="3" t="str">
        <f t="shared" si="43"/>
        <v>5690_A1C1.webp</v>
      </c>
      <c r="K1409" s="5">
        <f>Sheet4!E1409</f>
        <v>12</v>
      </c>
      <c r="L1409" s="5"/>
      <c r="M1409" s="4"/>
    </row>
    <row r="1410" spans="1:13" x14ac:dyDescent="0.25">
      <c r="A1410" t="s">
        <v>3595</v>
      </c>
      <c r="B1410" t="s">
        <v>4442</v>
      </c>
      <c r="C1410" s="25">
        <v>5702</v>
      </c>
      <c r="D1410" s="28">
        <v>5702</v>
      </c>
      <c r="E1410" s="2" t="str">
        <f t="shared" si="44"/>
        <v>Same</v>
      </c>
      <c r="F1410" s="6" t="s">
        <v>1907</v>
      </c>
      <c r="H1410" s="2" t="s">
        <v>1365</v>
      </c>
      <c r="I1410" s="4">
        <f>[1]Sheet1!I1410</f>
        <v>841</v>
      </c>
      <c r="J1410" s="3" t="str">
        <f t="shared" ref="J1410:J1473" si="45">C1410 &amp; "_A1C1.webp"</f>
        <v>5702_A1C1.webp</v>
      </c>
      <c r="K1410" s="5">
        <f>Sheet4!E1410</f>
        <v>4</v>
      </c>
      <c r="L1410" s="5"/>
      <c r="M1410" s="4"/>
    </row>
    <row r="1411" spans="1:13" x14ac:dyDescent="0.25">
      <c r="A1411" t="s">
        <v>3881</v>
      </c>
      <c r="B1411" t="s">
        <v>3881</v>
      </c>
      <c r="C1411" s="25">
        <v>5769</v>
      </c>
      <c r="D1411" s="28">
        <v>5769</v>
      </c>
      <c r="E1411" s="2" t="str">
        <f t="shared" si="44"/>
        <v>Same</v>
      </c>
      <c r="F1411" s="6" t="s">
        <v>2028</v>
      </c>
      <c r="G1411" s="3">
        <v>44.5</v>
      </c>
      <c r="H1411" s="2" t="s">
        <v>1366</v>
      </c>
      <c r="I1411" s="4">
        <f>[1]Sheet1!I1411</f>
        <v>149</v>
      </c>
      <c r="J1411" s="3" t="str">
        <f t="shared" si="45"/>
        <v>5769_A1C1.webp</v>
      </c>
      <c r="K1411" s="5">
        <f>Sheet4!E1411</f>
        <v>12</v>
      </c>
      <c r="L1411" s="5" t="s">
        <v>5278</v>
      </c>
      <c r="M1411" s="4"/>
    </row>
    <row r="1412" spans="1:13" x14ac:dyDescent="0.25">
      <c r="A1412" t="s">
        <v>4463</v>
      </c>
      <c r="B1412" t="s">
        <v>4768</v>
      </c>
      <c r="C1412" s="25">
        <v>5921</v>
      </c>
      <c r="D1412" s="28">
        <v>5921</v>
      </c>
      <c r="E1412" s="2" t="str">
        <f t="shared" si="44"/>
        <v>Same</v>
      </c>
      <c r="F1412" s="6" t="s">
        <v>1874</v>
      </c>
      <c r="G1412" s="3">
        <v>56.95</v>
      </c>
      <c r="H1412" s="2" t="s">
        <v>1367</v>
      </c>
      <c r="I1412" s="4">
        <f>[1]Sheet1!I1412</f>
        <v>0</v>
      </c>
      <c r="J1412" s="3" t="str">
        <f t="shared" si="45"/>
        <v>5921_A1C1.webp</v>
      </c>
      <c r="K1412" s="5">
        <f>Sheet4!E1412</f>
        <v>12</v>
      </c>
      <c r="L1412" s="5"/>
      <c r="M1412" s="4"/>
    </row>
    <row r="1413" spans="1:13" x14ac:dyDescent="0.25">
      <c r="A1413" t="s">
        <v>4463</v>
      </c>
      <c r="B1413" t="s">
        <v>4768</v>
      </c>
      <c r="C1413" s="25">
        <v>5922</v>
      </c>
      <c r="D1413" s="28">
        <v>5922</v>
      </c>
      <c r="E1413" s="2" t="str">
        <f t="shared" si="44"/>
        <v>Same</v>
      </c>
      <c r="F1413" s="6" t="s">
        <v>1840</v>
      </c>
      <c r="G1413" s="3">
        <v>50.95</v>
      </c>
      <c r="H1413" s="2" t="s">
        <v>1368</v>
      </c>
      <c r="I1413" s="4">
        <f>[1]Sheet1!I1413</f>
        <v>0</v>
      </c>
      <c r="J1413" s="3" t="str">
        <f t="shared" si="45"/>
        <v>5922_A1C1.webp</v>
      </c>
      <c r="K1413" s="5">
        <f>Sheet4!E1413</f>
        <v>12</v>
      </c>
      <c r="L1413" s="5"/>
      <c r="M1413" s="4"/>
    </row>
    <row r="1414" spans="1:13" x14ac:dyDescent="0.25">
      <c r="A1414" t="s">
        <v>2518</v>
      </c>
      <c r="B1414" t="s">
        <v>4470</v>
      </c>
      <c r="C1414" s="25">
        <v>5925</v>
      </c>
      <c r="D1414" s="28">
        <v>5925</v>
      </c>
      <c r="E1414" s="2" t="str">
        <f t="shared" si="44"/>
        <v>Same</v>
      </c>
      <c r="F1414" s="6" t="s">
        <v>1874</v>
      </c>
      <c r="G1414" s="3">
        <v>38.950000000000003</v>
      </c>
      <c r="H1414" s="2" t="s">
        <v>1369</v>
      </c>
      <c r="I1414" s="4">
        <f>[1]Sheet1!I1414</f>
        <v>1225</v>
      </c>
      <c r="J1414" s="3" t="str">
        <f t="shared" si="45"/>
        <v>5925_A1C1.webp</v>
      </c>
      <c r="K1414" s="5">
        <f>Sheet4!E1414</f>
        <v>12</v>
      </c>
      <c r="L1414" s="5"/>
      <c r="M1414" s="4"/>
    </row>
    <row r="1415" spans="1:13" x14ac:dyDescent="0.25">
      <c r="A1415" t="s">
        <v>2518</v>
      </c>
      <c r="B1415" t="s">
        <v>4470</v>
      </c>
      <c r="C1415" s="25">
        <v>5926</v>
      </c>
      <c r="D1415" s="28">
        <v>5926</v>
      </c>
      <c r="E1415" s="2" t="str">
        <f t="shared" ref="E1415:E1479" si="46">IF(C1415=D1415, "Same","New")</f>
        <v>Same</v>
      </c>
      <c r="F1415" s="6" t="s">
        <v>1874</v>
      </c>
      <c r="G1415" s="3">
        <v>34.950000000000003</v>
      </c>
      <c r="H1415" s="2" t="s">
        <v>1370</v>
      </c>
      <c r="I1415" s="4">
        <f>[1]Sheet1!I1415</f>
        <v>117</v>
      </c>
      <c r="J1415" s="3" t="str">
        <f t="shared" si="45"/>
        <v>5926_A1C1.webp</v>
      </c>
      <c r="K1415" s="5">
        <f>Sheet4!E1415</f>
        <v>12</v>
      </c>
      <c r="L1415" s="5"/>
      <c r="M1415" s="4"/>
    </row>
    <row r="1416" spans="1:13" x14ac:dyDescent="0.25">
      <c r="A1416" t="s">
        <v>2518</v>
      </c>
      <c r="B1416" t="s">
        <v>4470</v>
      </c>
      <c r="C1416" s="25">
        <v>5927</v>
      </c>
      <c r="D1416" s="28">
        <v>5927</v>
      </c>
      <c r="E1416" s="2" t="str">
        <f t="shared" si="46"/>
        <v>Same</v>
      </c>
      <c r="F1416" s="6" t="s">
        <v>1874</v>
      </c>
      <c r="G1416" s="3">
        <v>34.950000000000003</v>
      </c>
      <c r="H1416" s="2" t="s">
        <v>1371</v>
      </c>
      <c r="I1416" s="4">
        <f>[1]Sheet1!I1416</f>
        <v>627</v>
      </c>
      <c r="J1416" s="3" t="str">
        <f t="shared" si="45"/>
        <v>5927_A1C1.webp</v>
      </c>
      <c r="K1416" s="5">
        <f>Sheet4!E1416</f>
        <v>12</v>
      </c>
      <c r="L1416" s="5"/>
      <c r="M1416" s="4"/>
    </row>
    <row r="1417" spans="1:13" x14ac:dyDescent="0.25">
      <c r="A1417" t="s">
        <v>2518</v>
      </c>
      <c r="B1417" t="s">
        <v>4470</v>
      </c>
      <c r="C1417" s="25">
        <v>5928</v>
      </c>
      <c r="D1417" s="28">
        <v>5928</v>
      </c>
      <c r="E1417" s="2" t="str">
        <f t="shared" si="46"/>
        <v>Same</v>
      </c>
      <c r="F1417" s="6" t="s">
        <v>1874</v>
      </c>
      <c r="G1417" s="3">
        <v>38.950000000000003</v>
      </c>
      <c r="H1417" s="2" t="s">
        <v>1372</v>
      </c>
      <c r="I1417" s="4">
        <f>[1]Sheet1!I1417</f>
        <v>244</v>
      </c>
      <c r="J1417" s="3" t="str">
        <f t="shared" si="45"/>
        <v>5928_A1C1.webp</v>
      </c>
      <c r="K1417" s="5">
        <f>Sheet4!E1417</f>
        <v>12</v>
      </c>
      <c r="L1417" s="5"/>
      <c r="M1417" s="4"/>
    </row>
    <row r="1418" spans="1:13" x14ac:dyDescent="0.25">
      <c r="A1418" t="s">
        <v>2518</v>
      </c>
      <c r="B1418" t="s">
        <v>4470</v>
      </c>
      <c r="C1418" s="25">
        <v>5929</v>
      </c>
      <c r="D1418" s="28">
        <v>5929</v>
      </c>
      <c r="E1418" s="2" t="str">
        <f t="shared" si="46"/>
        <v>Same</v>
      </c>
      <c r="F1418" s="6" t="s">
        <v>1874</v>
      </c>
      <c r="G1418" s="3">
        <v>42.5</v>
      </c>
      <c r="H1418" s="2" t="s">
        <v>1373</v>
      </c>
      <c r="I1418" s="4">
        <f>[1]Sheet1!I1418</f>
        <v>241</v>
      </c>
      <c r="J1418" s="3" t="str">
        <f t="shared" si="45"/>
        <v>5929_A1C1.webp</v>
      </c>
      <c r="K1418" s="5">
        <f>Sheet4!E1418</f>
        <v>12</v>
      </c>
      <c r="L1418" s="5"/>
      <c r="M1418" s="4"/>
    </row>
    <row r="1419" spans="1:13" x14ac:dyDescent="0.25">
      <c r="A1419" t="s">
        <v>3881</v>
      </c>
      <c r="B1419" t="s">
        <v>3881</v>
      </c>
      <c r="C1419" s="25">
        <v>5932</v>
      </c>
      <c r="D1419" s="28">
        <v>5932</v>
      </c>
      <c r="E1419" s="2" t="str">
        <f t="shared" si="46"/>
        <v>Same</v>
      </c>
      <c r="F1419" s="6" t="s">
        <v>1928</v>
      </c>
      <c r="G1419" s="3">
        <v>44.5</v>
      </c>
      <c r="H1419" s="2" t="s">
        <v>1374</v>
      </c>
      <c r="I1419" s="4">
        <f>[1]Sheet1!I1419</f>
        <v>119</v>
      </c>
      <c r="J1419" s="3" t="str">
        <f t="shared" si="45"/>
        <v>5932_A1C1.webp</v>
      </c>
      <c r="K1419" s="5">
        <f>Sheet4!E1419</f>
        <v>12</v>
      </c>
      <c r="L1419" s="5" t="s">
        <v>5278</v>
      </c>
      <c r="M1419" s="4"/>
    </row>
    <row r="1420" spans="1:13" x14ac:dyDescent="0.25">
      <c r="A1420" t="s">
        <v>2685</v>
      </c>
      <c r="B1420" t="s">
        <v>4464</v>
      </c>
      <c r="C1420" s="25">
        <v>5934</v>
      </c>
      <c r="D1420" s="28">
        <v>5934</v>
      </c>
      <c r="E1420" s="2" t="str">
        <f t="shared" si="46"/>
        <v>Same</v>
      </c>
      <c r="F1420" s="6" t="s">
        <v>1840</v>
      </c>
      <c r="H1420" s="2" t="s">
        <v>1375</v>
      </c>
      <c r="I1420" s="4">
        <f>[1]Sheet1!I1420</f>
        <v>0</v>
      </c>
      <c r="J1420" s="3" t="str">
        <f t="shared" si="45"/>
        <v>5934_A1C1.webp</v>
      </c>
      <c r="K1420" s="5">
        <f>Sheet4!E1420</f>
        <v>24</v>
      </c>
      <c r="L1420" s="5"/>
      <c r="M1420" s="4"/>
    </row>
    <row r="1421" spans="1:13" x14ac:dyDescent="0.25">
      <c r="A1421" t="s">
        <v>3595</v>
      </c>
      <c r="B1421" t="s">
        <v>4442</v>
      </c>
      <c r="C1421" s="28">
        <v>5939</v>
      </c>
      <c r="D1421" s="28">
        <v>5939</v>
      </c>
      <c r="E1421" s="2" t="str">
        <f t="shared" si="46"/>
        <v>Same</v>
      </c>
      <c r="F1421" s="2" t="str">
        <f>Sheet4!F1421</f>
        <v>17.6 OZ</v>
      </c>
      <c r="G1421" s="2"/>
      <c r="H1421" s="2" t="str">
        <f>Sheet4!H1421</f>
        <v>GOYA YELLOW MASAREPA 1.1 LB</v>
      </c>
      <c r="I1421" s="4">
        <f>[1]Sheet1!I1421</f>
        <v>0</v>
      </c>
      <c r="J1421" s="3" t="str">
        <f t="shared" si="45"/>
        <v>5939_A1C1.webp</v>
      </c>
      <c r="K1421" s="5">
        <f>Sheet4!E1421</f>
        <v>12</v>
      </c>
      <c r="L1421" s="5" t="s">
        <v>5278</v>
      </c>
      <c r="M1421" s="4"/>
    </row>
    <row r="1422" spans="1:13" x14ac:dyDescent="0.25">
      <c r="A1422" t="s">
        <v>4463</v>
      </c>
      <c r="B1422" t="s">
        <v>4734</v>
      </c>
      <c r="C1422" s="25">
        <v>5942</v>
      </c>
      <c r="D1422" s="28">
        <v>5942</v>
      </c>
      <c r="E1422" s="2" t="str">
        <f t="shared" si="46"/>
        <v>Same</v>
      </c>
      <c r="F1422" s="6" t="s">
        <v>2029</v>
      </c>
      <c r="G1422" s="3">
        <v>73.5</v>
      </c>
      <c r="H1422" s="2" t="s">
        <v>1376</v>
      </c>
      <c r="I1422" s="4">
        <f>[1]Sheet1!I1422</f>
        <v>144</v>
      </c>
      <c r="J1422" s="3" t="str">
        <f t="shared" si="45"/>
        <v>5942_A1C1.webp</v>
      </c>
      <c r="K1422" s="5">
        <f>Sheet4!E1422</f>
        <v>12</v>
      </c>
      <c r="L1422" s="5"/>
      <c r="M1422" s="4"/>
    </row>
    <row r="1423" spans="1:13" x14ac:dyDescent="0.25">
      <c r="A1423" t="s">
        <v>4463</v>
      </c>
      <c r="B1423" t="s">
        <v>4734</v>
      </c>
      <c r="C1423" s="25">
        <v>5943</v>
      </c>
      <c r="D1423" s="28">
        <v>5943</v>
      </c>
      <c r="E1423" s="2" t="str">
        <f t="shared" si="46"/>
        <v>Same</v>
      </c>
      <c r="F1423" s="6" t="s">
        <v>2030</v>
      </c>
      <c r="G1423" s="3">
        <v>38.950000000000003</v>
      </c>
      <c r="H1423" s="2" t="s">
        <v>1376</v>
      </c>
      <c r="I1423" s="4">
        <f>[1]Sheet1!I1423</f>
        <v>286</v>
      </c>
      <c r="J1423" s="3" t="str">
        <f t="shared" si="45"/>
        <v>5943_A1C1.webp</v>
      </c>
      <c r="K1423" s="5">
        <f>Sheet4!E1423</f>
        <v>12</v>
      </c>
      <c r="L1423" s="5"/>
      <c r="M1423" s="4"/>
    </row>
    <row r="1424" spans="1:13" x14ac:dyDescent="0.25">
      <c r="A1424" t="s">
        <v>4463</v>
      </c>
      <c r="B1424" t="s">
        <v>4734</v>
      </c>
      <c r="C1424" s="25">
        <v>5944</v>
      </c>
      <c r="D1424" s="28">
        <v>5944</v>
      </c>
      <c r="E1424" s="2" t="str">
        <f t="shared" si="46"/>
        <v>Same</v>
      </c>
      <c r="F1424" s="6" t="s">
        <v>2030</v>
      </c>
      <c r="G1424" s="3">
        <v>35.950000000000003</v>
      </c>
      <c r="H1424" s="2" t="s">
        <v>1377</v>
      </c>
      <c r="I1424" s="4">
        <f>[1]Sheet1!I1424</f>
        <v>837</v>
      </c>
      <c r="J1424" s="3" t="str">
        <f t="shared" si="45"/>
        <v>5944_A1C1.webp</v>
      </c>
      <c r="K1424" s="5">
        <f>Sheet4!E1424</f>
        <v>12</v>
      </c>
      <c r="L1424" s="5"/>
      <c r="M1424" s="4"/>
    </row>
    <row r="1425" spans="1:13" x14ac:dyDescent="0.25">
      <c r="A1425" t="s">
        <v>4463</v>
      </c>
      <c r="B1425" t="s">
        <v>4734</v>
      </c>
      <c r="C1425" s="25">
        <v>5945</v>
      </c>
      <c r="D1425" s="28">
        <v>5945</v>
      </c>
      <c r="E1425" s="2" t="str">
        <f t="shared" si="46"/>
        <v>Same</v>
      </c>
      <c r="F1425" s="6" t="s">
        <v>2030</v>
      </c>
      <c r="G1425" s="3">
        <v>35.950000000000003</v>
      </c>
      <c r="H1425" s="2" t="s">
        <v>1378</v>
      </c>
      <c r="I1425" s="4">
        <f>[1]Sheet1!I1425</f>
        <v>2271</v>
      </c>
      <c r="J1425" s="3" t="str">
        <f t="shared" si="45"/>
        <v>5945_A1C1.webp</v>
      </c>
      <c r="K1425" s="5">
        <f>Sheet4!E1425</f>
        <v>12</v>
      </c>
      <c r="L1425" s="5"/>
      <c r="M1425" s="4"/>
    </row>
    <row r="1426" spans="1:13" x14ac:dyDescent="0.25">
      <c r="A1426" t="s">
        <v>4463</v>
      </c>
      <c r="B1426" t="s">
        <v>4734</v>
      </c>
      <c r="C1426" s="25">
        <v>5946</v>
      </c>
      <c r="D1426" s="28">
        <v>5946</v>
      </c>
      <c r="E1426" s="2" t="str">
        <f t="shared" si="46"/>
        <v>Same</v>
      </c>
      <c r="F1426" s="6" t="s">
        <v>2030</v>
      </c>
      <c r="G1426" s="3">
        <v>35.950000000000003</v>
      </c>
      <c r="H1426" s="2" t="s">
        <v>1379</v>
      </c>
      <c r="I1426" s="4">
        <f>[1]Sheet1!I1426</f>
        <v>1918</v>
      </c>
      <c r="J1426" s="3" t="str">
        <f t="shared" si="45"/>
        <v>5946_A1C1.webp</v>
      </c>
      <c r="K1426" s="5">
        <f>Sheet4!E1426</f>
        <v>12</v>
      </c>
      <c r="L1426" s="5"/>
      <c r="M1426" s="4"/>
    </row>
    <row r="1427" spans="1:13" x14ac:dyDescent="0.25">
      <c r="A1427" t="s">
        <v>4463</v>
      </c>
      <c r="B1427" t="s">
        <v>4734</v>
      </c>
      <c r="C1427" s="25">
        <v>5947</v>
      </c>
      <c r="D1427" s="28">
        <v>5947</v>
      </c>
      <c r="E1427" s="2" t="str">
        <f t="shared" si="46"/>
        <v>Same</v>
      </c>
      <c r="F1427" s="6" t="s">
        <v>2030</v>
      </c>
      <c r="G1427" s="3">
        <v>38.950000000000003</v>
      </c>
      <c r="H1427" s="2" t="s">
        <v>1380</v>
      </c>
      <c r="I1427" s="4">
        <f>[1]Sheet1!I1427</f>
        <v>1055</v>
      </c>
      <c r="J1427" s="3" t="str">
        <f t="shared" si="45"/>
        <v>5947_A1C1.webp</v>
      </c>
      <c r="K1427" s="5">
        <f>Sheet4!E1427</f>
        <v>12</v>
      </c>
      <c r="L1427" s="5"/>
      <c r="M1427" s="4"/>
    </row>
    <row r="1428" spans="1:13" x14ac:dyDescent="0.25">
      <c r="A1428" t="s">
        <v>4463</v>
      </c>
      <c r="B1428" t="s">
        <v>4734</v>
      </c>
      <c r="C1428" s="25">
        <v>5948</v>
      </c>
      <c r="D1428" s="28">
        <v>5948</v>
      </c>
      <c r="E1428" s="2" t="str">
        <f t="shared" si="46"/>
        <v>Same</v>
      </c>
      <c r="F1428" s="6" t="s">
        <v>2029</v>
      </c>
      <c r="G1428" s="3">
        <v>67.95</v>
      </c>
      <c r="H1428" s="2" t="s">
        <v>1381</v>
      </c>
      <c r="I1428" s="4">
        <f>[1]Sheet1!I1428</f>
        <v>213</v>
      </c>
      <c r="J1428" s="3" t="str">
        <f t="shared" si="45"/>
        <v>5948_A1C1.webp</v>
      </c>
      <c r="K1428" s="5">
        <f>Sheet4!E1428</f>
        <v>12</v>
      </c>
      <c r="L1428" s="5"/>
      <c r="M1428" s="4"/>
    </row>
    <row r="1429" spans="1:13" x14ac:dyDescent="0.25">
      <c r="A1429" t="s">
        <v>4463</v>
      </c>
      <c r="B1429" t="s">
        <v>4734</v>
      </c>
      <c r="C1429" s="25">
        <v>5949</v>
      </c>
      <c r="D1429" s="28">
        <v>5949</v>
      </c>
      <c r="E1429" s="2" t="str">
        <f t="shared" si="46"/>
        <v>Same</v>
      </c>
      <c r="F1429" s="6" t="s">
        <v>2029</v>
      </c>
      <c r="G1429" s="3">
        <v>67.95</v>
      </c>
      <c r="H1429" s="2" t="s">
        <v>1378</v>
      </c>
      <c r="I1429" s="4">
        <f>[1]Sheet1!I1429</f>
        <v>385</v>
      </c>
      <c r="J1429" s="3" t="str">
        <f t="shared" si="45"/>
        <v>5949_A1C1.webp</v>
      </c>
      <c r="K1429" s="5">
        <f>Sheet4!E1429</f>
        <v>12</v>
      </c>
      <c r="L1429" s="5"/>
      <c r="M1429" s="4"/>
    </row>
    <row r="1430" spans="1:13" x14ac:dyDescent="0.25">
      <c r="A1430" t="s">
        <v>3595</v>
      </c>
      <c r="B1430" t="s">
        <v>4442</v>
      </c>
      <c r="C1430" s="25">
        <v>5963</v>
      </c>
      <c r="D1430" s="28">
        <v>5963</v>
      </c>
      <c r="E1430" s="2" t="str">
        <f t="shared" si="46"/>
        <v>Same</v>
      </c>
      <c r="F1430" s="6" t="s">
        <v>2000</v>
      </c>
      <c r="G1430" s="3">
        <v>18.75</v>
      </c>
      <c r="H1430" s="2" t="s">
        <v>1382</v>
      </c>
      <c r="I1430" s="4">
        <f>[1]Sheet1!I1430</f>
        <v>54</v>
      </c>
      <c r="J1430" s="3" t="str">
        <f t="shared" si="45"/>
        <v>5963_A1C1.webp</v>
      </c>
      <c r="K1430" s="5">
        <f>Sheet4!E1430</f>
        <v>1</v>
      </c>
      <c r="L1430" s="5" t="s">
        <v>5278</v>
      </c>
      <c r="M1430" s="4"/>
    </row>
    <row r="1431" spans="1:13" x14ac:dyDescent="0.25">
      <c r="A1431" t="s">
        <v>4463</v>
      </c>
      <c r="B1431" t="s">
        <v>4734</v>
      </c>
      <c r="C1431" s="25">
        <v>5977</v>
      </c>
      <c r="D1431" s="28">
        <v>5977</v>
      </c>
      <c r="E1431" s="2" t="str">
        <f t="shared" si="46"/>
        <v>Same</v>
      </c>
      <c r="F1431" s="6" t="s">
        <v>1927</v>
      </c>
      <c r="G1431" s="3">
        <v>66.95</v>
      </c>
      <c r="H1431" s="2" t="s">
        <v>1383</v>
      </c>
      <c r="I1431" s="4">
        <f>[1]Sheet1!I1431</f>
        <v>0</v>
      </c>
      <c r="J1431" s="3" t="str">
        <f t="shared" si="45"/>
        <v>5977_A1C1.webp</v>
      </c>
      <c r="K1431" s="5">
        <f>Sheet4!E1431</f>
        <v>16</v>
      </c>
      <c r="L1431" s="5"/>
      <c r="M1431" s="4"/>
    </row>
    <row r="1432" spans="1:13" x14ac:dyDescent="0.25">
      <c r="A1432" t="s">
        <v>4463</v>
      </c>
      <c r="B1432" t="s">
        <v>4734</v>
      </c>
      <c r="C1432" s="25">
        <v>5978</v>
      </c>
      <c r="D1432" s="28">
        <v>5978</v>
      </c>
      <c r="E1432" s="2" t="str">
        <f t="shared" si="46"/>
        <v>Same</v>
      </c>
      <c r="F1432" s="6" t="s">
        <v>2031</v>
      </c>
      <c r="G1432" s="3">
        <v>64.95</v>
      </c>
      <c r="H1432" s="2" t="s">
        <v>1384</v>
      </c>
      <c r="I1432" s="4">
        <f>[1]Sheet1!I1432</f>
        <v>56</v>
      </c>
      <c r="J1432" s="3" t="str">
        <f t="shared" si="45"/>
        <v>5978_A1C1.webp</v>
      </c>
      <c r="K1432" s="5">
        <f>Sheet4!E1432</f>
        <v>12</v>
      </c>
      <c r="L1432" s="5" t="s">
        <v>5278</v>
      </c>
      <c r="M1432" s="4"/>
    </row>
    <row r="1433" spans="1:13" x14ac:dyDescent="0.25">
      <c r="A1433" t="s">
        <v>4463</v>
      </c>
      <c r="B1433" t="s">
        <v>4734</v>
      </c>
      <c r="C1433" s="25">
        <v>5979</v>
      </c>
      <c r="D1433" s="28">
        <v>5979</v>
      </c>
      <c r="E1433" s="2" t="str">
        <f t="shared" si="46"/>
        <v>Same</v>
      </c>
      <c r="F1433" s="6" t="s">
        <v>2032</v>
      </c>
      <c r="G1433" s="3">
        <v>37.950000000000003</v>
      </c>
      <c r="H1433" s="2" t="s">
        <v>1384</v>
      </c>
      <c r="I1433" s="4">
        <f>[1]Sheet1!I1433</f>
        <v>74</v>
      </c>
      <c r="J1433" s="3" t="str">
        <f t="shared" si="45"/>
        <v>5979_A1C1.webp</v>
      </c>
      <c r="K1433" s="5">
        <f>Sheet4!E1433</f>
        <v>12</v>
      </c>
      <c r="L1433" s="5" t="s">
        <v>5278</v>
      </c>
      <c r="M1433" s="4"/>
    </row>
    <row r="1434" spans="1:13" x14ac:dyDescent="0.25">
      <c r="A1434" t="s">
        <v>2944</v>
      </c>
      <c r="B1434" t="s">
        <v>3034</v>
      </c>
      <c r="C1434" s="25">
        <v>5990</v>
      </c>
      <c r="D1434" s="28">
        <v>5990</v>
      </c>
      <c r="E1434" s="2" t="str">
        <f t="shared" si="46"/>
        <v>Same</v>
      </c>
      <c r="F1434" s="6" t="s">
        <v>1910</v>
      </c>
      <c r="G1434" s="3">
        <v>89.95</v>
      </c>
      <c r="H1434" s="2" t="s">
        <v>1385</v>
      </c>
      <c r="I1434" s="4">
        <f>[1]Sheet1!I1434</f>
        <v>446</v>
      </c>
      <c r="J1434" s="3" t="str">
        <f t="shared" si="45"/>
        <v>5990_A1C1.webp</v>
      </c>
      <c r="K1434" s="5">
        <f>Sheet4!E1434</f>
        <v>20</v>
      </c>
      <c r="L1434" s="5" t="s">
        <v>5278</v>
      </c>
      <c r="M1434" s="4"/>
    </row>
    <row r="1435" spans="1:13" x14ac:dyDescent="0.25">
      <c r="A1435" t="s">
        <v>2944</v>
      </c>
      <c r="B1435" t="s">
        <v>3034</v>
      </c>
      <c r="C1435" s="25">
        <v>5991</v>
      </c>
      <c r="D1435" s="28">
        <v>5991</v>
      </c>
      <c r="E1435" s="2" t="str">
        <f t="shared" si="46"/>
        <v>Same</v>
      </c>
      <c r="F1435" s="6" t="s">
        <v>1907</v>
      </c>
      <c r="G1435" s="3">
        <v>84.95</v>
      </c>
      <c r="H1435" s="2" t="s">
        <v>1386</v>
      </c>
      <c r="I1435" s="4">
        <f>[1]Sheet1!I1435</f>
        <v>1697</v>
      </c>
      <c r="J1435" s="3" t="str">
        <f t="shared" si="45"/>
        <v>5991_A1C1.webp</v>
      </c>
      <c r="K1435" s="5">
        <f>Sheet4!E1435</f>
        <v>8</v>
      </c>
      <c r="L1435" s="5" t="s">
        <v>5278</v>
      </c>
      <c r="M1435" s="4"/>
    </row>
    <row r="1436" spans="1:13" x14ac:dyDescent="0.25">
      <c r="A1436" t="s">
        <v>2944</v>
      </c>
      <c r="B1436" t="s">
        <v>3282</v>
      </c>
      <c r="C1436" s="25">
        <v>5992</v>
      </c>
      <c r="D1436" s="28">
        <v>5992</v>
      </c>
      <c r="E1436" s="2" t="str">
        <f t="shared" si="46"/>
        <v>Same</v>
      </c>
      <c r="F1436" s="6" t="s">
        <v>1866</v>
      </c>
      <c r="G1436" s="3">
        <v>20.65</v>
      </c>
      <c r="H1436" s="2" t="s">
        <v>1387</v>
      </c>
      <c r="I1436" s="4">
        <f>[1]Sheet1!I1436</f>
        <v>0</v>
      </c>
      <c r="J1436" s="3" t="str">
        <f t="shared" si="45"/>
        <v>5992_A1C1.webp</v>
      </c>
      <c r="K1436" s="5">
        <f>Sheet4!E1436</f>
        <v>12</v>
      </c>
      <c r="L1436" s="5"/>
      <c r="M1436" s="4"/>
    </row>
    <row r="1437" spans="1:13" x14ac:dyDescent="0.25">
      <c r="A1437" t="s">
        <v>2944</v>
      </c>
      <c r="B1437" t="s">
        <v>4799</v>
      </c>
      <c r="C1437" s="25">
        <v>5996</v>
      </c>
      <c r="D1437" s="28">
        <v>5996</v>
      </c>
      <c r="E1437" s="2" t="str">
        <f t="shared" si="46"/>
        <v>Same</v>
      </c>
      <c r="F1437" s="6" t="s">
        <v>2001</v>
      </c>
      <c r="G1437" s="3">
        <v>23.5</v>
      </c>
      <c r="H1437" s="2" t="s">
        <v>1388</v>
      </c>
      <c r="I1437" s="4">
        <f>[1]Sheet1!I1437</f>
        <v>0</v>
      </c>
      <c r="J1437" s="3" t="str">
        <f t="shared" si="45"/>
        <v>5996_A1C1.webp</v>
      </c>
      <c r="K1437" s="5">
        <f>Sheet4!E1437</f>
        <v>12</v>
      </c>
      <c r="L1437" s="5" t="s">
        <v>5278</v>
      </c>
      <c r="M1437" s="4"/>
    </row>
    <row r="1438" spans="1:13" x14ac:dyDescent="0.25">
      <c r="A1438" t="s">
        <v>2944</v>
      </c>
      <c r="B1438" t="s">
        <v>4799</v>
      </c>
      <c r="C1438" s="25">
        <v>5997</v>
      </c>
      <c r="D1438" s="28">
        <v>5997</v>
      </c>
      <c r="E1438" s="2" t="str">
        <f t="shared" si="46"/>
        <v>Same</v>
      </c>
      <c r="F1438" s="6" t="s">
        <v>2001</v>
      </c>
      <c r="G1438" s="3">
        <v>23.5</v>
      </c>
      <c r="H1438" s="2" t="s">
        <v>1389</v>
      </c>
      <c r="I1438" s="4">
        <f>[1]Sheet1!I1438</f>
        <v>0</v>
      </c>
      <c r="J1438" s="3" t="str">
        <f t="shared" si="45"/>
        <v>5997_A1C1.webp</v>
      </c>
      <c r="K1438" s="5">
        <f>Sheet4!E1438</f>
        <v>12</v>
      </c>
      <c r="L1438" s="5" t="s">
        <v>5278</v>
      </c>
      <c r="M1438" s="4"/>
    </row>
    <row r="1439" spans="1:13" x14ac:dyDescent="0.25">
      <c r="A1439" t="s">
        <v>2944</v>
      </c>
      <c r="B1439" t="s">
        <v>4799</v>
      </c>
      <c r="C1439" s="25">
        <v>5998</v>
      </c>
      <c r="D1439" s="28">
        <v>5998</v>
      </c>
      <c r="E1439" s="2" t="str">
        <f t="shared" si="46"/>
        <v>Same</v>
      </c>
      <c r="F1439" s="6" t="s">
        <v>2001</v>
      </c>
      <c r="G1439" s="3">
        <v>23.5</v>
      </c>
      <c r="H1439" s="2" t="s">
        <v>1390</v>
      </c>
      <c r="I1439" s="4">
        <f>[1]Sheet1!I1439</f>
        <v>0</v>
      </c>
      <c r="J1439" s="3" t="str">
        <f t="shared" si="45"/>
        <v>5998_A1C1.webp</v>
      </c>
      <c r="K1439" s="5">
        <f>Sheet4!E1439</f>
        <v>12</v>
      </c>
      <c r="L1439" s="5" t="s">
        <v>5278</v>
      </c>
      <c r="M1439" s="4"/>
    </row>
    <row r="1440" spans="1:13" x14ac:dyDescent="0.25">
      <c r="A1440" t="s">
        <v>2518</v>
      </c>
      <c r="B1440" t="s">
        <v>2526</v>
      </c>
      <c r="C1440" s="25">
        <v>6037</v>
      </c>
      <c r="D1440" s="28">
        <v>6037</v>
      </c>
      <c r="E1440" s="2" t="str">
        <f t="shared" si="46"/>
        <v>Same</v>
      </c>
      <c r="F1440" s="6" t="s">
        <v>1975</v>
      </c>
      <c r="H1440" s="2" t="s">
        <v>1391</v>
      </c>
      <c r="I1440" s="4">
        <f>[1]Sheet1!I1440</f>
        <v>166347</v>
      </c>
      <c r="J1440" s="3" t="str">
        <f t="shared" si="45"/>
        <v>6037_A1C1.webp</v>
      </c>
      <c r="K1440" s="5">
        <f>Sheet4!E1440</f>
        <v>1</v>
      </c>
      <c r="L1440" s="5"/>
      <c r="M1440" s="4"/>
    </row>
    <row r="1441" spans="1:13" x14ac:dyDescent="0.25">
      <c r="A1441" t="s">
        <v>2518</v>
      </c>
      <c r="B1441" t="s">
        <v>2526</v>
      </c>
      <c r="C1441" s="25">
        <v>6038</v>
      </c>
      <c r="D1441" s="28">
        <v>6038</v>
      </c>
      <c r="E1441" s="2" t="str">
        <f t="shared" si="46"/>
        <v>Same</v>
      </c>
      <c r="F1441" s="6" t="s">
        <v>2033</v>
      </c>
      <c r="H1441" s="2" t="s">
        <v>1392</v>
      </c>
      <c r="I1441" s="4">
        <f>[1]Sheet1!I1441</f>
        <v>14995</v>
      </c>
      <c r="J1441" s="3" t="str">
        <f t="shared" si="45"/>
        <v>6038_A1C1.webp</v>
      </c>
      <c r="K1441" s="5">
        <f>Sheet4!E1441</f>
        <v>1</v>
      </c>
      <c r="L1441" s="5"/>
      <c r="M1441" s="4"/>
    </row>
    <row r="1442" spans="1:13" x14ac:dyDescent="0.25">
      <c r="A1442" t="s">
        <v>2518</v>
      </c>
      <c r="B1442" t="s">
        <v>2526</v>
      </c>
      <c r="C1442" s="25">
        <v>6039</v>
      </c>
      <c r="D1442" s="28">
        <v>6039</v>
      </c>
      <c r="E1442" s="2" t="str">
        <f t="shared" si="46"/>
        <v>Same</v>
      </c>
      <c r="F1442" s="6" t="s">
        <v>2033</v>
      </c>
      <c r="H1442" s="2" t="s">
        <v>1393</v>
      </c>
      <c r="I1442" s="4">
        <f>[1]Sheet1!I1442</f>
        <v>240</v>
      </c>
      <c r="J1442" s="3" t="str">
        <f t="shared" si="45"/>
        <v>6039_A1C1.webp</v>
      </c>
      <c r="K1442" s="5">
        <f>Sheet4!E1442</f>
        <v>1</v>
      </c>
      <c r="L1442" s="5"/>
      <c r="M1442" s="4"/>
    </row>
    <row r="1443" spans="1:13" x14ac:dyDescent="0.25">
      <c r="A1443" t="s">
        <v>2518</v>
      </c>
      <c r="B1443" t="s">
        <v>2526</v>
      </c>
      <c r="C1443" s="25">
        <v>6040</v>
      </c>
      <c r="D1443" s="28">
        <v>6040</v>
      </c>
      <c r="E1443" s="2" t="str">
        <f t="shared" si="46"/>
        <v>Same</v>
      </c>
      <c r="F1443" s="6" t="s">
        <v>2033</v>
      </c>
      <c r="H1443" s="2" t="s">
        <v>1394</v>
      </c>
      <c r="I1443" s="4">
        <f>[1]Sheet1!I1443</f>
        <v>2558</v>
      </c>
      <c r="J1443" s="3" t="str">
        <f t="shared" si="45"/>
        <v>6040_A1C1.webp</v>
      </c>
      <c r="K1443" s="5">
        <f>Sheet4!E1443</f>
        <v>1</v>
      </c>
      <c r="L1443" s="5"/>
      <c r="M1443" s="4"/>
    </row>
    <row r="1444" spans="1:13" x14ac:dyDescent="0.25">
      <c r="A1444" t="s">
        <v>2518</v>
      </c>
      <c r="B1444" t="s">
        <v>2526</v>
      </c>
      <c r="C1444" s="25">
        <v>6041</v>
      </c>
      <c r="D1444" s="28">
        <v>6041</v>
      </c>
      <c r="E1444" s="2" t="str">
        <f t="shared" si="46"/>
        <v>Same</v>
      </c>
      <c r="F1444" s="6" t="s">
        <v>2033</v>
      </c>
      <c r="H1444" s="2" t="s">
        <v>1395</v>
      </c>
      <c r="I1444" s="4">
        <f>[1]Sheet1!I1444</f>
        <v>848</v>
      </c>
      <c r="J1444" s="3" t="str">
        <f t="shared" si="45"/>
        <v>6041_A1C1.webp</v>
      </c>
      <c r="K1444" s="5">
        <f>Sheet4!E1444</f>
        <v>1</v>
      </c>
      <c r="L1444" s="5"/>
      <c r="M1444" s="4"/>
    </row>
    <row r="1445" spans="1:13" x14ac:dyDescent="0.25">
      <c r="A1445" t="s">
        <v>2518</v>
      </c>
      <c r="B1445" t="s">
        <v>2526</v>
      </c>
      <c r="C1445" s="25">
        <v>6042</v>
      </c>
      <c r="D1445" s="28">
        <v>6042</v>
      </c>
      <c r="E1445" s="2" t="str">
        <f t="shared" si="46"/>
        <v>Same</v>
      </c>
      <c r="F1445" s="6" t="s">
        <v>2033</v>
      </c>
      <c r="H1445" s="2" t="s">
        <v>1396</v>
      </c>
      <c r="I1445" s="4">
        <f>[1]Sheet1!I1445</f>
        <v>11771</v>
      </c>
      <c r="J1445" s="3" t="str">
        <f t="shared" si="45"/>
        <v>6042_A1C1.webp</v>
      </c>
      <c r="K1445" s="5">
        <f>Sheet4!E1445</f>
        <v>1</v>
      </c>
      <c r="L1445" s="5"/>
      <c r="M1445" s="4"/>
    </row>
    <row r="1446" spans="1:13" x14ac:dyDescent="0.25">
      <c r="A1446" t="s">
        <v>2633</v>
      </c>
      <c r="B1446" t="s">
        <v>4156</v>
      </c>
      <c r="C1446" s="25">
        <v>6043</v>
      </c>
      <c r="D1446" s="28">
        <v>6043</v>
      </c>
      <c r="E1446" s="2" t="str">
        <f t="shared" si="46"/>
        <v>Same</v>
      </c>
      <c r="F1446" s="6" t="s">
        <v>1869</v>
      </c>
      <c r="H1446" s="2" t="s">
        <v>1397</v>
      </c>
      <c r="I1446" s="4">
        <f>[1]Sheet1!I1446</f>
        <v>8108</v>
      </c>
      <c r="J1446" s="3" t="str">
        <f t="shared" si="45"/>
        <v>6043_A1C1.webp</v>
      </c>
      <c r="K1446" s="5">
        <f>Sheet4!E1446</f>
        <v>48</v>
      </c>
      <c r="L1446" s="5"/>
      <c r="M1446" s="4"/>
    </row>
    <row r="1447" spans="1:13" x14ac:dyDescent="0.25">
      <c r="A1447" t="s">
        <v>2518</v>
      </c>
      <c r="B1447" t="s">
        <v>2533</v>
      </c>
      <c r="C1447" s="25">
        <v>6045</v>
      </c>
      <c r="D1447" s="28">
        <v>6045</v>
      </c>
      <c r="E1447" s="2" t="str">
        <f t="shared" si="46"/>
        <v>Same</v>
      </c>
      <c r="F1447" s="6" t="s">
        <v>2034</v>
      </c>
      <c r="H1447" s="2" t="s">
        <v>1398</v>
      </c>
      <c r="I1447" s="4">
        <f>[1]Sheet1!I1447</f>
        <v>0</v>
      </c>
      <c r="J1447" s="3" t="str">
        <f t="shared" si="45"/>
        <v>6045_A1C1.webp</v>
      </c>
      <c r="K1447" s="5">
        <f>Sheet4!E1447</f>
        <v>1</v>
      </c>
      <c r="L1447" s="5"/>
      <c r="M1447" s="4"/>
    </row>
    <row r="1448" spans="1:13" x14ac:dyDescent="0.25">
      <c r="A1448" t="s">
        <v>2518</v>
      </c>
      <c r="B1448" t="s">
        <v>2533</v>
      </c>
      <c r="C1448" s="25">
        <v>6046</v>
      </c>
      <c r="D1448" s="28">
        <v>6046</v>
      </c>
      <c r="E1448" s="2" t="str">
        <f t="shared" si="46"/>
        <v>Same</v>
      </c>
      <c r="F1448" s="6" t="s">
        <v>2034</v>
      </c>
      <c r="H1448" s="2" t="s">
        <v>1399</v>
      </c>
      <c r="I1448" s="4">
        <f>[1]Sheet1!I1448</f>
        <v>0</v>
      </c>
      <c r="J1448" s="3" t="str">
        <f t="shared" si="45"/>
        <v>6046_A1C1.webp</v>
      </c>
      <c r="K1448" s="5">
        <f>Sheet4!E1448</f>
        <v>1</v>
      </c>
      <c r="L1448" s="5"/>
      <c r="M1448" s="4"/>
    </row>
    <row r="1449" spans="1:13" x14ac:dyDescent="0.25">
      <c r="A1449" t="s">
        <v>2944</v>
      </c>
      <c r="B1449" t="s">
        <v>3106</v>
      </c>
      <c r="C1449" s="25">
        <v>6055</v>
      </c>
      <c r="D1449" s="28">
        <v>6055</v>
      </c>
      <c r="E1449" s="2" t="str">
        <f t="shared" si="46"/>
        <v>Same</v>
      </c>
      <c r="F1449" s="6" t="s">
        <v>1866</v>
      </c>
      <c r="G1449" s="3">
        <v>17.95</v>
      </c>
      <c r="H1449" s="2" t="s">
        <v>421</v>
      </c>
      <c r="I1449" s="4">
        <f>[1]Sheet1!I1449</f>
        <v>5150</v>
      </c>
      <c r="J1449" s="3" t="str">
        <f t="shared" si="45"/>
        <v>6055_A1C1.webp</v>
      </c>
      <c r="K1449" s="5">
        <f>Sheet4!E1449</f>
        <v>12</v>
      </c>
      <c r="L1449" s="5"/>
      <c r="M1449" s="4"/>
    </row>
    <row r="1450" spans="1:13" x14ac:dyDescent="0.25">
      <c r="A1450" t="s">
        <v>2944</v>
      </c>
      <c r="B1450" t="s">
        <v>2945</v>
      </c>
      <c r="C1450" s="25">
        <v>6056</v>
      </c>
      <c r="D1450" s="28">
        <v>6056</v>
      </c>
      <c r="E1450" s="2" t="str">
        <f t="shared" si="46"/>
        <v>Same</v>
      </c>
      <c r="F1450" s="6" t="s">
        <v>1866</v>
      </c>
      <c r="G1450" s="3">
        <v>20.65</v>
      </c>
      <c r="H1450" s="2" t="s">
        <v>1400</v>
      </c>
      <c r="I1450" s="4">
        <f>[1]Sheet1!I1450</f>
        <v>4447</v>
      </c>
      <c r="J1450" s="3" t="str">
        <f t="shared" si="45"/>
        <v>6056_A1C1.webp</v>
      </c>
      <c r="K1450" s="5">
        <f>Sheet4!E1450</f>
        <v>12</v>
      </c>
      <c r="L1450" s="5"/>
      <c r="M1450" s="4"/>
    </row>
    <row r="1451" spans="1:13" x14ac:dyDescent="0.25">
      <c r="A1451" t="s">
        <v>2944</v>
      </c>
      <c r="B1451" t="s">
        <v>2945</v>
      </c>
      <c r="C1451" s="25">
        <v>6057</v>
      </c>
      <c r="D1451" s="28">
        <v>6057</v>
      </c>
      <c r="E1451" s="2" t="str">
        <f t="shared" si="46"/>
        <v>Same</v>
      </c>
      <c r="F1451" s="6" t="s">
        <v>1866</v>
      </c>
      <c r="G1451" s="3">
        <v>20.65</v>
      </c>
      <c r="H1451" s="2" t="s">
        <v>424</v>
      </c>
      <c r="I1451" s="4">
        <f>[1]Sheet1!I1451</f>
        <v>365</v>
      </c>
      <c r="J1451" s="3" t="str">
        <f t="shared" si="45"/>
        <v>6057_A1C1.webp</v>
      </c>
      <c r="K1451" s="5">
        <f>Sheet4!E1451</f>
        <v>12</v>
      </c>
      <c r="L1451" s="5"/>
      <c r="M1451" s="4"/>
    </row>
    <row r="1452" spans="1:13" x14ac:dyDescent="0.25">
      <c r="A1452" t="s">
        <v>2944</v>
      </c>
      <c r="B1452" t="s">
        <v>2945</v>
      </c>
      <c r="C1452" s="25">
        <v>6058</v>
      </c>
      <c r="D1452" s="28">
        <v>6058</v>
      </c>
      <c r="E1452" s="2" t="str">
        <f t="shared" si="46"/>
        <v>Same</v>
      </c>
      <c r="F1452" s="6" t="s">
        <v>1866</v>
      </c>
      <c r="G1452" s="3">
        <v>20.65</v>
      </c>
      <c r="H1452" s="2" t="s">
        <v>425</v>
      </c>
      <c r="I1452" s="4">
        <f>[1]Sheet1!I1452</f>
        <v>1020</v>
      </c>
      <c r="J1452" s="3" t="str">
        <f t="shared" si="45"/>
        <v>6058_A1C1.webp</v>
      </c>
      <c r="K1452" s="5">
        <f>Sheet4!E1452</f>
        <v>12</v>
      </c>
      <c r="L1452" s="5"/>
      <c r="M1452" s="4"/>
    </row>
    <row r="1453" spans="1:13" x14ac:dyDescent="0.25">
      <c r="A1453" t="s">
        <v>2518</v>
      </c>
      <c r="B1453" t="s">
        <v>2526</v>
      </c>
      <c r="C1453" s="25">
        <v>6071</v>
      </c>
      <c r="D1453" s="28">
        <v>6071</v>
      </c>
      <c r="E1453" s="2" t="str">
        <f t="shared" si="46"/>
        <v>Same</v>
      </c>
      <c r="F1453" s="6" t="s">
        <v>2033</v>
      </c>
      <c r="H1453" s="2" t="s">
        <v>1401</v>
      </c>
      <c r="I1453" s="4">
        <f>[1]Sheet1!I1453</f>
        <v>12939</v>
      </c>
      <c r="J1453" s="3" t="str">
        <f t="shared" si="45"/>
        <v>6071_A1C1.webp</v>
      </c>
      <c r="K1453" s="5">
        <f>Sheet4!E1453</f>
        <v>1</v>
      </c>
      <c r="L1453" s="5"/>
      <c r="M1453" s="4"/>
    </row>
    <row r="1454" spans="1:13" x14ac:dyDescent="0.25">
      <c r="A1454" t="s">
        <v>2518</v>
      </c>
      <c r="B1454" t="s">
        <v>2526</v>
      </c>
      <c r="C1454" s="25">
        <v>6072</v>
      </c>
      <c r="D1454" s="28">
        <v>6072</v>
      </c>
      <c r="E1454" s="2" t="str">
        <f t="shared" si="46"/>
        <v>Same</v>
      </c>
      <c r="F1454" s="6" t="s">
        <v>2033</v>
      </c>
      <c r="H1454" s="2" t="s">
        <v>1402</v>
      </c>
      <c r="I1454" s="4">
        <f>[1]Sheet1!I1454</f>
        <v>4937</v>
      </c>
      <c r="J1454" s="3" t="str">
        <f t="shared" si="45"/>
        <v>6072_A1C1.webp</v>
      </c>
      <c r="K1454" s="5">
        <f>Sheet4!E1454</f>
        <v>1</v>
      </c>
      <c r="L1454" s="5"/>
      <c r="M1454" s="4"/>
    </row>
    <row r="1455" spans="1:13" x14ac:dyDescent="0.25">
      <c r="A1455" t="s">
        <v>2518</v>
      </c>
      <c r="B1455" t="s">
        <v>2526</v>
      </c>
      <c r="C1455" s="25">
        <v>6073</v>
      </c>
      <c r="D1455" s="28">
        <v>6073</v>
      </c>
      <c r="E1455" s="2" t="str">
        <f t="shared" si="46"/>
        <v>Same</v>
      </c>
      <c r="F1455" s="6" t="s">
        <v>2033</v>
      </c>
      <c r="H1455" s="2" t="s">
        <v>1403</v>
      </c>
      <c r="I1455" s="4">
        <f>[1]Sheet1!I1455</f>
        <v>21799</v>
      </c>
      <c r="J1455" s="3" t="str">
        <f t="shared" si="45"/>
        <v>6073_A1C1.webp</v>
      </c>
      <c r="K1455" s="5">
        <f>Sheet4!E1455</f>
        <v>1</v>
      </c>
      <c r="L1455" s="5"/>
      <c r="M1455" s="4"/>
    </row>
    <row r="1456" spans="1:13" x14ac:dyDescent="0.25">
      <c r="A1456" t="s">
        <v>2518</v>
      </c>
      <c r="B1456" t="s">
        <v>2526</v>
      </c>
      <c r="C1456" s="25">
        <v>6074</v>
      </c>
      <c r="D1456" s="28">
        <v>6074</v>
      </c>
      <c r="E1456" s="2" t="str">
        <f t="shared" si="46"/>
        <v>Same</v>
      </c>
      <c r="F1456" s="6" t="s">
        <v>2033</v>
      </c>
      <c r="H1456" s="2" t="s">
        <v>1404</v>
      </c>
      <c r="I1456" s="4">
        <f>[1]Sheet1!I1456</f>
        <v>0</v>
      </c>
      <c r="J1456" s="3" t="str">
        <f t="shared" si="45"/>
        <v>6074_A1C1.webp</v>
      </c>
      <c r="K1456" s="5">
        <f>Sheet4!E1456</f>
        <v>1</v>
      </c>
      <c r="L1456" s="5"/>
      <c r="M1456" s="4"/>
    </row>
    <row r="1457" spans="1:13" x14ac:dyDescent="0.25">
      <c r="A1457" t="s">
        <v>3386</v>
      </c>
      <c r="B1457" t="s">
        <v>4379</v>
      </c>
      <c r="C1457" s="25">
        <v>6114</v>
      </c>
      <c r="D1457" s="28">
        <v>6114</v>
      </c>
      <c r="E1457" s="2" t="str">
        <f t="shared" si="46"/>
        <v>Same</v>
      </c>
      <c r="F1457" s="6" t="s">
        <v>2035</v>
      </c>
      <c r="H1457" s="2" t="s">
        <v>1405</v>
      </c>
      <c r="I1457" s="4">
        <f>[1]Sheet1!I1457</f>
        <v>286</v>
      </c>
      <c r="J1457" s="3" t="str">
        <f t="shared" si="45"/>
        <v>6114_A1C1.webp</v>
      </c>
      <c r="K1457" s="5">
        <f>Sheet4!E1457</f>
        <v>4</v>
      </c>
      <c r="L1457" s="5"/>
      <c r="M1457" s="4"/>
    </row>
    <row r="1458" spans="1:13" x14ac:dyDescent="0.25">
      <c r="A1458" t="s">
        <v>3386</v>
      </c>
      <c r="B1458" t="s">
        <v>4379</v>
      </c>
      <c r="C1458" s="25">
        <v>6115</v>
      </c>
      <c r="D1458" s="28">
        <v>6115</v>
      </c>
      <c r="E1458" s="2" t="str">
        <f t="shared" si="46"/>
        <v>Same</v>
      </c>
      <c r="F1458" s="6" t="s">
        <v>1881</v>
      </c>
      <c r="H1458" s="2" t="s">
        <v>1406</v>
      </c>
      <c r="I1458" s="4">
        <f>[1]Sheet1!I1458</f>
        <v>0</v>
      </c>
      <c r="J1458" s="3" t="str">
        <f t="shared" si="45"/>
        <v>6115_A1C1.webp</v>
      </c>
      <c r="K1458" s="5">
        <f>Sheet4!E1458</f>
        <v>4</v>
      </c>
      <c r="L1458" s="5"/>
      <c r="M1458" s="4"/>
    </row>
    <row r="1459" spans="1:13" x14ac:dyDescent="0.25">
      <c r="A1459" t="s">
        <v>3386</v>
      </c>
      <c r="B1459" t="s">
        <v>4379</v>
      </c>
      <c r="C1459" s="25">
        <v>6116</v>
      </c>
      <c r="D1459" s="28">
        <v>6116</v>
      </c>
      <c r="E1459" s="2" t="str">
        <f t="shared" si="46"/>
        <v>Same</v>
      </c>
      <c r="F1459" s="6" t="s">
        <v>1881</v>
      </c>
      <c r="H1459" s="2" t="s">
        <v>1407</v>
      </c>
      <c r="I1459" s="4">
        <f>[1]Sheet1!I1459</f>
        <v>40</v>
      </c>
      <c r="J1459" s="3" t="str">
        <f t="shared" si="45"/>
        <v>6116_A1C1.webp</v>
      </c>
      <c r="K1459" s="5">
        <f>Sheet4!E1459</f>
        <v>4</v>
      </c>
      <c r="L1459" s="5"/>
      <c r="M1459" s="4"/>
    </row>
    <row r="1460" spans="1:13" x14ac:dyDescent="0.25">
      <c r="A1460" t="s">
        <v>3386</v>
      </c>
      <c r="B1460" t="s">
        <v>4379</v>
      </c>
      <c r="C1460" s="25">
        <v>6117</v>
      </c>
      <c r="D1460" s="28">
        <v>6117</v>
      </c>
      <c r="E1460" s="2" t="str">
        <f t="shared" si="46"/>
        <v>Same</v>
      </c>
      <c r="F1460" s="6" t="s">
        <v>2036</v>
      </c>
      <c r="H1460" s="2" t="s">
        <v>1408</v>
      </c>
      <c r="I1460" s="4">
        <f>[1]Sheet1!I1460</f>
        <v>42</v>
      </c>
      <c r="J1460" s="3" t="str">
        <f t="shared" si="45"/>
        <v>6117_A1C1.webp</v>
      </c>
      <c r="K1460" s="5">
        <f>Sheet4!E1460</f>
        <v>4</v>
      </c>
      <c r="L1460" s="5"/>
      <c r="M1460" s="4"/>
    </row>
    <row r="1461" spans="1:13" x14ac:dyDescent="0.25">
      <c r="A1461" t="s">
        <v>5266</v>
      </c>
      <c r="B1461" t="s">
        <v>4816</v>
      </c>
      <c r="C1461" s="25">
        <v>6130</v>
      </c>
      <c r="D1461" s="28">
        <v>6130</v>
      </c>
      <c r="E1461" s="2" t="str">
        <f t="shared" si="46"/>
        <v>Same</v>
      </c>
      <c r="F1461" s="6" t="s">
        <v>1866</v>
      </c>
      <c r="H1461" s="2" t="s">
        <v>1409</v>
      </c>
      <c r="I1461" s="4">
        <f>[1]Sheet1!I1461</f>
        <v>7</v>
      </c>
      <c r="J1461" s="3" t="str">
        <f t="shared" si="45"/>
        <v>6130_A1C1.webp</v>
      </c>
      <c r="K1461" s="5">
        <f>Sheet4!E1461</f>
        <v>12</v>
      </c>
      <c r="L1461" s="5"/>
      <c r="M1461" s="4"/>
    </row>
    <row r="1462" spans="1:13" x14ac:dyDescent="0.25">
      <c r="A1462" t="s">
        <v>5266</v>
      </c>
      <c r="B1462" t="s">
        <v>4816</v>
      </c>
      <c r="C1462" s="25">
        <v>6135</v>
      </c>
      <c r="D1462" s="28">
        <v>6135</v>
      </c>
      <c r="E1462" s="2" t="str">
        <f t="shared" si="46"/>
        <v>Same</v>
      </c>
      <c r="F1462" s="6" t="s">
        <v>1866</v>
      </c>
      <c r="H1462" s="2" t="s">
        <v>1410</v>
      </c>
      <c r="I1462" s="4">
        <f>[1]Sheet1!I1462</f>
        <v>65</v>
      </c>
      <c r="J1462" s="3" t="str">
        <f t="shared" si="45"/>
        <v>6135_A1C1.webp</v>
      </c>
      <c r="K1462" s="5">
        <f>Sheet4!E1462</f>
        <v>12</v>
      </c>
      <c r="L1462" s="5"/>
      <c r="M1462" s="4"/>
    </row>
    <row r="1463" spans="1:13" x14ac:dyDescent="0.25">
      <c r="A1463" t="s">
        <v>3386</v>
      </c>
      <c r="B1463" t="s">
        <v>5271</v>
      </c>
      <c r="C1463" s="25">
        <v>6136</v>
      </c>
      <c r="D1463" s="28">
        <v>6136</v>
      </c>
      <c r="E1463" s="2" t="str">
        <f t="shared" si="46"/>
        <v>Same</v>
      </c>
      <c r="F1463" s="6" t="s">
        <v>2037</v>
      </c>
      <c r="H1463" s="2" t="s">
        <v>1411</v>
      </c>
      <c r="I1463" s="4">
        <f>[1]Sheet1!I1463</f>
        <v>760</v>
      </c>
      <c r="J1463" s="3" t="str">
        <f t="shared" si="45"/>
        <v>6136_A1C1.webp</v>
      </c>
      <c r="K1463" s="5">
        <f>Sheet4!E1463</f>
        <v>12</v>
      </c>
      <c r="L1463" s="5"/>
      <c r="M1463" s="4"/>
    </row>
    <row r="1464" spans="1:13" x14ac:dyDescent="0.25">
      <c r="A1464" t="s">
        <v>3386</v>
      </c>
      <c r="B1464" t="s">
        <v>5271</v>
      </c>
      <c r="C1464" s="25">
        <v>6137</v>
      </c>
      <c r="D1464" s="28">
        <v>6137</v>
      </c>
      <c r="E1464" s="2" t="str">
        <f t="shared" si="46"/>
        <v>Same</v>
      </c>
      <c r="F1464" s="6" t="s">
        <v>1949</v>
      </c>
      <c r="H1464" s="2" t="s">
        <v>1412</v>
      </c>
      <c r="I1464" s="4">
        <f>[1]Sheet1!I1464</f>
        <v>101</v>
      </c>
      <c r="J1464" s="3" t="str">
        <f t="shared" si="45"/>
        <v>6137_A1C1.webp</v>
      </c>
      <c r="K1464" s="5">
        <f>Sheet4!E1464</f>
        <v>12</v>
      </c>
      <c r="L1464" s="5"/>
      <c r="M1464" s="4"/>
    </row>
    <row r="1465" spans="1:13" x14ac:dyDescent="0.25">
      <c r="A1465" t="s">
        <v>3386</v>
      </c>
      <c r="B1465" t="s">
        <v>5271</v>
      </c>
      <c r="C1465" s="25">
        <v>6138</v>
      </c>
      <c r="D1465" s="28">
        <v>6138</v>
      </c>
      <c r="E1465" s="2" t="str">
        <f t="shared" si="46"/>
        <v>Same</v>
      </c>
      <c r="F1465" s="6" t="s">
        <v>1967</v>
      </c>
      <c r="H1465" s="2" t="s">
        <v>1413</v>
      </c>
      <c r="I1465" s="4">
        <f>[1]Sheet1!I1465</f>
        <v>299</v>
      </c>
      <c r="J1465" s="3" t="str">
        <f t="shared" si="45"/>
        <v>6138_A1C1.webp</v>
      </c>
      <c r="K1465" s="5">
        <f>Sheet4!E1465</f>
        <v>12</v>
      </c>
      <c r="L1465" s="5"/>
      <c r="M1465" s="4"/>
    </row>
    <row r="1466" spans="1:13" x14ac:dyDescent="0.25">
      <c r="A1466" t="s">
        <v>3386</v>
      </c>
      <c r="B1466" t="s">
        <v>5271</v>
      </c>
      <c r="C1466" s="25">
        <v>6139</v>
      </c>
      <c r="D1466" s="28">
        <v>6139</v>
      </c>
      <c r="E1466" s="2" t="str">
        <f t="shared" si="46"/>
        <v>Same</v>
      </c>
      <c r="F1466" s="6" t="s">
        <v>2038</v>
      </c>
      <c r="H1466" s="2" t="s">
        <v>1414</v>
      </c>
      <c r="I1466" s="4">
        <f>[1]Sheet1!I1466</f>
        <v>611</v>
      </c>
      <c r="J1466" s="3" t="str">
        <f t="shared" si="45"/>
        <v>6139_A1C1.webp</v>
      </c>
      <c r="K1466" s="5">
        <f>Sheet4!E1466</f>
        <v>12</v>
      </c>
      <c r="L1466" s="5"/>
      <c r="M1466" s="4"/>
    </row>
    <row r="1467" spans="1:13" x14ac:dyDescent="0.25">
      <c r="A1467" t="s">
        <v>5266</v>
      </c>
      <c r="B1467" t="s">
        <v>4816</v>
      </c>
      <c r="C1467" s="25">
        <v>6140</v>
      </c>
      <c r="D1467" s="28">
        <v>6140</v>
      </c>
      <c r="E1467" s="2" t="str">
        <f t="shared" si="46"/>
        <v>Same</v>
      </c>
      <c r="F1467" s="6" t="s">
        <v>1866</v>
      </c>
      <c r="H1467" s="2" t="s">
        <v>1415</v>
      </c>
      <c r="I1467" s="4">
        <f>[1]Sheet1!I1467</f>
        <v>0</v>
      </c>
      <c r="J1467" s="3" t="str">
        <f t="shared" si="45"/>
        <v>6140_A1C1.webp</v>
      </c>
      <c r="K1467" s="5">
        <f>Sheet4!E1467</f>
        <v>12</v>
      </c>
      <c r="L1467" s="5"/>
      <c r="M1467" s="4"/>
    </row>
    <row r="1468" spans="1:13" x14ac:dyDescent="0.25">
      <c r="A1468" t="s">
        <v>5266</v>
      </c>
      <c r="B1468" t="s">
        <v>4816</v>
      </c>
      <c r="C1468" s="25">
        <v>6145</v>
      </c>
      <c r="D1468" s="28">
        <v>6145</v>
      </c>
      <c r="E1468" s="2" t="str">
        <f t="shared" si="46"/>
        <v>Same</v>
      </c>
      <c r="F1468" s="6" t="s">
        <v>1866</v>
      </c>
      <c r="H1468" s="2" t="s">
        <v>1416</v>
      </c>
      <c r="I1468" s="4">
        <f>[1]Sheet1!I1468</f>
        <v>0</v>
      </c>
      <c r="J1468" s="3" t="str">
        <f t="shared" si="45"/>
        <v>6145_A1C1.webp</v>
      </c>
      <c r="K1468" s="5">
        <f>Sheet4!E1468</f>
        <v>12</v>
      </c>
      <c r="L1468" s="5"/>
      <c r="M1468" s="4"/>
    </row>
    <row r="1469" spans="1:13" x14ac:dyDescent="0.25">
      <c r="A1469" t="s">
        <v>5266</v>
      </c>
      <c r="B1469" t="s">
        <v>4816</v>
      </c>
      <c r="C1469" s="25">
        <v>6147</v>
      </c>
      <c r="D1469" s="28">
        <v>6147</v>
      </c>
      <c r="E1469" s="2" t="str">
        <f t="shared" si="46"/>
        <v>Same</v>
      </c>
      <c r="F1469" s="6" t="s">
        <v>1866</v>
      </c>
      <c r="H1469" s="2" t="s">
        <v>1417</v>
      </c>
      <c r="I1469" s="4">
        <f>[1]Sheet1!I1469</f>
        <v>8</v>
      </c>
      <c r="J1469" s="3" t="str">
        <f t="shared" si="45"/>
        <v>6147_A1C1.webp</v>
      </c>
      <c r="K1469" s="5">
        <f>Sheet4!E1469</f>
        <v>12</v>
      </c>
      <c r="L1469" s="5"/>
      <c r="M1469" s="4"/>
    </row>
    <row r="1470" spans="1:13" x14ac:dyDescent="0.25">
      <c r="A1470" t="s">
        <v>5266</v>
      </c>
      <c r="B1470" t="s">
        <v>4816</v>
      </c>
      <c r="C1470" s="25">
        <v>6148</v>
      </c>
      <c r="D1470" s="28">
        <v>6148</v>
      </c>
      <c r="E1470" s="2" t="str">
        <f t="shared" si="46"/>
        <v>Same</v>
      </c>
      <c r="F1470" s="6" t="s">
        <v>1866</v>
      </c>
      <c r="H1470" s="2" t="s">
        <v>1418</v>
      </c>
      <c r="I1470" s="4">
        <f>[1]Sheet1!I1470</f>
        <v>0</v>
      </c>
      <c r="J1470" s="3" t="str">
        <f t="shared" si="45"/>
        <v>6148_A1C1.webp</v>
      </c>
      <c r="K1470" s="5">
        <f>Sheet4!E1470</f>
        <v>12</v>
      </c>
      <c r="L1470" s="5"/>
      <c r="M1470" s="4"/>
    </row>
    <row r="1471" spans="1:13" x14ac:dyDescent="0.25">
      <c r="A1471" t="s">
        <v>2604</v>
      </c>
      <c r="B1471" t="s">
        <v>3512</v>
      </c>
      <c r="C1471" s="25">
        <v>6150</v>
      </c>
      <c r="D1471" s="28">
        <v>6150</v>
      </c>
      <c r="E1471" s="2" t="str">
        <f t="shared" si="46"/>
        <v>Same</v>
      </c>
      <c r="F1471" s="6" t="s">
        <v>1882</v>
      </c>
      <c r="G1471" s="3">
        <v>39.950000000000003</v>
      </c>
      <c r="H1471" s="2" t="s">
        <v>1419</v>
      </c>
      <c r="I1471" s="4">
        <f>[1]Sheet1!I1471</f>
        <v>2</v>
      </c>
      <c r="J1471" s="3" t="str">
        <f t="shared" si="45"/>
        <v>6150_A1C1.webp</v>
      </c>
      <c r="K1471" s="5">
        <f>Sheet4!E1471</f>
        <v>12</v>
      </c>
      <c r="L1471" s="5"/>
      <c r="M1471" s="4"/>
    </row>
    <row r="1472" spans="1:13" x14ac:dyDescent="0.25">
      <c r="A1472" t="s">
        <v>5266</v>
      </c>
      <c r="B1472" t="s">
        <v>5270</v>
      </c>
      <c r="C1472" s="25">
        <v>6160</v>
      </c>
      <c r="D1472" s="28">
        <v>6160</v>
      </c>
      <c r="E1472" s="2" t="str">
        <f t="shared" si="46"/>
        <v>Same</v>
      </c>
      <c r="F1472" s="6" t="s">
        <v>1866</v>
      </c>
      <c r="H1472" s="2" t="s">
        <v>1420</v>
      </c>
      <c r="I1472" s="4">
        <f>[1]Sheet1!I1472</f>
        <v>0</v>
      </c>
      <c r="J1472" s="3" t="str">
        <f t="shared" si="45"/>
        <v>6160_A1C1.webp</v>
      </c>
      <c r="K1472" s="5">
        <f>Sheet4!E1472</f>
        <v>12</v>
      </c>
      <c r="L1472" s="5"/>
      <c r="M1472" s="4"/>
    </row>
    <row r="1473" spans="1:13" x14ac:dyDescent="0.25">
      <c r="A1473" t="s">
        <v>2685</v>
      </c>
      <c r="B1473" t="s">
        <v>4808</v>
      </c>
      <c r="C1473" s="25">
        <v>6164</v>
      </c>
      <c r="D1473" s="28">
        <v>6164</v>
      </c>
      <c r="E1473" s="2" t="str">
        <f t="shared" si="46"/>
        <v>Same</v>
      </c>
      <c r="F1473" s="6" t="s">
        <v>1842</v>
      </c>
      <c r="G1473" s="3">
        <v>46.95</v>
      </c>
      <c r="H1473" s="2" t="s">
        <v>1421</v>
      </c>
      <c r="I1473" s="4">
        <f>[1]Sheet1!I1473</f>
        <v>0</v>
      </c>
      <c r="J1473" s="3" t="str">
        <f t="shared" si="45"/>
        <v>6164_A1C1.webp</v>
      </c>
      <c r="K1473" s="5">
        <f>Sheet4!E1473</f>
        <v>6</v>
      </c>
      <c r="L1473" s="5"/>
      <c r="M1473" s="4"/>
    </row>
    <row r="1474" spans="1:13" x14ac:dyDescent="0.25">
      <c r="A1474" t="s">
        <v>2685</v>
      </c>
      <c r="B1474" t="s">
        <v>4808</v>
      </c>
      <c r="C1474" s="25">
        <v>6165</v>
      </c>
      <c r="D1474" s="28">
        <v>6165</v>
      </c>
      <c r="E1474" s="2" t="str">
        <f t="shared" si="46"/>
        <v>Same</v>
      </c>
      <c r="F1474" s="6" t="s">
        <v>1842</v>
      </c>
      <c r="G1474" s="3">
        <v>46.95</v>
      </c>
      <c r="H1474" s="2" t="s">
        <v>1422</v>
      </c>
      <c r="I1474" s="4">
        <f>[1]Sheet1!I1474</f>
        <v>0</v>
      </c>
      <c r="J1474" s="3" t="str">
        <f t="shared" ref="J1474:J1537" si="47">C1474 &amp; "_A1C1.webp"</f>
        <v>6165_A1C1.webp</v>
      </c>
      <c r="K1474" s="5">
        <f>Sheet4!E1474</f>
        <v>6</v>
      </c>
      <c r="L1474" s="5"/>
      <c r="M1474" s="4"/>
    </row>
    <row r="1475" spans="1:13" x14ac:dyDescent="0.25">
      <c r="A1475" t="s">
        <v>2685</v>
      </c>
      <c r="B1475" t="s">
        <v>4808</v>
      </c>
      <c r="C1475" s="25">
        <v>6166</v>
      </c>
      <c r="D1475" s="28">
        <v>6166</v>
      </c>
      <c r="E1475" s="2" t="str">
        <f t="shared" si="46"/>
        <v>Same</v>
      </c>
      <c r="F1475" s="6" t="s">
        <v>1842</v>
      </c>
      <c r="G1475" s="3">
        <v>46.95</v>
      </c>
      <c r="H1475" s="2" t="s">
        <v>1423</v>
      </c>
      <c r="I1475" s="4">
        <f>[1]Sheet1!I1475</f>
        <v>0</v>
      </c>
      <c r="J1475" s="3" t="str">
        <f t="shared" si="47"/>
        <v>6166_A1C1.webp</v>
      </c>
      <c r="K1475" s="5">
        <f>Sheet4!E1475</f>
        <v>6</v>
      </c>
      <c r="L1475" s="5"/>
      <c r="M1475" s="4"/>
    </row>
    <row r="1476" spans="1:13" x14ac:dyDescent="0.25">
      <c r="A1476" t="s">
        <v>3386</v>
      </c>
      <c r="B1476" t="s">
        <v>5271</v>
      </c>
      <c r="C1476" s="25">
        <v>6168</v>
      </c>
      <c r="D1476" s="28">
        <v>6168</v>
      </c>
      <c r="E1476" s="2" t="str">
        <f t="shared" si="46"/>
        <v>Same</v>
      </c>
      <c r="F1476" s="6" t="s">
        <v>1853</v>
      </c>
      <c r="H1476" s="2" t="s">
        <v>1424</v>
      </c>
      <c r="I1476" s="4">
        <f>[1]Sheet1!I1476</f>
        <v>1671</v>
      </c>
      <c r="J1476" s="3" t="str">
        <f t="shared" si="47"/>
        <v>6168_A1C1.webp</v>
      </c>
      <c r="K1476" s="5">
        <f>Sheet4!E1476</f>
        <v>10</v>
      </c>
      <c r="L1476" s="5"/>
      <c r="M1476" s="4"/>
    </row>
    <row r="1477" spans="1:13" x14ac:dyDescent="0.25">
      <c r="A1477" t="s">
        <v>2685</v>
      </c>
      <c r="B1477" t="s">
        <v>4813</v>
      </c>
      <c r="C1477" s="25">
        <v>6169</v>
      </c>
      <c r="D1477" s="28">
        <v>6169</v>
      </c>
      <c r="E1477" s="2" t="str">
        <f t="shared" si="46"/>
        <v>Same</v>
      </c>
      <c r="F1477" s="6" t="s">
        <v>1842</v>
      </c>
      <c r="G1477" s="3">
        <v>14.95</v>
      </c>
      <c r="H1477" s="2" t="s">
        <v>1425</v>
      </c>
      <c r="I1477" s="4">
        <f>[1]Sheet1!I1477</f>
        <v>5889</v>
      </c>
      <c r="J1477" s="3" t="str">
        <f t="shared" si="47"/>
        <v>6169_A1C1.webp</v>
      </c>
      <c r="K1477" s="5">
        <f>Sheet4!E1477</f>
        <v>6</v>
      </c>
      <c r="L1477" s="5"/>
      <c r="M1477" s="4"/>
    </row>
    <row r="1478" spans="1:13" x14ac:dyDescent="0.25">
      <c r="A1478" t="s">
        <v>4082</v>
      </c>
      <c r="B1478" t="s">
        <v>5271</v>
      </c>
      <c r="C1478" s="25">
        <v>6178</v>
      </c>
      <c r="D1478" s="28">
        <v>6178</v>
      </c>
      <c r="E1478" s="2" t="str">
        <f t="shared" si="46"/>
        <v>Same</v>
      </c>
      <c r="F1478" s="6" t="s">
        <v>2039</v>
      </c>
      <c r="H1478" s="2" t="s">
        <v>1426</v>
      </c>
      <c r="I1478" s="4">
        <f>[1]Sheet1!I1478</f>
        <v>124</v>
      </c>
      <c r="J1478" s="3" t="str">
        <f t="shared" si="47"/>
        <v>6178_A1C1.webp</v>
      </c>
      <c r="K1478" s="5">
        <f>Sheet4!E1478</f>
        <v>6</v>
      </c>
      <c r="L1478" s="5"/>
      <c r="M1478" s="4"/>
    </row>
    <row r="1479" spans="1:13" x14ac:dyDescent="0.25">
      <c r="A1479" t="s">
        <v>4082</v>
      </c>
      <c r="B1479" t="s">
        <v>5271</v>
      </c>
      <c r="C1479" s="25">
        <v>6179</v>
      </c>
      <c r="D1479" s="28">
        <v>6179</v>
      </c>
      <c r="E1479" s="2" t="str">
        <f t="shared" si="46"/>
        <v>Same</v>
      </c>
      <c r="F1479" s="6" t="s">
        <v>1979</v>
      </c>
      <c r="H1479" s="2" t="s">
        <v>1427</v>
      </c>
      <c r="I1479" s="4">
        <f>[1]Sheet1!I1479</f>
        <v>25</v>
      </c>
      <c r="J1479" s="3" t="str">
        <f t="shared" si="47"/>
        <v>6179_A1C1.webp</v>
      </c>
      <c r="K1479" s="5">
        <f>Sheet4!E1479</f>
        <v>6</v>
      </c>
      <c r="L1479" s="5"/>
      <c r="M1479" s="4"/>
    </row>
    <row r="1480" spans="1:13" x14ac:dyDescent="0.25">
      <c r="A1480" t="s">
        <v>3386</v>
      </c>
      <c r="B1480" t="s">
        <v>5271</v>
      </c>
      <c r="C1480" s="25">
        <v>6187</v>
      </c>
      <c r="D1480" s="28">
        <v>6187</v>
      </c>
      <c r="E1480" s="2" t="str">
        <f t="shared" ref="E1480:E1543" si="48">IF(C1480=D1480, "Same","New")</f>
        <v>Same</v>
      </c>
      <c r="F1480" s="6" t="s">
        <v>2040</v>
      </c>
      <c r="H1480" s="2" t="s">
        <v>1428</v>
      </c>
      <c r="I1480" s="4">
        <f>[1]Sheet1!I1480</f>
        <v>762</v>
      </c>
      <c r="J1480" s="3" t="str">
        <f t="shared" si="47"/>
        <v>6187_A1C1.webp</v>
      </c>
      <c r="K1480" s="5">
        <f>Sheet4!E1480</f>
        <v>10</v>
      </c>
      <c r="L1480" s="5"/>
      <c r="M1480" s="4"/>
    </row>
    <row r="1481" spans="1:13" x14ac:dyDescent="0.25">
      <c r="A1481" t="s">
        <v>4082</v>
      </c>
      <c r="B1481" t="s">
        <v>5271</v>
      </c>
      <c r="C1481" s="25">
        <v>6188</v>
      </c>
      <c r="D1481" s="28">
        <v>6188</v>
      </c>
      <c r="E1481" s="2" t="str">
        <f t="shared" si="48"/>
        <v>Same</v>
      </c>
      <c r="F1481" s="6" t="s">
        <v>1979</v>
      </c>
      <c r="H1481" s="2" t="s">
        <v>1426</v>
      </c>
      <c r="I1481" s="4">
        <f>[1]Sheet1!I1481</f>
        <v>0</v>
      </c>
      <c r="J1481" s="3" t="str">
        <f t="shared" si="47"/>
        <v>6188_A1C1.webp</v>
      </c>
      <c r="K1481" s="5">
        <f>Sheet4!E1481</f>
        <v>6</v>
      </c>
      <c r="L1481" s="5"/>
      <c r="M1481" s="4"/>
    </row>
    <row r="1482" spans="1:13" x14ac:dyDescent="0.25">
      <c r="A1482" t="s">
        <v>5265</v>
      </c>
      <c r="B1482" t="s">
        <v>5265</v>
      </c>
      <c r="C1482" s="25">
        <v>6189</v>
      </c>
      <c r="D1482" s="28">
        <v>6189</v>
      </c>
      <c r="E1482" s="2" t="str">
        <f t="shared" si="48"/>
        <v>Same</v>
      </c>
      <c r="H1482" s="2" t="s">
        <v>1429</v>
      </c>
      <c r="I1482" s="4">
        <f>[1]Sheet1!I1482</f>
        <v>0</v>
      </c>
      <c r="J1482" s="3" t="str">
        <f t="shared" si="47"/>
        <v>6189_A1C1.webp</v>
      </c>
      <c r="K1482" s="5">
        <f>Sheet4!E1482</f>
        <v>270</v>
      </c>
      <c r="L1482" s="5"/>
      <c r="M1482" s="4"/>
    </row>
    <row r="1483" spans="1:13" x14ac:dyDescent="0.25">
      <c r="A1483" t="s">
        <v>4082</v>
      </c>
      <c r="B1483" t="s">
        <v>5271</v>
      </c>
      <c r="C1483" s="25">
        <v>6191</v>
      </c>
      <c r="D1483" s="28">
        <v>6191</v>
      </c>
      <c r="E1483" s="2" t="str">
        <f t="shared" si="48"/>
        <v>Same</v>
      </c>
      <c r="F1483" s="6" t="s">
        <v>1979</v>
      </c>
      <c r="H1483" s="2" t="s">
        <v>1430</v>
      </c>
      <c r="I1483" s="4">
        <f>[1]Sheet1!I1483</f>
        <v>0</v>
      </c>
      <c r="J1483" s="3" t="str">
        <f t="shared" si="47"/>
        <v>6191_A1C1.webp</v>
      </c>
      <c r="K1483" s="5">
        <f>Sheet4!E1483</f>
        <v>54</v>
      </c>
      <c r="L1483" s="5"/>
      <c r="M1483" s="4"/>
    </row>
    <row r="1484" spans="1:13" x14ac:dyDescent="0.25">
      <c r="A1484" t="s">
        <v>4082</v>
      </c>
      <c r="B1484" t="s">
        <v>5271</v>
      </c>
      <c r="C1484" s="25">
        <v>6193</v>
      </c>
      <c r="D1484" s="28">
        <v>6193</v>
      </c>
      <c r="E1484" s="2" t="str">
        <f t="shared" si="48"/>
        <v>Same</v>
      </c>
      <c r="F1484" s="6" t="s">
        <v>1979</v>
      </c>
      <c r="H1484" s="2" t="s">
        <v>1431</v>
      </c>
      <c r="I1484" s="4">
        <f>[1]Sheet1!I1484</f>
        <v>0</v>
      </c>
      <c r="J1484" s="3" t="str">
        <f t="shared" si="47"/>
        <v>6193_A1C1.webp</v>
      </c>
      <c r="K1484" s="5">
        <f>Sheet4!E1484</f>
        <v>54</v>
      </c>
      <c r="L1484" s="5"/>
      <c r="M1484" s="4"/>
    </row>
    <row r="1485" spans="1:13" x14ac:dyDescent="0.25">
      <c r="A1485" t="s">
        <v>4082</v>
      </c>
      <c r="B1485" t="s">
        <v>5271</v>
      </c>
      <c r="C1485" s="25">
        <v>6194</v>
      </c>
      <c r="D1485" s="28">
        <v>6194</v>
      </c>
      <c r="E1485" s="2" t="str">
        <f t="shared" si="48"/>
        <v>Same</v>
      </c>
      <c r="F1485" s="6" t="s">
        <v>1979</v>
      </c>
      <c r="H1485" s="2" t="s">
        <v>1432</v>
      </c>
      <c r="I1485" s="4">
        <f>[1]Sheet1!I1485</f>
        <v>0</v>
      </c>
      <c r="J1485" s="3" t="str">
        <f t="shared" si="47"/>
        <v>6194_A1C1.webp</v>
      </c>
      <c r="K1485" s="5">
        <f>Sheet4!E1485</f>
        <v>108</v>
      </c>
      <c r="L1485" s="5"/>
      <c r="M1485" s="4"/>
    </row>
    <row r="1486" spans="1:13" x14ac:dyDescent="0.25">
      <c r="A1486" t="s">
        <v>5266</v>
      </c>
      <c r="B1486" t="s">
        <v>4816</v>
      </c>
      <c r="C1486" s="25">
        <v>6220</v>
      </c>
      <c r="D1486" s="28">
        <v>6220</v>
      </c>
      <c r="E1486" s="2" t="str">
        <f t="shared" si="48"/>
        <v>Same</v>
      </c>
      <c r="F1486" s="6" t="s">
        <v>1866</v>
      </c>
      <c r="H1486" s="2" t="s">
        <v>1433</v>
      </c>
      <c r="I1486" s="4">
        <f>[1]Sheet1!I1486</f>
        <v>209</v>
      </c>
      <c r="J1486" s="3" t="str">
        <f t="shared" si="47"/>
        <v>6220_A1C1.webp</v>
      </c>
      <c r="K1486" s="5">
        <f>Sheet4!E1486</f>
        <v>32</v>
      </c>
      <c r="L1486" s="5"/>
      <c r="M1486" s="4"/>
    </row>
    <row r="1487" spans="1:13" x14ac:dyDescent="0.25">
      <c r="A1487" t="s">
        <v>5266</v>
      </c>
      <c r="B1487" t="s">
        <v>4816</v>
      </c>
      <c r="C1487" s="25">
        <v>6221</v>
      </c>
      <c r="D1487" s="28">
        <v>6221</v>
      </c>
      <c r="E1487" s="2" t="str">
        <f t="shared" si="48"/>
        <v>Same</v>
      </c>
      <c r="F1487" s="6" t="s">
        <v>1936</v>
      </c>
      <c r="H1487" s="2" t="s">
        <v>1434</v>
      </c>
      <c r="I1487" s="4">
        <f>[1]Sheet1!I1487</f>
        <v>61</v>
      </c>
      <c r="J1487" s="3" t="str">
        <f t="shared" si="47"/>
        <v>6221_A1C1.webp</v>
      </c>
      <c r="K1487" s="5">
        <f>Sheet4!E1487</f>
        <v>32</v>
      </c>
      <c r="L1487" s="5"/>
      <c r="M1487" s="4"/>
    </row>
    <row r="1488" spans="1:13" x14ac:dyDescent="0.25">
      <c r="A1488" t="s">
        <v>5266</v>
      </c>
      <c r="B1488" t="s">
        <v>4816</v>
      </c>
      <c r="C1488" s="25">
        <v>6225</v>
      </c>
      <c r="D1488" s="28">
        <v>6225</v>
      </c>
      <c r="E1488" s="2" t="str">
        <f t="shared" si="48"/>
        <v>Same</v>
      </c>
      <c r="F1488" s="6" t="s">
        <v>1866</v>
      </c>
      <c r="H1488" s="2" t="s">
        <v>1435</v>
      </c>
      <c r="I1488" s="4">
        <f>[1]Sheet1!I1488</f>
        <v>18</v>
      </c>
      <c r="J1488" s="3" t="str">
        <f t="shared" si="47"/>
        <v>6225_A1C1.webp</v>
      </c>
      <c r="K1488" s="5">
        <f>Sheet4!E1488</f>
        <v>32</v>
      </c>
      <c r="L1488" s="5"/>
      <c r="M1488" s="4"/>
    </row>
    <row r="1489" spans="1:13" x14ac:dyDescent="0.25">
      <c r="A1489" t="s">
        <v>5266</v>
      </c>
      <c r="B1489" t="s">
        <v>4816</v>
      </c>
      <c r="C1489" s="25">
        <v>6253</v>
      </c>
      <c r="D1489" s="28">
        <v>6253</v>
      </c>
      <c r="E1489" s="2" t="str">
        <f t="shared" si="48"/>
        <v>Same</v>
      </c>
      <c r="F1489" s="6" t="s">
        <v>1866</v>
      </c>
      <c r="H1489" s="2" t="s">
        <v>1436</v>
      </c>
      <c r="I1489" s="4">
        <f>[1]Sheet1!I1489</f>
        <v>0</v>
      </c>
      <c r="J1489" s="3" t="str">
        <f t="shared" si="47"/>
        <v>6253_A1C1.webp</v>
      </c>
      <c r="K1489" s="5">
        <f>Sheet4!E1489</f>
        <v>18</v>
      </c>
      <c r="L1489" s="5"/>
      <c r="M1489" s="4"/>
    </row>
    <row r="1490" spans="1:13" x14ac:dyDescent="0.25">
      <c r="A1490" t="s">
        <v>3386</v>
      </c>
      <c r="B1490" t="s">
        <v>4816</v>
      </c>
      <c r="C1490" s="25">
        <v>6259</v>
      </c>
      <c r="D1490" s="28">
        <v>6259</v>
      </c>
      <c r="E1490" s="2" t="str">
        <f t="shared" si="48"/>
        <v>Same</v>
      </c>
      <c r="F1490" s="6" t="s">
        <v>2041</v>
      </c>
      <c r="G1490">
        <v>56.5</v>
      </c>
      <c r="H1490" s="2" t="s">
        <v>1437</v>
      </c>
      <c r="I1490" s="4">
        <f>[1]Sheet1!I1490</f>
        <v>46</v>
      </c>
      <c r="J1490" s="3" t="str">
        <f t="shared" si="47"/>
        <v>6259_A1C1.webp</v>
      </c>
      <c r="K1490" s="5">
        <f>Sheet4!E1490</f>
        <v>96</v>
      </c>
      <c r="L1490" s="5"/>
      <c r="M1490" s="4"/>
    </row>
    <row r="1491" spans="1:13" x14ac:dyDescent="0.25">
      <c r="A1491" t="s">
        <v>5266</v>
      </c>
      <c r="B1491" t="s">
        <v>4816</v>
      </c>
      <c r="C1491" s="25">
        <v>6263</v>
      </c>
      <c r="D1491" s="28">
        <v>6263</v>
      </c>
      <c r="E1491" s="2" t="str">
        <f t="shared" si="48"/>
        <v>Same</v>
      </c>
      <c r="F1491" s="6" t="s">
        <v>1866</v>
      </c>
      <c r="H1491" s="2" t="s">
        <v>1438</v>
      </c>
      <c r="I1491" s="4">
        <f>[1]Sheet1!I1491</f>
        <v>2</v>
      </c>
      <c r="J1491" s="3" t="str">
        <f t="shared" si="47"/>
        <v>6263_A1C1.webp</v>
      </c>
      <c r="K1491" s="5">
        <f>Sheet4!E1491</f>
        <v>15</v>
      </c>
      <c r="L1491" s="5"/>
      <c r="M1491" s="4"/>
    </row>
    <row r="1492" spans="1:13" x14ac:dyDescent="0.25">
      <c r="A1492" t="s">
        <v>5266</v>
      </c>
      <c r="B1492" t="s">
        <v>4816</v>
      </c>
      <c r="C1492" s="25">
        <v>6264</v>
      </c>
      <c r="D1492" s="28">
        <v>6264</v>
      </c>
      <c r="E1492" s="2" t="str">
        <f t="shared" si="48"/>
        <v>Same</v>
      </c>
      <c r="F1492" s="6" t="s">
        <v>1866</v>
      </c>
      <c r="H1492" s="2" t="s">
        <v>1439</v>
      </c>
      <c r="I1492" s="4">
        <f>[1]Sheet1!I1492</f>
        <v>0</v>
      </c>
      <c r="J1492" s="3" t="str">
        <f t="shared" si="47"/>
        <v>6264_A1C1.webp</v>
      </c>
      <c r="K1492" s="5">
        <f>Sheet4!E1492</f>
        <v>12</v>
      </c>
      <c r="L1492" s="5"/>
      <c r="M1492" s="4"/>
    </row>
    <row r="1493" spans="1:13" x14ac:dyDescent="0.25">
      <c r="A1493" t="s">
        <v>5266</v>
      </c>
      <c r="B1493" t="s">
        <v>4816</v>
      </c>
      <c r="C1493" s="25">
        <v>6265</v>
      </c>
      <c r="D1493" s="28">
        <v>6265</v>
      </c>
      <c r="E1493" s="2" t="str">
        <f t="shared" si="48"/>
        <v>Same</v>
      </c>
      <c r="F1493" s="6" t="s">
        <v>2042</v>
      </c>
      <c r="H1493" s="2" t="s">
        <v>1440</v>
      </c>
      <c r="I1493" s="4">
        <f>[1]Sheet1!I1493</f>
        <v>7</v>
      </c>
      <c r="J1493" s="3" t="str">
        <f t="shared" si="47"/>
        <v>6265_A1C1.webp</v>
      </c>
      <c r="K1493" s="5">
        <f>Sheet4!E1493</f>
        <v>20</v>
      </c>
      <c r="L1493" s="5"/>
      <c r="M1493" s="4"/>
    </row>
    <row r="1494" spans="1:13" x14ac:dyDescent="0.25">
      <c r="A1494" t="s">
        <v>5266</v>
      </c>
      <c r="B1494" t="s">
        <v>4816</v>
      </c>
      <c r="C1494" s="25">
        <v>6266</v>
      </c>
      <c r="D1494" s="28">
        <v>6266</v>
      </c>
      <c r="E1494" s="2" t="str">
        <f t="shared" si="48"/>
        <v>Same</v>
      </c>
      <c r="F1494" s="6" t="s">
        <v>1882</v>
      </c>
      <c r="H1494" s="2" t="s">
        <v>1441</v>
      </c>
      <c r="I1494" s="4">
        <f>[1]Sheet1!I1494</f>
        <v>14</v>
      </c>
      <c r="J1494" s="3" t="str">
        <f t="shared" si="47"/>
        <v>6266_A1C1.webp</v>
      </c>
      <c r="K1494" s="5">
        <f>Sheet4!E1494</f>
        <v>12</v>
      </c>
      <c r="L1494" s="5"/>
      <c r="M1494" s="4"/>
    </row>
    <row r="1495" spans="1:13" x14ac:dyDescent="0.25">
      <c r="A1495" t="s">
        <v>5266</v>
      </c>
      <c r="B1495" t="s">
        <v>4816</v>
      </c>
      <c r="C1495" s="25">
        <v>6268</v>
      </c>
      <c r="D1495" s="28">
        <v>6268</v>
      </c>
      <c r="E1495" s="2" t="str">
        <f t="shared" si="48"/>
        <v>Same</v>
      </c>
      <c r="F1495" s="6" t="s">
        <v>1866</v>
      </c>
      <c r="H1495" s="2" t="s">
        <v>1442</v>
      </c>
      <c r="I1495" s="4">
        <f>[1]Sheet1!I1495</f>
        <v>0</v>
      </c>
      <c r="J1495" s="3" t="str">
        <f t="shared" si="47"/>
        <v>6268_A1C1.webp</v>
      </c>
      <c r="K1495" s="5">
        <f>Sheet4!E1495</f>
        <v>12</v>
      </c>
      <c r="L1495" s="5"/>
      <c r="M1495" s="4"/>
    </row>
    <row r="1496" spans="1:13" x14ac:dyDescent="0.25">
      <c r="A1496" t="s">
        <v>5266</v>
      </c>
      <c r="B1496" t="s">
        <v>4816</v>
      </c>
      <c r="C1496" s="25">
        <v>6269</v>
      </c>
      <c r="D1496" s="28">
        <v>6269</v>
      </c>
      <c r="E1496" s="2" t="str">
        <f t="shared" si="48"/>
        <v>Same</v>
      </c>
      <c r="F1496" s="6" t="s">
        <v>1866</v>
      </c>
      <c r="H1496" s="2" t="s">
        <v>1443</v>
      </c>
      <c r="I1496" s="4">
        <f>[1]Sheet1!I1496</f>
        <v>0</v>
      </c>
      <c r="J1496" s="3" t="str">
        <f t="shared" si="47"/>
        <v>6269_A1C1.webp</v>
      </c>
      <c r="K1496" s="5">
        <f>Sheet4!E1496</f>
        <v>12</v>
      </c>
      <c r="L1496" s="5"/>
      <c r="M1496" s="4"/>
    </row>
    <row r="1497" spans="1:13" x14ac:dyDescent="0.25">
      <c r="A1497" t="s">
        <v>5266</v>
      </c>
      <c r="B1497" t="s">
        <v>4816</v>
      </c>
      <c r="C1497" s="25">
        <v>6273</v>
      </c>
      <c r="D1497" s="28">
        <v>6273</v>
      </c>
      <c r="E1497" s="2" t="str">
        <f t="shared" si="48"/>
        <v>Same</v>
      </c>
      <c r="F1497" s="6" t="s">
        <v>1866</v>
      </c>
      <c r="H1497" s="2" t="s">
        <v>1444</v>
      </c>
      <c r="I1497" s="4">
        <f>[1]Sheet1!I1497</f>
        <v>0</v>
      </c>
      <c r="J1497" s="3" t="str">
        <f t="shared" si="47"/>
        <v>6273_A1C1.webp</v>
      </c>
      <c r="K1497" s="5">
        <f>Sheet4!E1497</f>
        <v>12</v>
      </c>
      <c r="L1497" s="5"/>
      <c r="M1497" s="4"/>
    </row>
    <row r="1498" spans="1:13" x14ac:dyDescent="0.25">
      <c r="A1498" t="s">
        <v>5266</v>
      </c>
      <c r="B1498" t="s">
        <v>4816</v>
      </c>
      <c r="C1498" s="25">
        <v>6274</v>
      </c>
      <c r="D1498" s="28">
        <v>6274</v>
      </c>
      <c r="E1498" s="2" t="str">
        <f t="shared" si="48"/>
        <v>Same</v>
      </c>
      <c r="F1498" s="6" t="s">
        <v>1866</v>
      </c>
      <c r="H1498" s="2" t="s">
        <v>1445</v>
      </c>
      <c r="I1498" s="4">
        <f>[1]Sheet1!I1498</f>
        <v>42</v>
      </c>
      <c r="J1498" s="3" t="str">
        <f t="shared" si="47"/>
        <v>6274_A1C1.webp</v>
      </c>
      <c r="K1498" s="5">
        <f>Sheet4!E1498</f>
        <v>12</v>
      </c>
      <c r="L1498" s="5"/>
      <c r="M1498" s="4"/>
    </row>
    <row r="1499" spans="1:13" x14ac:dyDescent="0.25">
      <c r="A1499" t="s">
        <v>5266</v>
      </c>
      <c r="B1499" t="s">
        <v>4816</v>
      </c>
      <c r="C1499" s="25">
        <v>6284</v>
      </c>
      <c r="D1499" s="28">
        <v>6284</v>
      </c>
      <c r="E1499" s="2" t="str">
        <f t="shared" si="48"/>
        <v>Same</v>
      </c>
      <c r="F1499" s="6" t="s">
        <v>1949</v>
      </c>
      <c r="H1499" s="2" t="s">
        <v>1446</v>
      </c>
      <c r="I1499" s="4">
        <f>[1]Sheet1!I1499</f>
        <v>2</v>
      </c>
      <c r="J1499" s="3" t="str">
        <f t="shared" si="47"/>
        <v>6284_A1C1.webp</v>
      </c>
      <c r="K1499" s="5">
        <f>Sheet4!E1499</f>
        <v>12</v>
      </c>
      <c r="L1499" s="5"/>
      <c r="M1499" s="4"/>
    </row>
    <row r="1500" spans="1:13" x14ac:dyDescent="0.25">
      <c r="A1500" t="s">
        <v>5266</v>
      </c>
      <c r="B1500" t="s">
        <v>4816</v>
      </c>
      <c r="C1500" s="25">
        <v>6285</v>
      </c>
      <c r="D1500" s="28">
        <v>6285</v>
      </c>
      <c r="E1500" s="2" t="str">
        <f t="shared" si="48"/>
        <v>Same</v>
      </c>
      <c r="F1500" s="6" t="s">
        <v>1949</v>
      </c>
      <c r="H1500" s="2" t="s">
        <v>1447</v>
      </c>
      <c r="I1500" s="4">
        <f>[1]Sheet1!I1500</f>
        <v>0</v>
      </c>
      <c r="J1500" s="3" t="str">
        <f t="shared" si="47"/>
        <v>6285_A1C1.webp</v>
      </c>
      <c r="K1500" s="5">
        <f>Sheet4!E1500</f>
        <v>12</v>
      </c>
      <c r="L1500" s="5"/>
      <c r="M1500" s="4"/>
    </row>
    <row r="1501" spans="1:13" x14ac:dyDescent="0.25">
      <c r="A1501" t="s">
        <v>2671</v>
      </c>
      <c r="B1501" t="s">
        <v>3315</v>
      </c>
      <c r="C1501" s="25">
        <v>6289</v>
      </c>
      <c r="D1501" s="28">
        <v>6289</v>
      </c>
      <c r="E1501" s="2" t="str">
        <f t="shared" si="48"/>
        <v>Same</v>
      </c>
      <c r="F1501" s="6" t="s">
        <v>2043</v>
      </c>
      <c r="G1501" s="3">
        <v>205.5</v>
      </c>
      <c r="H1501" s="2" t="s">
        <v>1448</v>
      </c>
      <c r="I1501" s="4">
        <f>[1]Sheet1!I1501</f>
        <v>119</v>
      </c>
      <c r="J1501" s="3" t="str">
        <f t="shared" si="47"/>
        <v>6289_A1C1.webp</v>
      </c>
      <c r="K1501" s="5">
        <f>Sheet4!E1501</f>
        <v>120</v>
      </c>
      <c r="L1501" s="5"/>
      <c r="M1501" s="4"/>
    </row>
    <row r="1502" spans="1:13" x14ac:dyDescent="0.25">
      <c r="A1502" t="s">
        <v>3315</v>
      </c>
      <c r="B1502" t="s">
        <v>4821</v>
      </c>
      <c r="C1502" s="25">
        <v>6290</v>
      </c>
      <c r="D1502" s="28">
        <v>6290</v>
      </c>
      <c r="E1502" s="2" t="str">
        <f t="shared" si="48"/>
        <v>Same</v>
      </c>
      <c r="F1502" s="6" t="s">
        <v>2043</v>
      </c>
      <c r="G1502" s="3">
        <v>53.5</v>
      </c>
      <c r="H1502" s="2" t="s">
        <v>1449</v>
      </c>
      <c r="I1502" s="4">
        <f>[1]Sheet1!I1502</f>
        <v>638</v>
      </c>
      <c r="J1502" s="3" t="str">
        <f t="shared" si="47"/>
        <v>6290_A1C1.webp</v>
      </c>
      <c r="K1502" s="5">
        <f>Sheet4!E1502</f>
        <v>30</v>
      </c>
      <c r="L1502" s="5"/>
      <c r="M1502" s="4"/>
    </row>
    <row r="1503" spans="1:13" x14ac:dyDescent="0.25">
      <c r="A1503" t="s">
        <v>3315</v>
      </c>
      <c r="B1503" t="s">
        <v>4821</v>
      </c>
      <c r="C1503" s="25">
        <v>6293</v>
      </c>
      <c r="D1503" s="28">
        <v>6293</v>
      </c>
      <c r="E1503" s="2" t="str">
        <f t="shared" si="48"/>
        <v>Same</v>
      </c>
      <c r="F1503" s="6" t="s">
        <v>2043</v>
      </c>
      <c r="G1503" s="3">
        <v>53.5</v>
      </c>
      <c r="H1503" s="2" t="s">
        <v>1450</v>
      </c>
      <c r="I1503" s="4">
        <f>[1]Sheet1!I1503</f>
        <v>546</v>
      </c>
      <c r="J1503" s="3" t="str">
        <f t="shared" si="47"/>
        <v>6293_A1C1.webp</v>
      </c>
      <c r="K1503" s="5">
        <f>Sheet4!E1503</f>
        <v>30</v>
      </c>
      <c r="L1503" s="5"/>
      <c r="M1503" s="4"/>
    </row>
    <row r="1504" spans="1:13" x14ac:dyDescent="0.25">
      <c r="A1504" t="s">
        <v>3315</v>
      </c>
      <c r="B1504" t="s">
        <v>4821</v>
      </c>
      <c r="C1504" s="25">
        <v>6294</v>
      </c>
      <c r="D1504" s="28">
        <v>6294</v>
      </c>
      <c r="E1504" s="2" t="str">
        <f t="shared" si="48"/>
        <v>Same</v>
      </c>
      <c r="F1504" s="6" t="s">
        <v>2043</v>
      </c>
      <c r="G1504" s="3">
        <v>53.5</v>
      </c>
      <c r="H1504" s="2" t="s">
        <v>1451</v>
      </c>
      <c r="I1504" s="4">
        <f>[1]Sheet1!I1504</f>
        <v>418</v>
      </c>
      <c r="J1504" s="3" t="str">
        <f t="shared" si="47"/>
        <v>6294_A1C1.webp</v>
      </c>
      <c r="K1504" s="5">
        <f>Sheet4!E1504</f>
        <v>30</v>
      </c>
      <c r="L1504" s="5"/>
      <c r="M1504" s="4"/>
    </row>
    <row r="1505" spans="1:13" x14ac:dyDescent="0.25">
      <c r="A1505" t="s">
        <v>3875</v>
      </c>
      <c r="B1505" t="s">
        <v>4372</v>
      </c>
      <c r="C1505" s="28">
        <v>6386</v>
      </c>
      <c r="D1505" s="28">
        <v>6386</v>
      </c>
      <c r="E1505" s="2" t="str">
        <f t="shared" si="48"/>
        <v>Same</v>
      </c>
      <c r="F1505" s="2" t="s">
        <v>1866</v>
      </c>
      <c r="H1505" s="2" t="s">
        <v>5354</v>
      </c>
      <c r="I1505" s="4">
        <f>[1]Sheet1!I1505</f>
        <v>0</v>
      </c>
      <c r="J1505" s="3" t="str">
        <f t="shared" si="47"/>
        <v>6386_A1C1.webp</v>
      </c>
      <c r="K1505" s="5">
        <f>Sheet4!E1505</f>
        <v>6</v>
      </c>
      <c r="L1505" s="5" t="s">
        <v>5278</v>
      </c>
      <c r="M1505" s="4"/>
    </row>
    <row r="1506" spans="1:13" x14ac:dyDescent="0.25">
      <c r="A1506" t="s">
        <v>3875</v>
      </c>
      <c r="B1506" t="s">
        <v>4372</v>
      </c>
      <c r="C1506" s="28">
        <v>6387</v>
      </c>
      <c r="D1506" s="28">
        <v>6387</v>
      </c>
      <c r="E1506" s="2" t="str">
        <f t="shared" si="48"/>
        <v>Same</v>
      </c>
      <c r="F1506" s="2" t="s">
        <v>1866</v>
      </c>
      <c r="H1506" s="2" t="s">
        <v>5355</v>
      </c>
      <c r="I1506" s="4">
        <f>[1]Sheet1!I1506</f>
        <v>2183</v>
      </c>
      <c r="J1506" s="3" t="str">
        <f t="shared" si="47"/>
        <v>6387_A1C1.webp</v>
      </c>
      <c r="K1506" s="5">
        <f>Sheet4!E1506</f>
        <v>6</v>
      </c>
      <c r="L1506" s="5" t="s">
        <v>5278</v>
      </c>
      <c r="M1506" s="4"/>
    </row>
    <row r="1507" spans="1:13" x14ac:dyDescent="0.25">
      <c r="A1507" t="s">
        <v>3875</v>
      </c>
      <c r="B1507" t="s">
        <v>4372</v>
      </c>
      <c r="C1507" s="28">
        <v>6388</v>
      </c>
      <c r="D1507" s="28">
        <v>6388</v>
      </c>
      <c r="E1507" s="2" t="str">
        <f t="shared" si="48"/>
        <v>Same</v>
      </c>
      <c r="F1507" s="2" t="s">
        <v>1866</v>
      </c>
      <c r="H1507" s="2" t="s">
        <v>5356</v>
      </c>
      <c r="I1507" s="4">
        <f>[1]Sheet1!I1507</f>
        <v>1820</v>
      </c>
      <c r="J1507" s="3" t="str">
        <f t="shared" si="47"/>
        <v>6388_A1C1.webp</v>
      </c>
      <c r="K1507" s="5">
        <f>Sheet4!E1507</f>
        <v>6</v>
      </c>
      <c r="L1507" s="5" t="s">
        <v>5278</v>
      </c>
      <c r="M1507" s="4"/>
    </row>
    <row r="1508" spans="1:13" x14ac:dyDescent="0.25">
      <c r="A1508" t="s">
        <v>2671</v>
      </c>
      <c r="B1508" t="s">
        <v>2622</v>
      </c>
      <c r="C1508" s="25">
        <v>6397</v>
      </c>
      <c r="D1508" s="28">
        <v>6397</v>
      </c>
      <c r="E1508" s="2" t="str">
        <f t="shared" si="48"/>
        <v>Same</v>
      </c>
      <c r="F1508" s="6" t="s">
        <v>2044</v>
      </c>
      <c r="G1508">
        <v>99.95</v>
      </c>
      <c r="H1508" s="2" t="s">
        <v>1452</v>
      </c>
      <c r="I1508" s="4">
        <f>[1]Sheet1!I1508</f>
        <v>0</v>
      </c>
      <c r="J1508" s="3" t="str">
        <f t="shared" si="47"/>
        <v>6397_A1C1.webp</v>
      </c>
      <c r="K1508" s="5">
        <f>Sheet4!E1508</f>
        <v>48</v>
      </c>
      <c r="L1508" s="5"/>
      <c r="M1508" s="4"/>
    </row>
    <row r="1509" spans="1:13" x14ac:dyDescent="0.25">
      <c r="A1509" t="s">
        <v>2518</v>
      </c>
      <c r="B1509" t="s">
        <v>2709</v>
      </c>
      <c r="C1509" s="25">
        <v>6410</v>
      </c>
      <c r="D1509" s="28">
        <v>6410</v>
      </c>
      <c r="E1509" s="2" t="str">
        <f t="shared" si="48"/>
        <v>Same</v>
      </c>
      <c r="F1509" s="6" t="s">
        <v>1849</v>
      </c>
      <c r="H1509" s="2" t="s">
        <v>278</v>
      </c>
      <c r="I1509" s="4">
        <f>[1]Sheet1!I1509</f>
        <v>0</v>
      </c>
      <c r="J1509" s="3" t="str">
        <f t="shared" si="47"/>
        <v>6410_A1C1.webp</v>
      </c>
      <c r="K1509" s="5">
        <f>Sheet4!E1509</f>
        <v>24</v>
      </c>
      <c r="L1509" s="5"/>
      <c r="M1509" s="4"/>
    </row>
    <row r="1510" spans="1:13" x14ac:dyDescent="0.25">
      <c r="A1510" t="s">
        <v>2518</v>
      </c>
      <c r="B1510" t="s">
        <v>2709</v>
      </c>
      <c r="C1510" s="25">
        <v>6411</v>
      </c>
      <c r="D1510" s="28">
        <v>6411</v>
      </c>
      <c r="E1510" s="2" t="str">
        <f t="shared" si="48"/>
        <v>Same</v>
      </c>
      <c r="F1510" s="6" t="s">
        <v>1849</v>
      </c>
      <c r="H1510" s="2" t="s">
        <v>275</v>
      </c>
      <c r="I1510" s="4">
        <f>[1]Sheet1!I1510</f>
        <v>0</v>
      </c>
      <c r="J1510" s="3" t="str">
        <f t="shared" si="47"/>
        <v>6411_A1C1.webp</v>
      </c>
      <c r="K1510" s="5">
        <f>Sheet4!E1510</f>
        <v>24</v>
      </c>
      <c r="L1510" s="5"/>
      <c r="M1510" s="4"/>
    </row>
    <row r="1511" spans="1:13" x14ac:dyDescent="0.25">
      <c r="A1511" t="s">
        <v>2518</v>
      </c>
      <c r="B1511" t="s">
        <v>2709</v>
      </c>
      <c r="C1511" s="25">
        <v>6412</v>
      </c>
      <c r="D1511" s="28">
        <v>6412</v>
      </c>
      <c r="E1511" s="2" t="str">
        <f t="shared" si="48"/>
        <v>Same</v>
      </c>
      <c r="F1511" s="6" t="s">
        <v>1849</v>
      </c>
      <c r="H1511" s="2" t="s">
        <v>286</v>
      </c>
      <c r="I1511" s="4">
        <f>[1]Sheet1!I1511</f>
        <v>0</v>
      </c>
      <c r="J1511" s="3" t="str">
        <f t="shared" si="47"/>
        <v>6412_A1C1.webp</v>
      </c>
      <c r="K1511" s="5">
        <f>Sheet4!E1511</f>
        <v>24</v>
      </c>
      <c r="L1511" s="5"/>
      <c r="M1511" s="4"/>
    </row>
    <row r="1512" spans="1:13" x14ac:dyDescent="0.25">
      <c r="A1512" t="s">
        <v>2518</v>
      </c>
      <c r="B1512" t="s">
        <v>2709</v>
      </c>
      <c r="C1512" s="25">
        <v>6413</v>
      </c>
      <c r="D1512" s="28">
        <v>6413</v>
      </c>
      <c r="E1512" s="2" t="str">
        <f t="shared" si="48"/>
        <v>Same</v>
      </c>
      <c r="F1512" s="6" t="s">
        <v>1849</v>
      </c>
      <c r="H1512" s="2" t="s">
        <v>1453</v>
      </c>
      <c r="I1512" s="4">
        <f>[1]Sheet1!I1512</f>
        <v>0</v>
      </c>
      <c r="J1512" s="3" t="str">
        <f t="shared" si="47"/>
        <v>6413_A1C1.webp</v>
      </c>
      <c r="K1512" s="5">
        <f>Sheet4!E1512</f>
        <v>24</v>
      </c>
      <c r="L1512" s="5"/>
      <c r="M1512" s="4"/>
    </row>
    <row r="1513" spans="1:13" x14ac:dyDescent="0.25">
      <c r="A1513" t="s">
        <v>2518</v>
      </c>
      <c r="B1513" t="s">
        <v>2709</v>
      </c>
      <c r="C1513" s="25">
        <v>6414</v>
      </c>
      <c r="D1513" s="28">
        <v>6414</v>
      </c>
      <c r="E1513" s="2" t="str">
        <f t="shared" si="48"/>
        <v>Same</v>
      </c>
      <c r="F1513" s="6" t="s">
        <v>1849</v>
      </c>
      <c r="H1513" s="2" t="s">
        <v>271</v>
      </c>
      <c r="I1513" s="4">
        <f>[1]Sheet1!I1513</f>
        <v>0</v>
      </c>
      <c r="J1513" s="3" t="str">
        <f t="shared" si="47"/>
        <v>6414_A1C1.webp</v>
      </c>
      <c r="K1513" s="5">
        <f>Sheet4!E1513</f>
        <v>24</v>
      </c>
      <c r="L1513" s="5"/>
      <c r="M1513" s="4"/>
    </row>
    <row r="1514" spans="1:13" x14ac:dyDescent="0.25">
      <c r="A1514" t="s">
        <v>2518</v>
      </c>
      <c r="B1514" t="s">
        <v>2709</v>
      </c>
      <c r="C1514" s="25">
        <v>6415</v>
      </c>
      <c r="D1514" s="28">
        <v>6415</v>
      </c>
      <c r="E1514" s="2" t="str">
        <f t="shared" si="48"/>
        <v>Same</v>
      </c>
      <c r="F1514" s="6" t="s">
        <v>1849</v>
      </c>
      <c r="H1514" s="2" t="s">
        <v>277</v>
      </c>
      <c r="I1514" s="4">
        <f>[1]Sheet1!I1514</f>
        <v>0</v>
      </c>
      <c r="J1514" s="3" t="str">
        <f t="shared" si="47"/>
        <v>6415_A1C1.webp</v>
      </c>
      <c r="K1514" s="5">
        <f>Sheet4!E1514</f>
        <v>24</v>
      </c>
      <c r="L1514" s="5"/>
      <c r="M1514" s="4"/>
    </row>
    <row r="1515" spans="1:13" x14ac:dyDescent="0.25">
      <c r="A1515" t="s">
        <v>2518</v>
      </c>
      <c r="B1515" t="s">
        <v>2709</v>
      </c>
      <c r="C1515" s="25">
        <v>6416</v>
      </c>
      <c r="D1515" s="28">
        <v>6416</v>
      </c>
      <c r="E1515" s="2" t="str">
        <f t="shared" si="48"/>
        <v>Same</v>
      </c>
      <c r="F1515" s="6" t="s">
        <v>1849</v>
      </c>
      <c r="H1515" s="2" t="s">
        <v>295</v>
      </c>
      <c r="I1515" s="4">
        <f>[1]Sheet1!I1515</f>
        <v>0</v>
      </c>
      <c r="J1515" s="3" t="str">
        <f t="shared" si="47"/>
        <v>6416_A1C1.webp</v>
      </c>
      <c r="K1515" s="5">
        <f>Sheet4!E1515</f>
        <v>24</v>
      </c>
      <c r="L1515" s="5"/>
      <c r="M1515" s="4"/>
    </row>
    <row r="1516" spans="1:13" x14ac:dyDescent="0.25">
      <c r="A1516" t="s">
        <v>2518</v>
      </c>
      <c r="B1516" t="s">
        <v>2709</v>
      </c>
      <c r="C1516" s="25">
        <v>6417</v>
      </c>
      <c r="D1516" s="28">
        <v>6417</v>
      </c>
      <c r="E1516" s="2" t="str">
        <f t="shared" si="48"/>
        <v>Same</v>
      </c>
      <c r="F1516" s="6" t="s">
        <v>1849</v>
      </c>
      <c r="H1516" s="2" t="s">
        <v>293</v>
      </c>
      <c r="I1516" s="4">
        <f>[1]Sheet1!I1516</f>
        <v>0</v>
      </c>
      <c r="J1516" s="3" t="str">
        <f t="shared" si="47"/>
        <v>6417_A1C1.webp</v>
      </c>
      <c r="K1516" s="5">
        <f>Sheet4!E1516</f>
        <v>24</v>
      </c>
      <c r="L1516" s="5"/>
      <c r="M1516" s="4"/>
    </row>
    <row r="1517" spans="1:13" x14ac:dyDescent="0.25">
      <c r="A1517" t="s">
        <v>2518</v>
      </c>
      <c r="B1517" t="s">
        <v>2709</v>
      </c>
      <c r="C1517" s="25">
        <v>6418</v>
      </c>
      <c r="D1517" s="28">
        <v>6418</v>
      </c>
      <c r="E1517" s="2" t="str">
        <f t="shared" si="48"/>
        <v>Same</v>
      </c>
      <c r="F1517" s="6" t="s">
        <v>1849</v>
      </c>
      <c r="H1517" s="2" t="s">
        <v>290</v>
      </c>
      <c r="I1517" s="4">
        <f>[1]Sheet1!I1517</f>
        <v>0</v>
      </c>
      <c r="J1517" s="3" t="str">
        <f t="shared" si="47"/>
        <v>6418_A1C1.webp</v>
      </c>
      <c r="K1517" s="5">
        <f>Sheet4!E1517</f>
        <v>24</v>
      </c>
      <c r="L1517" s="5"/>
      <c r="M1517" s="4"/>
    </row>
    <row r="1518" spans="1:13" x14ac:dyDescent="0.25">
      <c r="A1518" t="s">
        <v>4082</v>
      </c>
      <c r="B1518" t="s">
        <v>1115</v>
      </c>
      <c r="C1518" s="25">
        <v>6425</v>
      </c>
      <c r="D1518" s="28">
        <v>6425</v>
      </c>
      <c r="E1518" s="2" t="str">
        <f t="shared" si="48"/>
        <v>Same</v>
      </c>
      <c r="F1518" s="6" t="s">
        <v>1943</v>
      </c>
      <c r="G1518" s="3">
        <v>18.75</v>
      </c>
      <c r="H1518" s="2" t="s">
        <v>1454</v>
      </c>
      <c r="I1518" s="4">
        <f>[1]Sheet1!I1518</f>
        <v>3325</v>
      </c>
      <c r="J1518" s="3" t="str">
        <f t="shared" si="47"/>
        <v>6425_A1C1.webp</v>
      </c>
      <c r="K1518" s="5">
        <f>Sheet4!E1518</f>
        <v>12</v>
      </c>
      <c r="L1518" s="5" t="s">
        <v>5278</v>
      </c>
      <c r="M1518" s="4"/>
    </row>
    <row r="1519" spans="1:13" x14ac:dyDescent="0.25">
      <c r="A1519" t="s">
        <v>4082</v>
      </c>
      <c r="B1519" t="s">
        <v>1115</v>
      </c>
      <c r="C1519" s="25">
        <v>6426</v>
      </c>
      <c r="D1519" s="28">
        <v>6426</v>
      </c>
      <c r="E1519" s="2" t="str">
        <f t="shared" si="48"/>
        <v>Same</v>
      </c>
      <c r="F1519" s="6" t="s">
        <v>2045</v>
      </c>
      <c r="G1519" s="3">
        <v>14.75</v>
      </c>
      <c r="H1519" s="2" t="s">
        <v>1455</v>
      </c>
      <c r="I1519" s="4">
        <f>[1]Sheet1!I1519</f>
        <v>668</v>
      </c>
      <c r="J1519" s="3" t="str">
        <f t="shared" si="47"/>
        <v>6426_A1C1.webp</v>
      </c>
      <c r="K1519" s="5">
        <f>Sheet4!E1519</f>
        <v>12</v>
      </c>
      <c r="L1519" s="5" t="s">
        <v>5278</v>
      </c>
      <c r="M1519" s="4"/>
    </row>
    <row r="1520" spans="1:13" x14ac:dyDescent="0.25">
      <c r="A1520" t="s">
        <v>4082</v>
      </c>
      <c r="B1520" t="s">
        <v>1115</v>
      </c>
      <c r="C1520" s="25">
        <v>6427</v>
      </c>
      <c r="D1520" s="28">
        <v>6427</v>
      </c>
      <c r="E1520" s="2" t="str">
        <f t="shared" si="48"/>
        <v>Same</v>
      </c>
      <c r="F1520" s="6" t="s">
        <v>2045</v>
      </c>
      <c r="G1520" s="3">
        <v>14.75</v>
      </c>
      <c r="H1520" s="2" t="s">
        <v>1456</v>
      </c>
      <c r="I1520" s="4">
        <f>[1]Sheet1!I1520</f>
        <v>329</v>
      </c>
      <c r="J1520" s="3" t="str">
        <f t="shared" si="47"/>
        <v>6427_A1C1.webp</v>
      </c>
      <c r="K1520" s="5">
        <f>Sheet4!E1520</f>
        <v>12</v>
      </c>
      <c r="L1520" s="5" t="s">
        <v>5278</v>
      </c>
      <c r="M1520" s="4"/>
    </row>
    <row r="1521" spans="1:13" x14ac:dyDescent="0.25">
      <c r="A1521" t="s">
        <v>4082</v>
      </c>
      <c r="B1521" t="s">
        <v>1115</v>
      </c>
      <c r="C1521" s="25">
        <v>6428</v>
      </c>
      <c r="D1521" s="28">
        <v>6428</v>
      </c>
      <c r="E1521" s="2" t="str">
        <f t="shared" si="48"/>
        <v>Same</v>
      </c>
      <c r="F1521" s="6" t="s">
        <v>2046</v>
      </c>
      <c r="G1521" s="3">
        <v>14.75</v>
      </c>
      <c r="H1521" s="2" t="s">
        <v>1457</v>
      </c>
      <c r="I1521" s="4">
        <f>[1]Sheet1!I1521</f>
        <v>444</v>
      </c>
      <c r="J1521" s="3" t="str">
        <f t="shared" si="47"/>
        <v>6428_A1C1.webp</v>
      </c>
      <c r="K1521" s="5">
        <f>Sheet4!E1521</f>
        <v>12</v>
      </c>
      <c r="L1521" s="5" t="s">
        <v>5278</v>
      </c>
      <c r="M1521" s="4"/>
    </row>
    <row r="1522" spans="1:13" x14ac:dyDescent="0.25">
      <c r="A1522" t="s">
        <v>4082</v>
      </c>
      <c r="B1522" t="s">
        <v>1115</v>
      </c>
      <c r="C1522" s="25">
        <v>6429</v>
      </c>
      <c r="D1522" s="28">
        <v>6429</v>
      </c>
      <c r="E1522" s="2" t="str">
        <f t="shared" si="48"/>
        <v>Same</v>
      </c>
      <c r="F1522" s="6" t="s">
        <v>2046</v>
      </c>
      <c r="G1522" s="3">
        <v>14.75</v>
      </c>
      <c r="H1522" s="2" t="s">
        <v>1458</v>
      </c>
      <c r="I1522" s="4">
        <f>[1]Sheet1!I1522</f>
        <v>179</v>
      </c>
      <c r="J1522" s="3" t="str">
        <f t="shared" si="47"/>
        <v>6429_A1C1.webp</v>
      </c>
      <c r="K1522" s="5">
        <f>Sheet4!E1522</f>
        <v>12</v>
      </c>
      <c r="L1522" s="5" t="s">
        <v>5278</v>
      </c>
      <c r="M1522" s="4"/>
    </row>
    <row r="1523" spans="1:13" x14ac:dyDescent="0.25">
      <c r="A1523" t="s">
        <v>4082</v>
      </c>
      <c r="B1523" t="s">
        <v>1115</v>
      </c>
      <c r="C1523" s="25">
        <v>6430</v>
      </c>
      <c r="D1523" s="28">
        <v>6430</v>
      </c>
      <c r="E1523" s="2" t="str">
        <f t="shared" si="48"/>
        <v>Same</v>
      </c>
      <c r="F1523" s="6" t="s">
        <v>2047</v>
      </c>
      <c r="G1523" s="3">
        <v>14.75</v>
      </c>
      <c r="H1523" s="2" t="s">
        <v>1459</v>
      </c>
      <c r="I1523" s="4">
        <f>[1]Sheet1!I1523</f>
        <v>159</v>
      </c>
      <c r="J1523" s="3" t="str">
        <f t="shared" si="47"/>
        <v>6430_A1C1.webp</v>
      </c>
      <c r="K1523" s="5">
        <f>Sheet4!E1523</f>
        <v>12</v>
      </c>
      <c r="L1523" s="5" t="s">
        <v>5278</v>
      </c>
      <c r="M1523" s="4"/>
    </row>
    <row r="1524" spans="1:13" x14ac:dyDescent="0.25">
      <c r="A1524" t="s">
        <v>3386</v>
      </c>
      <c r="B1524" t="s">
        <v>4838</v>
      </c>
      <c r="C1524" s="25">
        <v>6431</v>
      </c>
      <c r="D1524" s="28">
        <v>6431</v>
      </c>
      <c r="E1524" s="2" t="str">
        <f t="shared" si="48"/>
        <v>Same</v>
      </c>
      <c r="F1524" s="6" t="s">
        <v>2048</v>
      </c>
      <c r="G1524" s="3">
        <v>19.5</v>
      </c>
      <c r="H1524" s="2" t="s">
        <v>1460</v>
      </c>
      <c r="I1524" s="4">
        <f>[1]Sheet1!I1524</f>
        <v>3395</v>
      </c>
      <c r="J1524" s="3" t="str">
        <f t="shared" si="47"/>
        <v>6431_A1C1.webp</v>
      </c>
      <c r="K1524" s="5">
        <f>Sheet4!E1524</f>
        <v>12</v>
      </c>
      <c r="L1524" s="5" t="s">
        <v>5278</v>
      </c>
      <c r="M1524" s="4"/>
    </row>
    <row r="1525" spans="1:13" x14ac:dyDescent="0.25">
      <c r="A1525" t="s">
        <v>3386</v>
      </c>
      <c r="B1525" t="s">
        <v>4838</v>
      </c>
      <c r="C1525" s="25">
        <v>6432</v>
      </c>
      <c r="D1525" s="28">
        <v>6432</v>
      </c>
      <c r="E1525" s="2" t="str">
        <f t="shared" si="48"/>
        <v>Same</v>
      </c>
      <c r="F1525" s="6" t="s">
        <v>2048</v>
      </c>
      <c r="G1525" s="3">
        <v>19.510000000000002</v>
      </c>
      <c r="H1525" s="2" t="s">
        <v>1461</v>
      </c>
      <c r="I1525" s="4">
        <f>[1]Sheet1!I1525</f>
        <v>6506</v>
      </c>
      <c r="J1525" s="3" t="str">
        <f t="shared" si="47"/>
        <v>6432_A1C1.webp</v>
      </c>
      <c r="K1525" s="5">
        <f>Sheet4!E1525</f>
        <v>12</v>
      </c>
      <c r="L1525" s="5" t="s">
        <v>5278</v>
      </c>
      <c r="M1525" s="4"/>
    </row>
    <row r="1526" spans="1:13" x14ac:dyDescent="0.25">
      <c r="A1526" t="s">
        <v>3386</v>
      </c>
      <c r="B1526" t="s">
        <v>4838</v>
      </c>
      <c r="C1526" s="25">
        <v>6433</v>
      </c>
      <c r="D1526" s="28">
        <v>6433</v>
      </c>
      <c r="E1526" s="2" t="str">
        <f t="shared" si="48"/>
        <v>Same</v>
      </c>
      <c r="F1526" s="6" t="s">
        <v>2048</v>
      </c>
      <c r="G1526" s="3">
        <v>19.5</v>
      </c>
      <c r="H1526" s="2" t="s">
        <v>1462</v>
      </c>
      <c r="I1526" s="4">
        <f>[1]Sheet1!I1526</f>
        <v>1485</v>
      </c>
      <c r="J1526" s="3" t="str">
        <f t="shared" si="47"/>
        <v>6433_A1C1.webp</v>
      </c>
      <c r="K1526" s="5">
        <f>Sheet4!E1526</f>
        <v>12</v>
      </c>
      <c r="L1526" s="5" t="s">
        <v>5278</v>
      </c>
      <c r="M1526" s="4"/>
    </row>
    <row r="1527" spans="1:13" x14ac:dyDescent="0.25">
      <c r="A1527" t="s">
        <v>3386</v>
      </c>
      <c r="B1527" t="s">
        <v>4838</v>
      </c>
      <c r="C1527" s="25">
        <v>6434</v>
      </c>
      <c r="D1527" s="28">
        <v>6434</v>
      </c>
      <c r="E1527" s="2" t="str">
        <f t="shared" si="48"/>
        <v>Same</v>
      </c>
      <c r="F1527" s="6" t="s">
        <v>2048</v>
      </c>
      <c r="G1527" s="3">
        <v>19.5</v>
      </c>
      <c r="H1527" s="2" t="s">
        <v>1463</v>
      </c>
      <c r="I1527" s="4">
        <f>[1]Sheet1!I1527</f>
        <v>1520</v>
      </c>
      <c r="J1527" s="3" t="str">
        <f t="shared" si="47"/>
        <v>6434_A1C1.webp</v>
      </c>
      <c r="K1527" s="5">
        <f>Sheet4!E1527</f>
        <v>12</v>
      </c>
      <c r="L1527" s="5" t="s">
        <v>5278</v>
      </c>
      <c r="M1527" s="4"/>
    </row>
    <row r="1528" spans="1:13" x14ac:dyDescent="0.25">
      <c r="A1528" t="s">
        <v>3386</v>
      </c>
      <c r="B1528" t="s">
        <v>4838</v>
      </c>
      <c r="C1528" s="25">
        <v>6435</v>
      </c>
      <c r="D1528" s="28">
        <v>6435</v>
      </c>
      <c r="E1528" s="2" t="str">
        <f t="shared" si="48"/>
        <v>Same</v>
      </c>
      <c r="F1528" s="6" t="s">
        <v>2048</v>
      </c>
      <c r="G1528" s="3">
        <v>19.5</v>
      </c>
      <c r="H1528" s="2" t="s">
        <v>1464</v>
      </c>
      <c r="I1528" s="4">
        <f>[1]Sheet1!I1528</f>
        <v>1217</v>
      </c>
      <c r="J1528" s="3" t="str">
        <f t="shared" si="47"/>
        <v>6435_A1C1.webp</v>
      </c>
      <c r="K1528" s="5">
        <f>Sheet4!E1528</f>
        <v>12</v>
      </c>
      <c r="L1528" s="5" t="s">
        <v>5278</v>
      </c>
      <c r="M1528" s="4"/>
    </row>
    <row r="1529" spans="1:13" x14ac:dyDescent="0.25">
      <c r="B1529" t="s">
        <v>4838</v>
      </c>
      <c r="C1529" s="25">
        <v>6436</v>
      </c>
      <c r="D1529" s="28">
        <v>6436</v>
      </c>
      <c r="E1529" s="2" t="str">
        <f t="shared" si="48"/>
        <v>Same</v>
      </c>
      <c r="F1529" s="2" t="s">
        <v>5375</v>
      </c>
      <c r="H1529" s="2" t="s">
        <v>5374</v>
      </c>
      <c r="I1529" s="4">
        <f>[1]Sheet1!I1529</f>
        <v>287</v>
      </c>
      <c r="J1529" s="3" t="str">
        <f t="shared" si="47"/>
        <v>6436_A1C1.webp</v>
      </c>
      <c r="K1529" s="5">
        <f>Sheet4!E1529</f>
        <v>12</v>
      </c>
      <c r="L1529" s="5" t="s">
        <v>5278</v>
      </c>
      <c r="M1529" s="4"/>
    </row>
    <row r="1530" spans="1:13" x14ac:dyDescent="0.25">
      <c r="A1530" t="s">
        <v>4082</v>
      </c>
      <c r="B1530" t="s">
        <v>1115</v>
      </c>
      <c r="C1530" s="25">
        <v>6438</v>
      </c>
      <c r="D1530" s="28">
        <v>6438</v>
      </c>
      <c r="E1530" s="2" t="str">
        <f t="shared" si="48"/>
        <v>Same</v>
      </c>
      <c r="F1530" s="6" t="s">
        <v>2049</v>
      </c>
      <c r="G1530" s="3">
        <v>36.5</v>
      </c>
      <c r="H1530" s="2" t="s">
        <v>1465</v>
      </c>
      <c r="I1530" s="4">
        <f>[1]Sheet1!I1530</f>
        <v>654</v>
      </c>
      <c r="J1530" s="3" t="str">
        <f t="shared" si="47"/>
        <v>6438_A1C1.webp</v>
      </c>
      <c r="K1530" s="5">
        <f>Sheet4!E1530</f>
        <v>6</v>
      </c>
      <c r="L1530" s="5" t="s">
        <v>5278</v>
      </c>
      <c r="M1530" s="4"/>
    </row>
    <row r="1531" spans="1:13" x14ac:dyDescent="0.25">
      <c r="A1531" t="s">
        <v>3386</v>
      </c>
      <c r="B1531" t="s">
        <v>4838</v>
      </c>
      <c r="C1531" s="25">
        <v>6440</v>
      </c>
      <c r="D1531" s="28">
        <v>6440</v>
      </c>
      <c r="E1531" s="2" t="str">
        <f t="shared" si="48"/>
        <v>Same</v>
      </c>
      <c r="F1531" s="2" t="s">
        <v>2048</v>
      </c>
      <c r="G1531" s="3"/>
      <c r="H1531" s="2" t="s">
        <v>5368</v>
      </c>
      <c r="I1531" s="4">
        <f>[1]Sheet1!I1531</f>
        <v>0</v>
      </c>
      <c r="J1531" s="3" t="str">
        <f t="shared" si="47"/>
        <v>6440_A1C1.webp</v>
      </c>
      <c r="K1531" s="5">
        <f>Sheet4!E1531</f>
        <v>12</v>
      </c>
      <c r="L1531" s="5" t="s">
        <v>5278</v>
      </c>
      <c r="M1531" s="4"/>
    </row>
    <row r="1532" spans="1:13" x14ac:dyDescent="0.25">
      <c r="A1532" t="s">
        <v>3386</v>
      </c>
      <c r="B1532" t="s">
        <v>4838</v>
      </c>
      <c r="C1532" s="25">
        <v>6441</v>
      </c>
      <c r="D1532" s="28">
        <v>6441</v>
      </c>
      <c r="E1532" s="2" t="str">
        <f t="shared" si="48"/>
        <v>Same</v>
      </c>
      <c r="F1532" s="2" t="s">
        <v>2048</v>
      </c>
      <c r="G1532" s="3"/>
      <c r="H1532" s="2" t="s">
        <v>5369</v>
      </c>
      <c r="I1532" s="4">
        <f>[1]Sheet1!I1532</f>
        <v>0</v>
      </c>
      <c r="J1532" s="3" t="str">
        <f t="shared" si="47"/>
        <v>6441_A1C1.webp</v>
      </c>
      <c r="K1532" s="5">
        <f>Sheet4!E1532</f>
        <v>12</v>
      </c>
      <c r="L1532" s="5" t="s">
        <v>5278</v>
      </c>
      <c r="M1532" s="4"/>
    </row>
    <row r="1533" spans="1:13" x14ac:dyDescent="0.25">
      <c r="A1533" t="s">
        <v>2671</v>
      </c>
      <c r="B1533" t="s">
        <v>4838</v>
      </c>
      <c r="C1533" s="25">
        <v>6442</v>
      </c>
      <c r="D1533" s="28">
        <v>6442</v>
      </c>
      <c r="E1533" s="2" t="str">
        <f t="shared" si="48"/>
        <v>Same</v>
      </c>
      <c r="F1533" s="2" t="s">
        <v>2048</v>
      </c>
      <c r="G1533" s="3"/>
      <c r="H1533" s="2" t="s">
        <v>5370</v>
      </c>
      <c r="I1533" s="4">
        <f>[1]Sheet1!I1533</f>
        <v>0</v>
      </c>
      <c r="J1533" s="3" t="str">
        <f t="shared" si="47"/>
        <v>6442_A1C1.webp</v>
      </c>
      <c r="K1533" s="5">
        <f>Sheet4!E1533</f>
        <v>48</v>
      </c>
      <c r="L1533" s="5" t="s">
        <v>5278</v>
      </c>
      <c r="M1533" s="4"/>
    </row>
    <row r="1534" spans="1:13" x14ac:dyDescent="0.25">
      <c r="A1534" t="s">
        <v>2671</v>
      </c>
      <c r="B1534" t="s">
        <v>4838</v>
      </c>
      <c r="C1534" s="25">
        <v>6443</v>
      </c>
      <c r="D1534" s="28">
        <v>6443</v>
      </c>
      <c r="E1534" s="2" t="str">
        <f t="shared" si="48"/>
        <v>Same</v>
      </c>
      <c r="F1534" s="2" t="s">
        <v>2048</v>
      </c>
      <c r="H1534" s="2" t="s">
        <v>5376</v>
      </c>
      <c r="I1534" s="4">
        <f>[1]Sheet1!I1534</f>
        <v>0</v>
      </c>
      <c r="J1534" s="3" t="str">
        <f t="shared" si="47"/>
        <v>6443_A1C1.webp</v>
      </c>
      <c r="K1534" s="5">
        <f>Sheet4!E1534</f>
        <v>44</v>
      </c>
      <c r="L1534" s="5" t="s">
        <v>5278</v>
      </c>
      <c r="M1534" s="4"/>
    </row>
    <row r="1535" spans="1:13" x14ac:dyDescent="0.25">
      <c r="A1535" t="s">
        <v>3386</v>
      </c>
      <c r="B1535" t="s">
        <v>4838</v>
      </c>
      <c r="C1535" s="25">
        <v>6445</v>
      </c>
      <c r="D1535" s="28">
        <v>6445</v>
      </c>
      <c r="E1535" s="2" t="str">
        <f t="shared" si="48"/>
        <v>Same</v>
      </c>
      <c r="F1535" s="2" t="s">
        <v>5378</v>
      </c>
      <c r="H1535" s="2" t="s">
        <v>5377</v>
      </c>
      <c r="I1535" s="4">
        <f>[1]Sheet1!I1535</f>
        <v>447</v>
      </c>
      <c r="J1535" s="3" t="str">
        <f t="shared" si="47"/>
        <v>6445_A1C1.webp</v>
      </c>
      <c r="K1535" s="5">
        <f>Sheet4!E1535</f>
        <v>12</v>
      </c>
      <c r="L1535" s="5" t="s">
        <v>5278</v>
      </c>
      <c r="M1535" s="4"/>
    </row>
    <row r="1536" spans="1:13" x14ac:dyDescent="0.25">
      <c r="A1536" t="s">
        <v>2518</v>
      </c>
      <c r="B1536" t="s">
        <v>2526</v>
      </c>
      <c r="C1536" s="25">
        <v>6656</v>
      </c>
      <c r="D1536" s="28">
        <v>6656</v>
      </c>
      <c r="E1536" s="2" t="str">
        <f t="shared" si="48"/>
        <v>Same</v>
      </c>
      <c r="F1536" s="6" t="s">
        <v>1880</v>
      </c>
      <c r="H1536" s="2" t="s">
        <v>1466</v>
      </c>
      <c r="I1536" s="4">
        <f>[1]Sheet1!I1536</f>
        <v>1321</v>
      </c>
      <c r="J1536" s="3" t="str">
        <f t="shared" si="47"/>
        <v>6656_A1C1.webp</v>
      </c>
      <c r="K1536" s="5">
        <f>Sheet4!E1536</f>
        <v>8</v>
      </c>
      <c r="L1536" s="5"/>
      <c r="M1536" s="4"/>
    </row>
    <row r="1537" spans="1:13" x14ac:dyDescent="0.25">
      <c r="A1537" t="s">
        <v>2518</v>
      </c>
      <c r="B1537" t="s">
        <v>3332</v>
      </c>
      <c r="C1537" s="25">
        <v>6697</v>
      </c>
      <c r="D1537" s="28">
        <v>6697</v>
      </c>
      <c r="E1537" s="2" t="str">
        <f t="shared" si="48"/>
        <v>Same</v>
      </c>
      <c r="F1537" s="6" t="s">
        <v>1914</v>
      </c>
      <c r="H1537" s="2" t="s">
        <v>1467</v>
      </c>
      <c r="I1537" s="4">
        <f>[1]Sheet1!I1537</f>
        <v>0</v>
      </c>
      <c r="J1537" s="3" t="str">
        <f t="shared" si="47"/>
        <v>6697_A1C1.webp</v>
      </c>
      <c r="K1537" s="5">
        <f>Sheet4!E1537</f>
        <v>4</v>
      </c>
      <c r="L1537" s="5"/>
      <c r="M1537" s="4"/>
    </row>
    <row r="1538" spans="1:13" x14ac:dyDescent="0.25">
      <c r="A1538" t="s">
        <v>2518</v>
      </c>
      <c r="B1538" t="s">
        <v>2789</v>
      </c>
      <c r="C1538" s="25">
        <v>6700</v>
      </c>
      <c r="D1538" s="28">
        <v>6700</v>
      </c>
      <c r="E1538" s="2" t="str">
        <f t="shared" si="48"/>
        <v>Same</v>
      </c>
      <c r="F1538" s="6" t="s">
        <v>1896</v>
      </c>
      <c r="H1538" s="2" t="s">
        <v>1468</v>
      </c>
      <c r="I1538" s="4">
        <f>[1]Sheet1!I1538</f>
        <v>0</v>
      </c>
      <c r="J1538" s="3" t="str">
        <f t="shared" ref="J1538:J1601" si="49">C1538 &amp; "_A1C1.webp"</f>
        <v>6700_A1C1.webp</v>
      </c>
      <c r="K1538" s="5">
        <f>Sheet4!E1538</f>
        <v>12</v>
      </c>
      <c r="L1538" s="5"/>
      <c r="M1538" s="4"/>
    </row>
    <row r="1539" spans="1:13" x14ac:dyDescent="0.25">
      <c r="A1539" t="s">
        <v>2518</v>
      </c>
      <c r="B1539" t="s">
        <v>2789</v>
      </c>
      <c r="C1539" s="25">
        <v>6702</v>
      </c>
      <c r="D1539" s="28">
        <v>6702</v>
      </c>
      <c r="E1539" s="2" t="str">
        <f t="shared" si="48"/>
        <v>Same</v>
      </c>
      <c r="F1539" s="6" t="s">
        <v>1896</v>
      </c>
      <c r="H1539" s="2" t="s">
        <v>1469</v>
      </c>
      <c r="I1539" s="4">
        <f>[1]Sheet1!I1539</f>
        <v>0</v>
      </c>
      <c r="J1539" s="3" t="str">
        <f t="shared" si="49"/>
        <v>6702_A1C1.webp</v>
      </c>
      <c r="K1539" s="5">
        <f>Sheet4!E1539</f>
        <v>12</v>
      </c>
      <c r="L1539" s="5"/>
      <c r="M1539" s="4"/>
    </row>
    <row r="1540" spans="1:13" x14ac:dyDescent="0.25">
      <c r="A1540" t="s">
        <v>2518</v>
      </c>
      <c r="B1540" t="s">
        <v>2789</v>
      </c>
      <c r="C1540" s="25">
        <v>6703</v>
      </c>
      <c r="D1540" s="28">
        <v>6703</v>
      </c>
      <c r="E1540" s="2" t="str">
        <f t="shared" si="48"/>
        <v>Same</v>
      </c>
      <c r="F1540" s="6" t="s">
        <v>1896</v>
      </c>
      <c r="H1540" s="2" t="s">
        <v>1470</v>
      </c>
      <c r="I1540" s="4">
        <f>[1]Sheet1!I1540</f>
        <v>0</v>
      </c>
      <c r="J1540" s="3" t="str">
        <f t="shared" si="49"/>
        <v>6703_A1C1.webp</v>
      </c>
      <c r="K1540" s="5">
        <f>Sheet4!E1540</f>
        <v>12</v>
      </c>
      <c r="L1540" s="5"/>
      <c r="M1540" s="4"/>
    </row>
    <row r="1541" spans="1:13" x14ac:dyDescent="0.25">
      <c r="A1541" t="s">
        <v>2518</v>
      </c>
      <c r="B1541" t="s">
        <v>2789</v>
      </c>
      <c r="C1541" s="25">
        <v>6706</v>
      </c>
      <c r="D1541" s="28">
        <v>6706</v>
      </c>
      <c r="E1541" s="2" t="str">
        <f t="shared" si="48"/>
        <v>Same</v>
      </c>
      <c r="F1541" s="6" t="s">
        <v>1896</v>
      </c>
      <c r="H1541" s="2" t="s">
        <v>1471</v>
      </c>
      <c r="I1541" s="4">
        <f>[1]Sheet1!I1541</f>
        <v>0</v>
      </c>
      <c r="J1541" s="3" t="str">
        <f t="shared" si="49"/>
        <v>6706_A1C1.webp</v>
      </c>
      <c r="K1541" s="5">
        <f>Sheet4!E1541</f>
        <v>12</v>
      </c>
      <c r="L1541" s="5"/>
      <c r="M1541" s="4"/>
    </row>
    <row r="1542" spans="1:13" x14ac:dyDescent="0.25">
      <c r="A1542" t="s">
        <v>2518</v>
      </c>
      <c r="B1542" t="s">
        <v>2922</v>
      </c>
      <c r="C1542" s="25">
        <v>6709</v>
      </c>
      <c r="D1542" s="28">
        <v>6709</v>
      </c>
      <c r="E1542" s="2" t="str">
        <f t="shared" si="48"/>
        <v>Same</v>
      </c>
      <c r="F1542" s="6" t="s">
        <v>2050</v>
      </c>
      <c r="H1542" s="2" t="s">
        <v>1472</v>
      </c>
      <c r="I1542" s="4">
        <f>[1]Sheet1!I1542</f>
        <v>924</v>
      </c>
      <c r="J1542" s="3" t="str">
        <f t="shared" si="49"/>
        <v>6709_A1C1.webp</v>
      </c>
      <c r="K1542" s="5">
        <f>Sheet4!E1542</f>
        <v>4</v>
      </c>
      <c r="L1542" s="5"/>
      <c r="M1542" s="4"/>
    </row>
    <row r="1543" spans="1:13" x14ac:dyDescent="0.25">
      <c r="A1543" t="s">
        <v>2518</v>
      </c>
      <c r="B1543" t="s">
        <v>2922</v>
      </c>
      <c r="C1543" s="25">
        <v>6710</v>
      </c>
      <c r="D1543" s="28">
        <v>6710</v>
      </c>
      <c r="E1543" s="2" t="str">
        <f t="shared" si="48"/>
        <v>Same</v>
      </c>
      <c r="F1543" s="6" t="s">
        <v>1897</v>
      </c>
      <c r="H1543" s="2" t="s">
        <v>1473</v>
      </c>
      <c r="I1543" s="4">
        <f>[1]Sheet1!I1543</f>
        <v>882</v>
      </c>
      <c r="J1543" s="3" t="str">
        <f t="shared" si="49"/>
        <v>6710_A1C1.webp</v>
      </c>
      <c r="K1543" s="5">
        <f>Sheet4!E1543</f>
        <v>4</v>
      </c>
      <c r="L1543" s="5"/>
      <c r="M1543" s="4"/>
    </row>
    <row r="1544" spans="1:13" x14ac:dyDescent="0.25">
      <c r="A1544" t="s">
        <v>2518</v>
      </c>
      <c r="B1544" t="s">
        <v>2922</v>
      </c>
      <c r="C1544" s="25">
        <v>6711</v>
      </c>
      <c r="D1544" s="28">
        <v>6711</v>
      </c>
      <c r="E1544" s="2" t="str">
        <f t="shared" ref="E1544:E1608" si="50">IF(C1544=D1544, "Same","New")</f>
        <v>Same</v>
      </c>
      <c r="F1544" s="6" t="s">
        <v>1897</v>
      </c>
      <c r="H1544" s="2" t="s">
        <v>1474</v>
      </c>
      <c r="I1544" s="4">
        <f>[1]Sheet1!I1544</f>
        <v>756</v>
      </c>
      <c r="J1544" s="3" t="str">
        <f t="shared" si="49"/>
        <v>6711_A1C1.webp</v>
      </c>
      <c r="K1544" s="5">
        <f>Sheet4!E1544</f>
        <v>4</v>
      </c>
      <c r="L1544" s="5"/>
      <c r="M1544" s="4"/>
    </row>
    <row r="1545" spans="1:13" x14ac:dyDescent="0.25">
      <c r="A1545" t="s">
        <v>2518</v>
      </c>
      <c r="B1545" t="s">
        <v>2922</v>
      </c>
      <c r="C1545" s="25">
        <v>6712</v>
      </c>
      <c r="D1545" s="28">
        <v>6712</v>
      </c>
      <c r="E1545" s="2" t="str">
        <f t="shared" si="50"/>
        <v>Same</v>
      </c>
      <c r="F1545" s="6" t="s">
        <v>1897</v>
      </c>
      <c r="H1545" s="2" t="s">
        <v>1475</v>
      </c>
      <c r="I1545" s="4">
        <f>[1]Sheet1!I1545</f>
        <v>378</v>
      </c>
      <c r="J1545" s="3" t="str">
        <f t="shared" si="49"/>
        <v>6712_A1C1.webp</v>
      </c>
      <c r="K1545" s="5">
        <f>Sheet4!E1545</f>
        <v>4</v>
      </c>
      <c r="L1545" s="5"/>
      <c r="M1545" s="4"/>
    </row>
    <row r="1546" spans="1:13" x14ac:dyDescent="0.25">
      <c r="A1546" t="s">
        <v>2518</v>
      </c>
      <c r="B1546" t="s">
        <v>2526</v>
      </c>
      <c r="C1546" s="25">
        <v>6713</v>
      </c>
      <c r="D1546" s="28">
        <v>6713</v>
      </c>
      <c r="E1546" s="2" t="str">
        <f t="shared" si="50"/>
        <v>Same</v>
      </c>
      <c r="F1546" s="6" t="s">
        <v>1880</v>
      </c>
      <c r="H1546" s="2" t="s">
        <v>1476</v>
      </c>
      <c r="I1546" s="4">
        <f>[1]Sheet1!I1546</f>
        <v>0</v>
      </c>
      <c r="J1546" s="3" t="str">
        <f t="shared" si="49"/>
        <v>6713_A1C1.webp</v>
      </c>
      <c r="K1546" s="5">
        <f>Sheet4!E1546</f>
        <v>6</v>
      </c>
      <c r="L1546" s="5"/>
      <c r="M1546" s="4"/>
    </row>
    <row r="1547" spans="1:13" x14ac:dyDescent="0.25">
      <c r="A1547" t="s">
        <v>2518</v>
      </c>
      <c r="B1547" t="s">
        <v>2526</v>
      </c>
      <c r="C1547" s="25">
        <v>6714</v>
      </c>
      <c r="D1547" s="28">
        <v>6714</v>
      </c>
      <c r="E1547" s="2" t="str">
        <f t="shared" si="50"/>
        <v>Same</v>
      </c>
      <c r="F1547" s="6" t="s">
        <v>1880</v>
      </c>
      <c r="H1547" s="2" t="s">
        <v>1477</v>
      </c>
      <c r="I1547" s="4">
        <f>[1]Sheet1!I1547</f>
        <v>0</v>
      </c>
      <c r="J1547" s="3" t="str">
        <f t="shared" si="49"/>
        <v>6714_A1C1.webp</v>
      </c>
      <c r="K1547" s="5">
        <f>Sheet4!E1547</f>
        <v>6</v>
      </c>
      <c r="L1547" s="5"/>
      <c r="M1547" s="4"/>
    </row>
    <row r="1548" spans="1:13" x14ac:dyDescent="0.25">
      <c r="A1548" t="s">
        <v>2518</v>
      </c>
      <c r="B1548" t="s">
        <v>2526</v>
      </c>
      <c r="C1548" s="25">
        <v>6715</v>
      </c>
      <c r="D1548" s="28">
        <v>6715</v>
      </c>
      <c r="E1548" s="2" t="str">
        <f t="shared" si="50"/>
        <v>Same</v>
      </c>
      <c r="F1548" s="6" t="s">
        <v>1880</v>
      </c>
      <c r="H1548" s="2" t="s">
        <v>1478</v>
      </c>
      <c r="I1548" s="4">
        <f>[1]Sheet1!I1548</f>
        <v>0</v>
      </c>
      <c r="J1548" s="3" t="str">
        <f t="shared" si="49"/>
        <v>6715_A1C1.webp</v>
      </c>
      <c r="K1548" s="5">
        <f>Sheet4!E1548</f>
        <v>6</v>
      </c>
      <c r="L1548" s="5"/>
      <c r="M1548" s="4"/>
    </row>
    <row r="1549" spans="1:13" x14ac:dyDescent="0.25">
      <c r="A1549" t="s">
        <v>2518</v>
      </c>
      <c r="B1549" t="s">
        <v>2526</v>
      </c>
      <c r="C1549" s="25">
        <v>6718</v>
      </c>
      <c r="D1549" s="28">
        <v>6718</v>
      </c>
      <c r="E1549" s="2" t="str">
        <f t="shared" si="50"/>
        <v>Same</v>
      </c>
      <c r="F1549" s="6" t="s">
        <v>1880</v>
      </c>
      <c r="H1549" s="2" t="s">
        <v>1479</v>
      </c>
      <c r="I1549" s="4">
        <f>[1]Sheet1!I1549</f>
        <v>0</v>
      </c>
      <c r="J1549" s="3" t="str">
        <f t="shared" si="49"/>
        <v>6718_A1C1.webp</v>
      </c>
      <c r="K1549" s="5">
        <f>Sheet4!E1549</f>
        <v>6</v>
      </c>
      <c r="L1549" s="5"/>
      <c r="M1549" s="4"/>
    </row>
    <row r="1550" spans="1:13" x14ac:dyDescent="0.25">
      <c r="A1550" t="s">
        <v>2518</v>
      </c>
      <c r="B1550" t="s">
        <v>2526</v>
      </c>
      <c r="C1550" s="25">
        <v>6719</v>
      </c>
      <c r="D1550" s="28">
        <v>6719</v>
      </c>
      <c r="E1550" s="2" t="str">
        <f t="shared" si="50"/>
        <v>Same</v>
      </c>
      <c r="F1550" s="6" t="s">
        <v>1880</v>
      </c>
      <c r="H1550" s="2" t="s">
        <v>1480</v>
      </c>
      <c r="I1550" s="4">
        <f>[1]Sheet1!I1550</f>
        <v>0</v>
      </c>
      <c r="J1550" s="3" t="str">
        <f t="shared" si="49"/>
        <v>6719_A1C1.webp</v>
      </c>
      <c r="K1550" s="5">
        <f>Sheet4!E1550</f>
        <v>6</v>
      </c>
      <c r="L1550" s="5"/>
      <c r="M1550" s="4"/>
    </row>
    <row r="1551" spans="1:13" x14ac:dyDescent="0.25">
      <c r="A1551" t="s">
        <v>2518</v>
      </c>
      <c r="B1551" t="s">
        <v>2526</v>
      </c>
      <c r="C1551" s="25">
        <v>6720</v>
      </c>
      <c r="D1551" s="28">
        <v>6720</v>
      </c>
      <c r="E1551" s="2" t="str">
        <f t="shared" si="50"/>
        <v>Same</v>
      </c>
      <c r="F1551" s="6" t="s">
        <v>1880</v>
      </c>
      <c r="H1551" s="2" t="s">
        <v>1481</v>
      </c>
      <c r="I1551" s="4">
        <f>[1]Sheet1!I1551</f>
        <v>0</v>
      </c>
      <c r="J1551" s="3" t="str">
        <f t="shared" si="49"/>
        <v>6720_A1C1.webp</v>
      </c>
      <c r="K1551" s="5">
        <f>Sheet4!E1551</f>
        <v>6</v>
      </c>
      <c r="L1551" s="5"/>
      <c r="M1551" s="4"/>
    </row>
    <row r="1552" spans="1:13" x14ac:dyDescent="0.25">
      <c r="A1552" t="s">
        <v>2518</v>
      </c>
      <c r="B1552" t="s">
        <v>2526</v>
      </c>
      <c r="C1552" s="25">
        <v>6722</v>
      </c>
      <c r="D1552" s="28">
        <v>6722</v>
      </c>
      <c r="E1552" s="2" t="str">
        <f t="shared" si="50"/>
        <v>Same</v>
      </c>
      <c r="F1552" s="6" t="s">
        <v>1880</v>
      </c>
      <c r="H1552" s="2" t="s">
        <v>1482</v>
      </c>
      <c r="I1552" s="4">
        <f>[1]Sheet1!I1552</f>
        <v>0</v>
      </c>
      <c r="J1552" s="3" t="str">
        <f t="shared" si="49"/>
        <v>6722_A1C1.webp</v>
      </c>
      <c r="K1552" s="5">
        <f>Sheet4!E1552</f>
        <v>6</v>
      </c>
      <c r="L1552" s="5"/>
      <c r="M1552" s="4"/>
    </row>
    <row r="1553" spans="1:13" x14ac:dyDescent="0.25">
      <c r="A1553" t="s">
        <v>2518</v>
      </c>
      <c r="B1553" t="s">
        <v>2526</v>
      </c>
      <c r="C1553" s="25">
        <v>6728</v>
      </c>
      <c r="D1553" s="28">
        <v>6728</v>
      </c>
      <c r="E1553" s="2" t="str">
        <f t="shared" si="50"/>
        <v>Same</v>
      </c>
      <c r="F1553" s="6" t="s">
        <v>1880</v>
      </c>
      <c r="H1553" s="2" t="s">
        <v>1483</v>
      </c>
      <c r="I1553" s="4">
        <f>[1]Sheet1!I1553</f>
        <v>0</v>
      </c>
      <c r="J1553" s="3" t="str">
        <f t="shared" si="49"/>
        <v>6728_A1C1.webp</v>
      </c>
      <c r="K1553" s="5">
        <f>Sheet4!E1553</f>
        <v>6</v>
      </c>
      <c r="L1553" s="5"/>
    </row>
    <row r="1554" spans="1:13" x14ac:dyDescent="0.25">
      <c r="A1554" t="s">
        <v>2518</v>
      </c>
      <c r="B1554" t="s">
        <v>2526</v>
      </c>
      <c r="C1554" s="25">
        <v>6731</v>
      </c>
      <c r="D1554" s="28">
        <v>6731</v>
      </c>
      <c r="E1554" s="2" t="str">
        <f t="shared" si="50"/>
        <v>Same</v>
      </c>
      <c r="F1554" s="6" t="s">
        <v>1880</v>
      </c>
      <c r="H1554" s="2" t="s">
        <v>1484</v>
      </c>
      <c r="I1554" s="4">
        <f>[1]Sheet1!I1554</f>
        <v>0</v>
      </c>
      <c r="J1554" s="3" t="str">
        <f t="shared" si="49"/>
        <v>6731_A1C1.webp</v>
      </c>
      <c r="K1554" s="5">
        <f>Sheet4!E1554</f>
        <v>6</v>
      </c>
      <c r="L1554" s="5"/>
      <c r="M1554" s="4"/>
    </row>
    <row r="1555" spans="1:13" x14ac:dyDescent="0.25">
      <c r="A1555" t="s">
        <v>2944</v>
      </c>
      <c r="B1555" t="s">
        <v>3106</v>
      </c>
      <c r="C1555" s="25">
        <v>6737</v>
      </c>
      <c r="D1555" s="28">
        <v>6737</v>
      </c>
      <c r="E1555" s="2" t="str">
        <f t="shared" si="50"/>
        <v>Same</v>
      </c>
      <c r="F1555" s="6" t="s">
        <v>1905</v>
      </c>
      <c r="H1555" s="2" t="s">
        <v>1485</v>
      </c>
      <c r="I1555" s="4">
        <f>[1]Sheet1!I1555</f>
        <v>0</v>
      </c>
      <c r="J1555" s="3" t="str">
        <f t="shared" si="49"/>
        <v>6737_A1C1.webp</v>
      </c>
      <c r="K1555" s="5">
        <f>Sheet4!E1555</f>
        <v>2</v>
      </c>
      <c r="L1555" s="5"/>
      <c r="M1555" s="4"/>
    </row>
    <row r="1556" spans="1:13" x14ac:dyDescent="0.25">
      <c r="A1556" t="s">
        <v>3258</v>
      </c>
      <c r="B1556" t="s">
        <v>4037</v>
      </c>
      <c r="C1556" s="25">
        <v>6751</v>
      </c>
      <c r="D1556" s="28">
        <v>6751</v>
      </c>
      <c r="E1556" s="2" t="str">
        <f t="shared" si="50"/>
        <v>Same</v>
      </c>
      <c r="F1556" s="6" t="s">
        <v>2051</v>
      </c>
      <c r="H1556" s="2" t="s">
        <v>1486</v>
      </c>
      <c r="I1556" s="4">
        <f>[1]Sheet1!I1556</f>
        <v>3832</v>
      </c>
      <c r="J1556" s="3" t="str">
        <f t="shared" si="49"/>
        <v>6751_A1C1.webp</v>
      </c>
      <c r="K1556" s="5">
        <f>Sheet4!E1556</f>
        <v>6</v>
      </c>
      <c r="L1556" s="5"/>
      <c r="M1556" s="4"/>
    </row>
    <row r="1557" spans="1:13" x14ac:dyDescent="0.25">
      <c r="A1557" t="s">
        <v>2685</v>
      </c>
      <c r="B1557" t="s">
        <v>3172</v>
      </c>
      <c r="C1557" s="25">
        <v>6766</v>
      </c>
      <c r="D1557" s="28">
        <v>6766</v>
      </c>
      <c r="E1557" s="2" t="str">
        <f t="shared" si="50"/>
        <v>Same</v>
      </c>
      <c r="F1557" s="6" t="s">
        <v>1915</v>
      </c>
      <c r="H1557" s="2" t="s">
        <v>1487</v>
      </c>
      <c r="I1557" s="4">
        <f>[1]Sheet1!I1557</f>
        <v>0</v>
      </c>
      <c r="J1557" s="3" t="str">
        <f t="shared" si="49"/>
        <v>6766_A1C1.webp</v>
      </c>
      <c r="K1557" s="5">
        <f>Sheet4!E1557</f>
        <v>12</v>
      </c>
      <c r="L1557" s="5"/>
      <c r="M1557" s="4"/>
    </row>
    <row r="1558" spans="1:13" x14ac:dyDescent="0.25">
      <c r="A1558" t="s">
        <v>2685</v>
      </c>
      <c r="B1558" t="s">
        <v>3150</v>
      </c>
      <c r="C1558" s="25">
        <v>6777</v>
      </c>
      <c r="D1558" s="28">
        <v>6777</v>
      </c>
      <c r="E1558" s="2" t="str">
        <f t="shared" si="50"/>
        <v>Same</v>
      </c>
      <c r="F1558" s="6" t="s">
        <v>2052</v>
      </c>
      <c r="H1558" s="2" t="s">
        <v>1488</v>
      </c>
      <c r="I1558" s="4">
        <f>[1]Sheet1!I1558</f>
        <v>5328</v>
      </c>
      <c r="J1558" s="3" t="str">
        <f t="shared" si="49"/>
        <v>6777_A1C1.webp</v>
      </c>
      <c r="K1558" s="5">
        <f>Sheet4!E1558</f>
        <v>1</v>
      </c>
      <c r="L1558" s="5"/>
      <c r="M1558" s="4"/>
    </row>
    <row r="1559" spans="1:13" x14ac:dyDescent="0.25">
      <c r="A1559" t="s">
        <v>2633</v>
      </c>
      <c r="B1559" t="s">
        <v>5272</v>
      </c>
      <c r="C1559" s="25">
        <v>6778</v>
      </c>
      <c r="D1559" s="28">
        <v>6778</v>
      </c>
      <c r="E1559" s="2" t="str">
        <f t="shared" si="50"/>
        <v>Same</v>
      </c>
      <c r="F1559" s="6" t="s">
        <v>1869</v>
      </c>
      <c r="H1559" s="2" t="s">
        <v>1489</v>
      </c>
      <c r="I1559" s="4">
        <f>[1]Sheet1!I1559</f>
        <v>4050</v>
      </c>
      <c r="J1559" s="3" t="str">
        <f t="shared" si="49"/>
        <v>6778_A1C1.webp</v>
      </c>
      <c r="K1559" s="5">
        <f>Sheet4!E1559</f>
        <v>24</v>
      </c>
      <c r="L1559" s="5"/>
      <c r="M1559" s="4"/>
    </row>
    <row r="1560" spans="1:13" x14ac:dyDescent="0.25">
      <c r="A1560" t="s">
        <v>2622</v>
      </c>
      <c r="B1560" t="s">
        <v>2661</v>
      </c>
      <c r="C1560" s="25">
        <v>6790</v>
      </c>
      <c r="D1560" s="28">
        <v>6790</v>
      </c>
      <c r="E1560" s="2" t="str">
        <f t="shared" si="50"/>
        <v>Same</v>
      </c>
      <c r="F1560" s="6" t="s">
        <v>2053</v>
      </c>
      <c r="H1560" s="2" t="s">
        <v>1490</v>
      </c>
      <c r="I1560" s="4">
        <f>[1]Sheet1!I1560</f>
        <v>352</v>
      </c>
      <c r="J1560" s="3" t="str">
        <f t="shared" si="49"/>
        <v>6790_A1C1.webp</v>
      </c>
      <c r="K1560" s="5">
        <f>Sheet4!E1560</f>
        <v>6</v>
      </c>
      <c r="L1560" s="5"/>
      <c r="M1560" s="4"/>
    </row>
    <row r="1561" spans="1:13" x14ac:dyDescent="0.25">
      <c r="A1561" t="s">
        <v>2622</v>
      </c>
      <c r="B1561" t="s">
        <v>2623</v>
      </c>
      <c r="C1561" s="25">
        <v>6791</v>
      </c>
      <c r="D1561" s="28">
        <v>6791</v>
      </c>
      <c r="E1561" s="2" t="str">
        <f t="shared" si="50"/>
        <v>Same</v>
      </c>
      <c r="F1561" s="6" t="s">
        <v>2054</v>
      </c>
      <c r="H1561" s="2" t="s">
        <v>1491</v>
      </c>
      <c r="I1561" s="4">
        <f>[1]Sheet1!I1561</f>
        <v>2271</v>
      </c>
      <c r="J1561" s="3" t="str">
        <f t="shared" si="49"/>
        <v>6791_A1C1.webp</v>
      </c>
      <c r="K1561" s="5">
        <f>Sheet4!E1561</f>
        <v>4</v>
      </c>
      <c r="L1561" s="5"/>
      <c r="M1561" s="4"/>
    </row>
    <row r="1562" spans="1:13" x14ac:dyDescent="0.25">
      <c r="A1562" t="s">
        <v>2112</v>
      </c>
      <c r="B1562" t="s">
        <v>2113</v>
      </c>
      <c r="C1562" s="25">
        <v>6795</v>
      </c>
      <c r="D1562" s="28">
        <v>6795</v>
      </c>
      <c r="E1562" s="2" t="str">
        <f t="shared" si="50"/>
        <v>Same</v>
      </c>
      <c r="F1562" s="2" t="s">
        <v>1843</v>
      </c>
      <c r="H1562" s="2" t="s">
        <v>5400</v>
      </c>
      <c r="I1562" s="4">
        <f>[1]Sheet1!I1562</f>
        <v>160</v>
      </c>
      <c r="J1562" s="3" t="str">
        <f t="shared" si="49"/>
        <v>6795_A1C1.webp</v>
      </c>
      <c r="K1562" s="5">
        <f>Sheet4!E1562</f>
        <v>9</v>
      </c>
      <c r="L1562" s="5" t="s">
        <v>5278</v>
      </c>
      <c r="M1562" s="4"/>
    </row>
    <row r="1563" spans="1:13" x14ac:dyDescent="0.25">
      <c r="A1563" t="s">
        <v>4949</v>
      </c>
      <c r="B1563" t="s">
        <v>4989</v>
      </c>
      <c r="C1563" s="25">
        <v>6806</v>
      </c>
      <c r="D1563" s="28">
        <v>6806</v>
      </c>
      <c r="E1563" s="2" t="str">
        <f t="shared" si="50"/>
        <v>Same</v>
      </c>
      <c r="F1563" s="6" t="s">
        <v>1946</v>
      </c>
      <c r="H1563" s="2" t="s">
        <v>1492</v>
      </c>
      <c r="I1563" s="4">
        <f>[1]Sheet1!I1563</f>
        <v>0</v>
      </c>
      <c r="J1563" s="3" t="str">
        <f t="shared" si="49"/>
        <v>6806_A1C1.webp</v>
      </c>
      <c r="K1563" s="5">
        <f>Sheet4!E1563</f>
        <v>18</v>
      </c>
      <c r="L1563" s="5"/>
      <c r="M1563" s="4"/>
    </row>
    <row r="1564" spans="1:13" x14ac:dyDescent="0.25">
      <c r="A1564" t="s">
        <v>4949</v>
      </c>
      <c r="B1564" t="s">
        <v>4989</v>
      </c>
      <c r="C1564" s="25">
        <v>6807</v>
      </c>
      <c r="D1564" s="28">
        <v>6807</v>
      </c>
      <c r="E1564" s="2" t="str">
        <f t="shared" si="50"/>
        <v>Same</v>
      </c>
      <c r="F1564" s="6" t="s">
        <v>1946</v>
      </c>
      <c r="H1564" s="2" t="s">
        <v>1493</v>
      </c>
      <c r="I1564" s="4">
        <f>[1]Sheet1!I1564</f>
        <v>0</v>
      </c>
      <c r="J1564" s="3" t="str">
        <f t="shared" si="49"/>
        <v>6807_A1C1.webp</v>
      </c>
      <c r="K1564" s="5">
        <f>Sheet4!E1564</f>
        <v>18</v>
      </c>
      <c r="L1564" s="5"/>
      <c r="M1564" s="4"/>
    </row>
    <row r="1565" spans="1:13" x14ac:dyDescent="0.25">
      <c r="A1565" t="s">
        <v>2685</v>
      </c>
      <c r="B1565" t="s">
        <v>505</v>
      </c>
      <c r="C1565" s="25">
        <v>6824</v>
      </c>
      <c r="D1565" s="28">
        <v>6824</v>
      </c>
      <c r="E1565" s="2" t="str">
        <f t="shared" si="50"/>
        <v>Same</v>
      </c>
      <c r="F1565" s="6" t="s">
        <v>2055</v>
      </c>
      <c r="H1565" s="2" t="s">
        <v>1494</v>
      </c>
      <c r="I1565" s="4">
        <f>[1]Sheet1!I1565</f>
        <v>59529</v>
      </c>
      <c r="J1565" s="3" t="str">
        <f t="shared" si="49"/>
        <v>6824_A1C1.webp</v>
      </c>
      <c r="K1565" s="5">
        <f>Sheet4!E1565</f>
        <v>1</v>
      </c>
      <c r="L1565" s="5"/>
      <c r="M1565" s="4"/>
    </row>
    <row r="1566" spans="1:13" x14ac:dyDescent="0.25">
      <c r="A1566" t="s">
        <v>4961</v>
      </c>
      <c r="B1566" t="s">
        <v>5010</v>
      </c>
      <c r="C1566" s="25">
        <v>6830</v>
      </c>
      <c r="D1566" s="28">
        <v>6830</v>
      </c>
      <c r="E1566" s="2" t="str">
        <f t="shared" si="50"/>
        <v>Same</v>
      </c>
      <c r="F1566" s="6" t="s">
        <v>2051</v>
      </c>
      <c r="H1566" s="2" t="s">
        <v>1495</v>
      </c>
      <c r="I1566" s="4">
        <f>[1]Sheet1!I1566</f>
        <v>351</v>
      </c>
      <c r="J1566" s="3" t="str">
        <f t="shared" si="49"/>
        <v>6830_A1C1.webp</v>
      </c>
      <c r="K1566" s="5">
        <f>Sheet4!E1566</f>
        <v>10</v>
      </c>
      <c r="L1566" s="5"/>
      <c r="M1566" s="4"/>
    </row>
    <row r="1567" spans="1:13" x14ac:dyDescent="0.25">
      <c r="A1567" t="s">
        <v>4961</v>
      </c>
      <c r="B1567" t="s">
        <v>4953</v>
      </c>
      <c r="C1567" s="25">
        <v>6831</v>
      </c>
      <c r="D1567" s="28">
        <v>6831</v>
      </c>
      <c r="E1567" s="2" t="str">
        <f t="shared" si="50"/>
        <v>Same</v>
      </c>
      <c r="F1567" s="6" t="s">
        <v>2056</v>
      </c>
      <c r="H1567" s="2" t="s">
        <v>1496</v>
      </c>
      <c r="I1567" s="4">
        <f>[1]Sheet1!I1567</f>
        <v>360</v>
      </c>
      <c r="J1567" s="3" t="str">
        <f t="shared" si="49"/>
        <v>6831_A1C1.webp</v>
      </c>
      <c r="K1567" s="5">
        <f>Sheet4!E1567</f>
        <v>12</v>
      </c>
      <c r="L1567" s="5"/>
      <c r="M1567" s="4"/>
    </row>
    <row r="1568" spans="1:13" x14ac:dyDescent="0.25">
      <c r="A1568" t="s">
        <v>2518</v>
      </c>
      <c r="B1568" t="s">
        <v>3482</v>
      </c>
      <c r="C1568" s="25">
        <v>6834</v>
      </c>
      <c r="D1568" s="28">
        <v>6834</v>
      </c>
      <c r="E1568" s="2" t="str">
        <f t="shared" si="50"/>
        <v>Same</v>
      </c>
      <c r="F1568" s="6" t="s">
        <v>1876</v>
      </c>
      <c r="H1568" s="2" t="s">
        <v>1497</v>
      </c>
      <c r="I1568" s="4">
        <f>[1]Sheet1!I1568</f>
        <v>0</v>
      </c>
      <c r="J1568" s="3" t="str">
        <f t="shared" si="49"/>
        <v>6834_A1C1.webp</v>
      </c>
      <c r="K1568" s="5">
        <f>Sheet4!E1568</f>
        <v>12</v>
      </c>
      <c r="L1568" s="5"/>
      <c r="M1568" s="4"/>
    </row>
    <row r="1569" spans="1:18" x14ac:dyDescent="0.25">
      <c r="A1569" t="s">
        <v>2518</v>
      </c>
      <c r="B1569" t="s">
        <v>3482</v>
      </c>
      <c r="C1569" s="25">
        <v>6835</v>
      </c>
      <c r="D1569" s="28">
        <v>6835</v>
      </c>
      <c r="E1569" s="2" t="str">
        <f t="shared" si="50"/>
        <v>Same</v>
      </c>
      <c r="F1569" s="6" t="s">
        <v>1876</v>
      </c>
      <c r="H1569" s="2" t="s">
        <v>1498</v>
      </c>
      <c r="I1569" s="4">
        <f>[1]Sheet1!I1569</f>
        <v>0</v>
      </c>
      <c r="J1569" s="3" t="str">
        <f t="shared" si="49"/>
        <v>6835_A1C1.webp</v>
      </c>
      <c r="K1569" s="5">
        <f>Sheet4!E1569</f>
        <v>12</v>
      </c>
      <c r="L1569" s="5"/>
      <c r="M1569" s="4"/>
    </row>
    <row r="1570" spans="1:18" x14ac:dyDescent="0.25">
      <c r="A1570" t="s">
        <v>2633</v>
      </c>
      <c r="B1570" t="s">
        <v>4156</v>
      </c>
      <c r="C1570" s="25">
        <v>6859</v>
      </c>
      <c r="D1570" s="28">
        <v>6859</v>
      </c>
      <c r="E1570" s="2" t="str">
        <f t="shared" si="50"/>
        <v>Same</v>
      </c>
      <c r="F1570" s="6" t="s">
        <v>1869</v>
      </c>
      <c r="H1570" s="2" t="s">
        <v>1499</v>
      </c>
      <c r="I1570" s="4">
        <f>[1]Sheet1!I1570</f>
        <v>1329</v>
      </c>
      <c r="J1570" s="3" t="str">
        <f t="shared" si="49"/>
        <v>6859_A1C1.webp</v>
      </c>
      <c r="K1570" s="5">
        <f>Sheet4!E1570</f>
        <v>48</v>
      </c>
      <c r="L1570" s="5"/>
      <c r="M1570" s="4"/>
    </row>
    <row r="1571" spans="1:18" x14ac:dyDescent="0.25">
      <c r="A1571" t="s">
        <v>2518</v>
      </c>
      <c r="B1571" t="s">
        <v>3482</v>
      </c>
      <c r="C1571" s="25">
        <v>6860</v>
      </c>
      <c r="D1571" s="28">
        <v>6860</v>
      </c>
      <c r="E1571" s="2" t="str">
        <f t="shared" si="50"/>
        <v>Same</v>
      </c>
      <c r="F1571" s="2" t="s">
        <v>5391</v>
      </c>
      <c r="H1571" s="2" t="s">
        <v>5392</v>
      </c>
      <c r="I1571" s="4">
        <f>[1]Sheet1!I1571</f>
        <v>14</v>
      </c>
      <c r="J1571" s="3" t="str">
        <f t="shared" si="49"/>
        <v>6860_A1C1.webp</v>
      </c>
      <c r="K1571" s="5">
        <f>Sheet4!E1571</f>
        <v>1</v>
      </c>
      <c r="L1571" s="5" t="s">
        <v>5278</v>
      </c>
      <c r="M1571" s="4"/>
    </row>
    <row r="1572" spans="1:18" x14ac:dyDescent="0.25">
      <c r="A1572" t="s">
        <v>2944</v>
      </c>
      <c r="B1572" t="s">
        <v>3106</v>
      </c>
      <c r="C1572" s="25">
        <v>6871</v>
      </c>
      <c r="D1572" s="28">
        <v>6871</v>
      </c>
      <c r="E1572" s="2" t="str">
        <f t="shared" si="50"/>
        <v>Same</v>
      </c>
      <c r="F1572" s="6" t="s">
        <v>1914</v>
      </c>
      <c r="H1572" s="2" t="s">
        <v>1500</v>
      </c>
      <c r="I1572" s="4">
        <f>[1]Sheet1!I1572</f>
        <v>5772</v>
      </c>
      <c r="J1572" s="3" t="str">
        <f t="shared" si="49"/>
        <v>6871_A1C1.webp</v>
      </c>
      <c r="K1572" s="5">
        <f>Sheet4!E1572</f>
        <v>1</v>
      </c>
      <c r="L1572" s="5"/>
      <c r="M1572" s="4"/>
    </row>
    <row r="1573" spans="1:18" x14ac:dyDescent="0.25">
      <c r="A1573" t="s">
        <v>2944</v>
      </c>
      <c r="B1573" t="s">
        <v>2945</v>
      </c>
      <c r="C1573" s="25">
        <v>6872</v>
      </c>
      <c r="D1573" s="28">
        <v>6872</v>
      </c>
      <c r="E1573" s="2" t="str">
        <f t="shared" si="50"/>
        <v>Same</v>
      </c>
      <c r="F1573" s="6" t="s">
        <v>1914</v>
      </c>
      <c r="H1573" s="2" t="s">
        <v>1501</v>
      </c>
      <c r="I1573" s="4">
        <f>[1]Sheet1!I1573</f>
        <v>4218</v>
      </c>
      <c r="J1573" s="3" t="str">
        <f t="shared" si="49"/>
        <v>6872_A1C1.webp</v>
      </c>
      <c r="K1573" s="5">
        <f>Sheet4!E1573</f>
        <v>1</v>
      </c>
      <c r="L1573" s="5"/>
      <c r="M1573" s="4"/>
    </row>
    <row r="1574" spans="1:18" x14ac:dyDescent="0.25">
      <c r="A1574" t="s">
        <v>5265</v>
      </c>
      <c r="B1574" t="s">
        <v>5265</v>
      </c>
      <c r="C1574" s="25">
        <v>6880</v>
      </c>
      <c r="D1574" s="28">
        <v>6880</v>
      </c>
      <c r="E1574" s="2" t="str">
        <f t="shared" si="50"/>
        <v>Same</v>
      </c>
      <c r="F1574" s="6" t="s">
        <v>2057</v>
      </c>
      <c r="H1574" s="2" t="s">
        <v>1502</v>
      </c>
      <c r="I1574" s="4">
        <f>[1]Sheet1!I1574</f>
        <v>0</v>
      </c>
      <c r="J1574" s="3" t="str">
        <f t="shared" si="49"/>
        <v>6880_A1C1.webp</v>
      </c>
      <c r="K1574" s="5">
        <f>Sheet4!E1574</f>
        <v>56</v>
      </c>
      <c r="L1574" s="5"/>
      <c r="M1574" s="4"/>
    </row>
    <row r="1575" spans="1:18" x14ac:dyDescent="0.25">
      <c r="A1575" t="s">
        <v>5265</v>
      </c>
      <c r="B1575" t="s">
        <v>5265</v>
      </c>
      <c r="C1575" s="25">
        <v>6883</v>
      </c>
      <c r="D1575" s="28">
        <v>6883</v>
      </c>
      <c r="E1575" s="2" t="str">
        <f t="shared" si="50"/>
        <v>Same</v>
      </c>
      <c r="F1575" s="6" t="s">
        <v>2057</v>
      </c>
      <c r="H1575" s="2" t="s">
        <v>1503</v>
      </c>
      <c r="I1575" s="4">
        <f>[1]Sheet1!I1575</f>
        <v>0</v>
      </c>
      <c r="J1575" s="3" t="str">
        <f t="shared" si="49"/>
        <v>6883_A1C1.webp</v>
      </c>
      <c r="K1575" s="5">
        <f>Sheet4!E1575</f>
        <v>224</v>
      </c>
      <c r="L1575" s="5"/>
      <c r="M1575" s="4"/>
    </row>
    <row r="1576" spans="1:18" x14ac:dyDescent="0.25">
      <c r="A1576" t="s">
        <v>5265</v>
      </c>
      <c r="B1576" t="s">
        <v>5265</v>
      </c>
      <c r="C1576" s="25">
        <v>6884</v>
      </c>
      <c r="D1576" s="28">
        <v>6884</v>
      </c>
      <c r="E1576" s="2" t="str">
        <f t="shared" si="50"/>
        <v>Same</v>
      </c>
      <c r="F1576" s="6" t="s">
        <v>2057</v>
      </c>
      <c r="H1576" s="2" t="s">
        <v>1504</v>
      </c>
      <c r="I1576" s="4">
        <f>[1]Sheet1!I1576</f>
        <v>0</v>
      </c>
      <c r="J1576" s="3" t="str">
        <f t="shared" si="49"/>
        <v>6884_A1C1.webp</v>
      </c>
      <c r="K1576" s="5">
        <f>Sheet4!E1576</f>
        <v>6</v>
      </c>
      <c r="L1576" s="5"/>
      <c r="M1576" s="4"/>
    </row>
    <row r="1577" spans="1:18" x14ac:dyDescent="0.25">
      <c r="A1577" t="s">
        <v>5265</v>
      </c>
      <c r="B1577" t="s">
        <v>5265</v>
      </c>
      <c r="C1577" s="25">
        <v>6888</v>
      </c>
      <c r="D1577" s="28">
        <v>6888</v>
      </c>
      <c r="E1577" s="2" t="str">
        <f t="shared" si="50"/>
        <v>Same</v>
      </c>
      <c r="F1577" s="6" t="s">
        <v>2058</v>
      </c>
      <c r="H1577" s="2" t="s">
        <v>1505</v>
      </c>
      <c r="I1577" s="4">
        <f>[1]Sheet1!I1577</f>
        <v>0</v>
      </c>
      <c r="J1577" s="3" t="str">
        <f t="shared" si="49"/>
        <v>6888_A1C1.webp</v>
      </c>
      <c r="K1577" s="5">
        <f>Sheet4!E1577</f>
        <v>224</v>
      </c>
      <c r="L1577" s="5"/>
      <c r="M1577" s="4"/>
    </row>
    <row r="1578" spans="1:18" x14ac:dyDescent="0.25">
      <c r="A1578" t="s">
        <v>3875</v>
      </c>
      <c r="B1578" t="s">
        <v>5382</v>
      </c>
      <c r="C1578" s="2">
        <v>6895</v>
      </c>
      <c r="D1578" s="28">
        <v>6895</v>
      </c>
      <c r="E1578" s="2" t="str">
        <f t="shared" si="50"/>
        <v>Same</v>
      </c>
      <c r="F1578" s="2" t="s">
        <v>1902</v>
      </c>
      <c r="G1578" s="2"/>
      <c r="H1578" s="2" t="s">
        <v>5379</v>
      </c>
      <c r="I1578" s="4">
        <f>[1]Sheet1!I1578</f>
        <v>5322</v>
      </c>
      <c r="J1578" s="3" t="str">
        <f t="shared" si="49"/>
        <v>6895_A1C1.webp</v>
      </c>
      <c r="K1578" s="5">
        <f>Sheet4!E1578</f>
        <v>12</v>
      </c>
      <c r="L1578" s="5" t="s">
        <v>5278</v>
      </c>
      <c r="M1578" s="4"/>
    </row>
    <row r="1579" spans="1:18" x14ac:dyDescent="0.25">
      <c r="A1579" t="s">
        <v>3875</v>
      </c>
      <c r="B1579" t="s">
        <v>5382</v>
      </c>
      <c r="C1579" s="2">
        <v>6896</v>
      </c>
      <c r="D1579" s="28">
        <v>6896</v>
      </c>
      <c r="E1579" s="2" t="str">
        <f t="shared" si="50"/>
        <v>Same</v>
      </c>
      <c r="F1579" s="2" t="s">
        <v>1902</v>
      </c>
      <c r="G1579" s="2"/>
      <c r="H1579" s="2" t="s">
        <v>5380</v>
      </c>
      <c r="I1579" s="4">
        <f>[1]Sheet1!I1579</f>
        <v>757</v>
      </c>
      <c r="J1579" s="3" t="str">
        <f t="shared" si="49"/>
        <v>6896_A1C1.webp</v>
      </c>
      <c r="K1579" s="5">
        <f>Sheet4!E1579</f>
        <v>12</v>
      </c>
      <c r="L1579" s="5" t="s">
        <v>5278</v>
      </c>
      <c r="M1579" s="4"/>
    </row>
    <row r="1580" spans="1:18" x14ac:dyDescent="0.25">
      <c r="A1580" t="s">
        <v>3875</v>
      </c>
      <c r="B1580" t="s">
        <v>5382</v>
      </c>
      <c r="C1580" s="2">
        <v>6897</v>
      </c>
      <c r="D1580" s="28">
        <v>6897</v>
      </c>
      <c r="E1580" s="2" t="str">
        <f t="shared" si="50"/>
        <v>Same</v>
      </c>
      <c r="F1580" s="2" t="s">
        <v>1985</v>
      </c>
      <c r="G1580" s="2"/>
      <c r="H1580" s="2" t="s">
        <v>5381</v>
      </c>
      <c r="I1580" s="4">
        <f>[1]Sheet1!I1580</f>
        <v>2292</v>
      </c>
      <c r="J1580" s="3" t="str">
        <f t="shared" si="49"/>
        <v>6897_A1C1.webp</v>
      </c>
      <c r="K1580" s="5">
        <f>Sheet4!E1580</f>
        <v>12</v>
      </c>
      <c r="L1580" s="5" t="s">
        <v>5278</v>
      </c>
      <c r="M1580" s="4"/>
    </row>
    <row r="1581" spans="1:18" x14ac:dyDescent="0.25">
      <c r="A1581" t="s">
        <v>2671</v>
      </c>
      <c r="B1581" t="s">
        <v>5382</v>
      </c>
      <c r="C1581" s="2">
        <v>6913</v>
      </c>
      <c r="D1581" s="28">
        <v>6913</v>
      </c>
      <c r="E1581" s="2" t="str">
        <f t="shared" si="50"/>
        <v>Same</v>
      </c>
      <c r="F1581" s="2"/>
      <c r="G1581" s="2"/>
      <c r="H1581" s="2" t="s">
        <v>7444</v>
      </c>
      <c r="I1581" s="4">
        <f>[1]Sheet1!I1581</f>
        <v>0</v>
      </c>
      <c r="J1581" s="3" t="str">
        <f t="shared" si="49"/>
        <v>6913_A1C1.webp</v>
      </c>
      <c r="K1581" s="5">
        <f>Sheet4!E1581</f>
        <v>448</v>
      </c>
      <c r="L1581" s="5" t="s">
        <v>5278</v>
      </c>
      <c r="M1581" s="5"/>
      <c r="N1581" s="5"/>
      <c r="O1581" s="5"/>
      <c r="P1581" s="5"/>
      <c r="Q1581" s="5"/>
      <c r="R1581" s="5"/>
    </row>
    <row r="1582" spans="1:18" x14ac:dyDescent="0.25">
      <c r="A1582" t="s">
        <v>3365</v>
      </c>
      <c r="B1582" t="s">
        <v>4846</v>
      </c>
      <c r="C1582" s="25">
        <v>6955</v>
      </c>
      <c r="D1582" s="28">
        <v>6955</v>
      </c>
      <c r="E1582" s="2" t="str">
        <f t="shared" si="50"/>
        <v>Same</v>
      </c>
      <c r="F1582" s="6" t="s">
        <v>1879</v>
      </c>
      <c r="H1582" s="2" t="s">
        <v>1506</v>
      </c>
      <c r="I1582" s="4">
        <f>[1]Sheet1!I1582</f>
        <v>0</v>
      </c>
      <c r="J1582" s="3" t="str">
        <f t="shared" si="49"/>
        <v>6955_A1C1.webp</v>
      </c>
      <c r="K1582" s="5">
        <f>Sheet4!E1582</f>
        <v>12</v>
      </c>
      <c r="L1582" s="5"/>
      <c r="M1582" s="4"/>
    </row>
    <row r="1583" spans="1:18" x14ac:dyDescent="0.25">
      <c r="A1583" t="s">
        <v>3365</v>
      </c>
      <c r="B1583" t="s">
        <v>4849</v>
      </c>
      <c r="C1583" s="25">
        <v>7102</v>
      </c>
      <c r="D1583" s="28">
        <v>7102</v>
      </c>
      <c r="E1583" s="2" t="str">
        <f t="shared" si="50"/>
        <v>Same</v>
      </c>
      <c r="F1583" s="6" t="s">
        <v>2059</v>
      </c>
      <c r="G1583" s="3">
        <v>24.5</v>
      </c>
      <c r="H1583" s="2" t="s">
        <v>1507</v>
      </c>
      <c r="I1583" s="4">
        <f>[1]Sheet1!I1583</f>
        <v>530</v>
      </c>
      <c r="J1583" s="3" t="str">
        <f t="shared" si="49"/>
        <v>7102_A1C1.webp</v>
      </c>
      <c r="K1583" s="5">
        <f>Sheet4!E1583</f>
        <v>12</v>
      </c>
      <c r="L1583" s="5"/>
      <c r="M1583" s="4"/>
    </row>
    <row r="1584" spans="1:18" x14ac:dyDescent="0.25">
      <c r="A1584" t="s">
        <v>3365</v>
      </c>
      <c r="B1584" t="s">
        <v>4849</v>
      </c>
      <c r="C1584" s="25">
        <v>7103</v>
      </c>
      <c r="D1584" s="28">
        <v>7103</v>
      </c>
      <c r="E1584" s="2" t="str">
        <f t="shared" si="50"/>
        <v>Same</v>
      </c>
      <c r="F1584" s="6" t="s">
        <v>2059</v>
      </c>
      <c r="G1584" s="3">
        <v>24.5</v>
      </c>
      <c r="H1584" s="2" t="s">
        <v>1508</v>
      </c>
      <c r="I1584" s="4">
        <f>[1]Sheet1!I1584</f>
        <v>11</v>
      </c>
      <c r="J1584" s="3" t="str">
        <f t="shared" si="49"/>
        <v>7103_A1C1.webp</v>
      </c>
      <c r="K1584" s="5">
        <f>Sheet4!E1584</f>
        <v>12</v>
      </c>
      <c r="L1584" s="5"/>
      <c r="M1584" s="4"/>
    </row>
    <row r="1585" spans="1:13" x14ac:dyDescent="0.25">
      <c r="A1585" t="s">
        <v>3365</v>
      </c>
      <c r="B1585" t="s">
        <v>4849</v>
      </c>
      <c r="C1585" s="25">
        <v>7104</v>
      </c>
      <c r="D1585" s="28">
        <v>7104</v>
      </c>
      <c r="E1585" s="2" t="str">
        <f t="shared" si="50"/>
        <v>Same</v>
      </c>
      <c r="F1585" s="6" t="s">
        <v>2059</v>
      </c>
      <c r="G1585" s="3">
        <v>24.5</v>
      </c>
      <c r="H1585" s="2" t="s">
        <v>1509</v>
      </c>
      <c r="I1585" s="4">
        <f>[1]Sheet1!I1585</f>
        <v>76</v>
      </c>
      <c r="J1585" s="3" t="str">
        <f t="shared" si="49"/>
        <v>7104_A1C1.webp</v>
      </c>
      <c r="K1585" s="5">
        <f>Sheet4!E1585</f>
        <v>12</v>
      </c>
      <c r="L1585" s="5"/>
      <c r="M1585" s="4"/>
    </row>
    <row r="1586" spans="1:13" x14ac:dyDescent="0.25">
      <c r="A1586" t="s">
        <v>3365</v>
      </c>
      <c r="B1586" t="s">
        <v>4849</v>
      </c>
      <c r="C1586" s="25">
        <v>7106</v>
      </c>
      <c r="D1586" s="28">
        <v>7106</v>
      </c>
      <c r="E1586" s="2" t="str">
        <f t="shared" si="50"/>
        <v>Same</v>
      </c>
      <c r="F1586" s="6" t="s">
        <v>2059</v>
      </c>
      <c r="G1586" s="3">
        <v>24.5</v>
      </c>
      <c r="H1586" s="2" t="s">
        <v>1510</v>
      </c>
      <c r="I1586" s="4">
        <f>[1]Sheet1!I1586</f>
        <v>135</v>
      </c>
      <c r="J1586" s="3" t="str">
        <f t="shared" si="49"/>
        <v>7106_A1C1.webp</v>
      </c>
      <c r="K1586" s="5">
        <f>Sheet4!E1586</f>
        <v>12</v>
      </c>
      <c r="L1586" s="5"/>
      <c r="M1586" s="4"/>
    </row>
    <row r="1587" spans="1:13" x14ac:dyDescent="0.25">
      <c r="A1587" t="s">
        <v>3365</v>
      </c>
      <c r="B1587" t="s">
        <v>4849</v>
      </c>
      <c r="C1587" s="25">
        <v>7108</v>
      </c>
      <c r="D1587" s="28">
        <v>7108</v>
      </c>
      <c r="E1587" s="2" t="str">
        <f t="shared" si="50"/>
        <v>Same</v>
      </c>
      <c r="F1587" s="6" t="s">
        <v>2059</v>
      </c>
      <c r="G1587" s="3">
        <v>24.5</v>
      </c>
      <c r="H1587" s="2" t="s">
        <v>1511</v>
      </c>
      <c r="I1587" s="4">
        <f>[1]Sheet1!I1587</f>
        <v>54</v>
      </c>
      <c r="J1587" s="3" t="str">
        <f t="shared" si="49"/>
        <v>7108_A1C1.webp</v>
      </c>
      <c r="K1587" s="5">
        <f>Sheet4!E1587</f>
        <v>12</v>
      </c>
      <c r="L1587" s="5"/>
      <c r="M1587" s="4"/>
    </row>
    <row r="1588" spans="1:13" x14ac:dyDescent="0.25">
      <c r="A1588" t="s">
        <v>3365</v>
      </c>
      <c r="B1588" t="s">
        <v>4849</v>
      </c>
      <c r="C1588" s="25">
        <v>7110</v>
      </c>
      <c r="D1588" s="28">
        <v>7110</v>
      </c>
      <c r="E1588" s="2" t="str">
        <f t="shared" si="50"/>
        <v>Same</v>
      </c>
      <c r="F1588" s="6" t="s">
        <v>2059</v>
      </c>
      <c r="G1588" s="3">
        <v>28.95</v>
      </c>
      <c r="H1588" s="2" t="s">
        <v>1512</v>
      </c>
      <c r="I1588" s="4">
        <f>[1]Sheet1!I1588</f>
        <v>73</v>
      </c>
      <c r="J1588" s="3" t="str">
        <f t="shared" si="49"/>
        <v>7110_A1C1.webp</v>
      </c>
      <c r="K1588" s="5">
        <f>Sheet4!E1588</f>
        <v>12</v>
      </c>
      <c r="L1588" s="5"/>
      <c r="M1588" s="4"/>
    </row>
    <row r="1589" spans="1:13" x14ac:dyDescent="0.25">
      <c r="A1589" t="s">
        <v>3365</v>
      </c>
      <c r="B1589" t="s">
        <v>4849</v>
      </c>
      <c r="C1589" s="25">
        <v>7111</v>
      </c>
      <c r="D1589" s="28">
        <v>7111</v>
      </c>
      <c r="E1589" s="2" t="str">
        <f t="shared" si="50"/>
        <v>Same</v>
      </c>
      <c r="F1589" s="6" t="s">
        <v>2059</v>
      </c>
      <c r="G1589" s="3">
        <v>24.5</v>
      </c>
      <c r="H1589" s="2" t="s">
        <v>1513</v>
      </c>
      <c r="I1589" s="4">
        <f>[1]Sheet1!I1589</f>
        <v>7</v>
      </c>
      <c r="J1589" s="3" t="str">
        <f t="shared" si="49"/>
        <v>7111_A1C1.webp</v>
      </c>
      <c r="K1589" s="5">
        <f>Sheet4!E1589</f>
        <v>12</v>
      </c>
      <c r="L1589" s="5"/>
      <c r="M1589" s="4"/>
    </row>
    <row r="1590" spans="1:13" x14ac:dyDescent="0.25">
      <c r="A1590" t="s">
        <v>3365</v>
      </c>
      <c r="B1590" t="s">
        <v>4849</v>
      </c>
      <c r="C1590" s="25">
        <v>7112</v>
      </c>
      <c r="D1590" s="28">
        <v>7112</v>
      </c>
      <c r="E1590" s="2" t="str">
        <f t="shared" si="50"/>
        <v>Same</v>
      </c>
      <c r="F1590" s="6" t="s">
        <v>2059</v>
      </c>
      <c r="G1590" s="3">
        <v>34.950000000000003</v>
      </c>
      <c r="H1590" s="2" t="s">
        <v>1514</v>
      </c>
      <c r="I1590" s="4">
        <f>[1]Sheet1!I1590</f>
        <v>6</v>
      </c>
      <c r="J1590" s="3" t="str">
        <f t="shared" si="49"/>
        <v>7112_A1C1.webp</v>
      </c>
      <c r="K1590" s="5">
        <f>Sheet4!E1590</f>
        <v>12</v>
      </c>
      <c r="L1590" s="5"/>
      <c r="M1590" s="4"/>
    </row>
    <row r="1591" spans="1:13" x14ac:dyDescent="0.25">
      <c r="A1591" t="s">
        <v>3365</v>
      </c>
      <c r="B1591" t="s">
        <v>4849</v>
      </c>
      <c r="C1591" s="25">
        <v>7114</v>
      </c>
      <c r="D1591" s="28">
        <v>7114</v>
      </c>
      <c r="E1591" s="2" t="str">
        <f t="shared" si="50"/>
        <v>Same</v>
      </c>
      <c r="F1591" s="6" t="s">
        <v>2059</v>
      </c>
      <c r="G1591" s="3">
        <v>24.5</v>
      </c>
      <c r="H1591" s="2" t="s">
        <v>1515</v>
      </c>
      <c r="I1591" s="4">
        <f>[1]Sheet1!I1591</f>
        <v>18</v>
      </c>
      <c r="J1591" s="3" t="str">
        <f t="shared" si="49"/>
        <v>7114_A1C1.webp</v>
      </c>
      <c r="K1591" s="5">
        <f>Sheet4!E1591</f>
        <v>12</v>
      </c>
      <c r="L1591" s="5"/>
      <c r="M1591" s="4"/>
    </row>
    <row r="1592" spans="1:13" x14ac:dyDescent="0.25">
      <c r="A1592" t="s">
        <v>3365</v>
      </c>
      <c r="B1592" t="s">
        <v>4849</v>
      </c>
      <c r="C1592" s="25">
        <v>7115</v>
      </c>
      <c r="D1592" s="28">
        <v>7115</v>
      </c>
      <c r="E1592" s="2" t="str">
        <f t="shared" si="50"/>
        <v>Same</v>
      </c>
      <c r="F1592" s="6" t="s">
        <v>2060</v>
      </c>
      <c r="G1592" s="3">
        <v>24.5</v>
      </c>
      <c r="H1592" s="2" t="s">
        <v>1516</v>
      </c>
      <c r="I1592" s="4">
        <f>[1]Sheet1!I1592</f>
        <v>180</v>
      </c>
      <c r="J1592" s="3" t="str">
        <f t="shared" si="49"/>
        <v>7115_A1C1.webp</v>
      </c>
      <c r="K1592" s="5">
        <f>Sheet4!E1592</f>
        <v>12</v>
      </c>
      <c r="L1592" s="5"/>
      <c r="M1592" s="4"/>
    </row>
    <row r="1593" spans="1:13" x14ac:dyDescent="0.25">
      <c r="A1593" t="s">
        <v>3365</v>
      </c>
      <c r="B1593" t="s">
        <v>4849</v>
      </c>
      <c r="C1593" s="25">
        <v>7116</v>
      </c>
      <c r="D1593" s="28">
        <v>7116</v>
      </c>
      <c r="E1593" s="2" t="str">
        <f t="shared" si="50"/>
        <v>Same</v>
      </c>
      <c r="F1593" s="6" t="s">
        <v>2059</v>
      </c>
      <c r="G1593" s="3">
        <v>24.5</v>
      </c>
      <c r="H1593" s="2" t="s">
        <v>1517</v>
      </c>
      <c r="I1593" s="4">
        <f>[1]Sheet1!I1593</f>
        <v>61</v>
      </c>
      <c r="J1593" s="3" t="str">
        <f t="shared" si="49"/>
        <v>7116_A1C1.webp</v>
      </c>
      <c r="K1593" s="5">
        <f>Sheet4!E1593</f>
        <v>12</v>
      </c>
      <c r="L1593" s="5"/>
      <c r="M1593" s="4"/>
    </row>
    <row r="1594" spans="1:13" x14ac:dyDescent="0.25">
      <c r="A1594" t="s">
        <v>3365</v>
      </c>
      <c r="B1594" t="s">
        <v>4849</v>
      </c>
      <c r="C1594" s="25">
        <v>7118</v>
      </c>
      <c r="D1594" s="28">
        <v>7118</v>
      </c>
      <c r="E1594" s="2" t="str">
        <f t="shared" si="50"/>
        <v>Same</v>
      </c>
      <c r="F1594" s="6" t="s">
        <v>2059</v>
      </c>
      <c r="G1594" s="3">
        <v>24.5</v>
      </c>
      <c r="H1594" s="2" t="s">
        <v>1518</v>
      </c>
      <c r="I1594" s="4">
        <f>[1]Sheet1!I1594</f>
        <v>2</v>
      </c>
      <c r="J1594" s="3" t="str">
        <f t="shared" si="49"/>
        <v>7118_A1C1.webp</v>
      </c>
      <c r="K1594" s="5">
        <f>Sheet4!E1594</f>
        <v>12</v>
      </c>
      <c r="L1594" s="5"/>
      <c r="M1594" s="4"/>
    </row>
    <row r="1595" spans="1:13" x14ac:dyDescent="0.25">
      <c r="A1595" t="s">
        <v>3365</v>
      </c>
      <c r="B1595" t="s">
        <v>4849</v>
      </c>
      <c r="C1595" s="25">
        <v>7119</v>
      </c>
      <c r="D1595" s="28">
        <v>7119</v>
      </c>
      <c r="E1595" s="2" t="str">
        <f t="shared" si="50"/>
        <v>Same</v>
      </c>
      <c r="F1595" s="6" t="s">
        <v>2059</v>
      </c>
      <c r="G1595" s="3">
        <v>24.5</v>
      </c>
      <c r="H1595" s="2" t="s">
        <v>1519</v>
      </c>
      <c r="I1595" s="4">
        <f>[1]Sheet1!I1595</f>
        <v>39</v>
      </c>
      <c r="J1595" s="3" t="str">
        <f t="shared" si="49"/>
        <v>7119_A1C1.webp</v>
      </c>
      <c r="K1595" s="5">
        <f>Sheet4!E1595</f>
        <v>12</v>
      </c>
      <c r="L1595" s="5"/>
      <c r="M1595" s="4"/>
    </row>
    <row r="1596" spans="1:13" x14ac:dyDescent="0.25">
      <c r="A1596" t="s">
        <v>3365</v>
      </c>
      <c r="B1596" t="s">
        <v>4849</v>
      </c>
      <c r="C1596" s="25">
        <v>7120</v>
      </c>
      <c r="D1596" s="28">
        <v>7120</v>
      </c>
      <c r="E1596" s="2" t="str">
        <f t="shared" si="50"/>
        <v>Same</v>
      </c>
      <c r="F1596" s="6" t="s">
        <v>2059</v>
      </c>
      <c r="G1596" s="3">
        <v>24.5</v>
      </c>
      <c r="H1596" s="2" t="s">
        <v>1520</v>
      </c>
      <c r="I1596" s="4">
        <f>[1]Sheet1!I1596</f>
        <v>69</v>
      </c>
      <c r="J1596" s="3" t="str">
        <f t="shared" si="49"/>
        <v>7120_A1C1.webp</v>
      </c>
      <c r="K1596" s="5">
        <f>Sheet4!E1596</f>
        <v>12</v>
      </c>
      <c r="L1596" s="5"/>
      <c r="M1596" s="4"/>
    </row>
    <row r="1597" spans="1:13" x14ac:dyDescent="0.25">
      <c r="A1597" t="s">
        <v>3365</v>
      </c>
      <c r="B1597" t="s">
        <v>4849</v>
      </c>
      <c r="C1597" s="25">
        <v>7121</v>
      </c>
      <c r="D1597" s="28">
        <v>7121</v>
      </c>
      <c r="E1597" s="2" t="str">
        <f t="shared" si="50"/>
        <v>Same</v>
      </c>
      <c r="F1597" s="6" t="s">
        <v>2060</v>
      </c>
      <c r="G1597" s="3">
        <v>24.5</v>
      </c>
      <c r="H1597" s="2" t="s">
        <v>1521</v>
      </c>
      <c r="I1597" s="4">
        <f>[1]Sheet1!I1597</f>
        <v>20</v>
      </c>
      <c r="J1597" s="3" t="str">
        <f t="shared" si="49"/>
        <v>7121_A1C1.webp</v>
      </c>
      <c r="K1597" s="5">
        <f>Sheet4!E1597</f>
        <v>12</v>
      </c>
      <c r="L1597" s="5"/>
      <c r="M1597" s="4"/>
    </row>
    <row r="1598" spans="1:13" x14ac:dyDescent="0.25">
      <c r="A1598" t="s">
        <v>3365</v>
      </c>
      <c r="B1598" t="s">
        <v>4849</v>
      </c>
      <c r="C1598" s="25">
        <v>7122</v>
      </c>
      <c r="D1598" s="28">
        <v>7122</v>
      </c>
      <c r="E1598" s="2" t="str">
        <f t="shared" si="50"/>
        <v>Same</v>
      </c>
      <c r="F1598" s="6" t="s">
        <v>2059</v>
      </c>
      <c r="G1598" s="3">
        <v>24.5</v>
      </c>
      <c r="H1598" s="2" t="s">
        <v>1522</v>
      </c>
      <c r="I1598" s="4">
        <f>[1]Sheet1!I1598</f>
        <v>171</v>
      </c>
      <c r="J1598" s="3" t="str">
        <f t="shared" si="49"/>
        <v>7122_A1C1.webp</v>
      </c>
      <c r="K1598" s="5">
        <f>Sheet4!E1598</f>
        <v>12</v>
      </c>
      <c r="L1598" s="5"/>
      <c r="M1598" s="4"/>
    </row>
    <row r="1599" spans="1:13" x14ac:dyDescent="0.25">
      <c r="A1599" t="s">
        <v>3365</v>
      </c>
      <c r="B1599" t="s">
        <v>4849</v>
      </c>
      <c r="C1599" s="25">
        <v>7123</v>
      </c>
      <c r="D1599" s="28">
        <v>7123</v>
      </c>
      <c r="E1599" s="2" t="str">
        <f t="shared" si="50"/>
        <v>Same</v>
      </c>
      <c r="F1599" s="6" t="s">
        <v>2059</v>
      </c>
      <c r="G1599" s="3">
        <v>31.5</v>
      </c>
      <c r="H1599" s="2" t="s">
        <v>1523</v>
      </c>
      <c r="I1599" s="4">
        <f>[1]Sheet1!I1599</f>
        <v>77</v>
      </c>
      <c r="J1599" s="3" t="str">
        <f t="shared" si="49"/>
        <v>7123_A1C1.webp</v>
      </c>
      <c r="K1599" s="5">
        <f>Sheet4!E1599</f>
        <v>12</v>
      </c>
      <c r="L1599" s="5"/>
      <c r="M1599" s="4"/>
    </row>
    <row r="1600" spans="1:13" x14ac:dyDescent="0.25">
      <c r="A1600" t="s">
        <v>3365</v>
      </c>
      <c r="B1600" t="s">
        <v>4849</v>
      </c>
      <c r="C1600" s="25">
        <v>7124</v>
      </c>
      <c r="D1600" s="28">
        <v>7124</v>
      </c>
      <c r="E1600" s="2" t="str">
        <f t="shared" si="50"/>
        <v>Same</v>
      </c>
      <c r="F1600" s="6" t="s">
        <v>2059</v>
      </c>
      <c r="G1600" s="3">
        <v>24.5</v>
      </c>
      <c r="H1600" s="2" t="s">
        <v>1524</v>
      </c>
      <c r="I1600" s="4">
        <f>[1]Sheet1!I1600</f>
        <v>27</v>
      </c>
      <c r="J1600" s="3" t="str">
        <f t="shared" si="49"/>
        <v>7124_A1C1.webp</v>
      </c>
      <c r="K1600" s="5">
        <f>Sheet4!E1600</f>
        <v>12</v>
      </c>
      <c r="L1600" s="5"/>
      <c r="M1600" s="4"/>
    </row>
    <row r="1601" spans="1:13" x14ac:dyDescent="0.25">
      <c r="A1601" t="s">
        <v>3365</v>
      </c>
      <c r="B1601" t="s">
        <v>4849</v>
      </c>
      <c r="C1601" s="25">
        <v>7125</v>
      </c>
      <c r="D1601" s="28">
        <v>7125</v>
      </c>
      <c r="E1601" s="2" t="str">
        <f t="shared" si="50"/>
        <v>Same</v>
      </c>
      <c r="F1601" s="6" t="s">
        <v>2059</v>
      </c>
      <c r="G1601" s="3">
        <v>24.5</v>
      </c>
      <c r="H1601" s="2" t="s">
        <v>1525</v>
      </c>
      <c r="I1601" s="4">
        <f>[1]Sheet1!I1601</f>
        <v>110</v>
      </c>
      <c r="J1601" s="3" t="str">
        <f t="shared" si="49"/>
        <v>7125_A1C1.webp</v>
      </c>
      <c r="K1601" s="5">
        <f>Sheet4!E1601</f>
        <v>12</v>
      </c>
      <c r="L1601" s="5"/>
      <c r="M1601" s="4"/>
    </row>
    <row r="1602" spans="1:13" x14ac:dyDescent="0.25">
      <c r="A1602" t="s">
        <v>3365</v>
      </c>
      <c r="B1602" t="s">
        <v>4849</v>
      </c>
      <c r="C1602" s="25">
        <v>7126</v>
      </c>
      <c r="D1602" s="28">
        <v>7126</v>
      </c>
      <c r="E1602" s="2" t="str">
        <f t="shared" si="50"/>
        <v>Same</v>
      </c>
      <c r="F1602" s="6" t="s">
        <v>2059</v>
      </c>
      <c r="G1602" s="3">
        <v>24.5</v>
      </c>
      <c r="H1602" s="2" t="s">
        <v>1526</v>
      </c>
      <c r="I1602" s="4">
        <f>[1]Sheet1!I1602</f>
        <v>21</v>
      </c>
      <c r="J1602" s="3" t="str">
        <f t="shared" ref="J1602:J1665" si="51">C1602 &amp; "_A1C1.webp"</f>
        <v>7126_A1C1.webp</v>
      </c>
      <c r="K1602" s="5">
        <f>Sheet4!E1602</f>
        <v>12</v>
      </c>
      <c r="L1602" s="5"/>
      <c r="M1602" s="4"/>
    </row>
    <row r="1603" spans="1:13" x14ac:dyDescent="0.25">
      <c r="A1603" t="s">
        <v>3365</v>
      </c>
      <c r="B1603" t="s">
        <v>4849</v>
      </c>
      <c r="C1603" s="25">
        <v>7128</v>
      </c>
      <c r="D1603" s="28">
        <v>7128</v>
      </c>
      <c r="E1603" s="2" t="str">
        <f t="shared" si="50"/>
        <v>Same</v>
      </c>
      <c r="F1603" s="6" t="s">
        <v>2059</v>
      </c>
      <c r="G1603" s="3">
        <v>34.950000000000003</v>
      </c>
      <c r="H1603" s="2" t="s">
        <v>1527</v>
      </c>
      <c r="I1603" s="4">
        <f>[1]Sheet1!I1603</f>
        <v>278</v>
      </c>
      <c r="J1603" s="3" t="str">
        <f t="shared" si="51"/>
        <v>7128_A1C1.webp</v>
      </c>
      <c r="K1603" s="5">
        <f>Sheet4!E1603</f>
        <v>12</v>
      </c>
      <c r="L1603" s="5"/>
      <c r="M1603" s="4"/>
    </row>
    <row r="1604" spans="1:13" x14ac:dyDescent="0.25">
      <c r="A1604" t="s">
        <v>3365</v>
      </c>
      <c r="B1604" t="s">
        <v>4849</v>
      </c>
      <c r="C1604" s="25">
        <v>7130</v>
      </c>
      <c r="D1604" s="28">
        <v>7130</v>
      </c>
      <c r="E1604" s="2" t="str">
        <f t="shared" si="50"/>
        <v>Same</v>
      </c>
      <c r="F1604" s="6" t="s">
        <v>2059</v>
      </c>
      <c r="G1604" s="3">
        <v>24.5</v>
      </c>
      <c r="H1604" s="2" t="s">
        <v>1528</v>
      </c>
      <c r="I1604" s="4">
        <f>[1]Sheet1!I1604</f>
        <v>54</v>
      </c>
      <c r="J1604" s="3" t="str">
        <f t="shared" si="51"/>
        <v>7130_A1C1.webp</v>
      </c>
      <c r="K1604" s="5">
        <f>Sheet4!E1604</f>
        <v>12</v>
      </c>
      <c r="L1604" s="5"/>
      <c r="M1604" s="4"/>
    </row>
    <row r="1605" spans="1:13" x14ac:dyDescent="0.25">
      <c r="A1605" t="s">
        <v>3365</v>
      </c>
      <c r="B1605" t="s">
        <v>4849</v>
      </c>
      <c r="C1605" s="25">
        <v>7132</v>
      </c>
      <c r="D1605" s="28">
        <v>7132</v>
      </c>
      <c r="E1605" s="2" t="str">
        <f t="shared" si="50"/>
        <v>Same</v>
      </c>
      <c r="F1605" s="6" t="s">
        <v>2059</v>
      </c>
      <c r="G1605" s="3">
        <v>24.5</v>
      </c>
      <c r="H1605" s="2" t="s">
        <v>1529</v>
      </c>
      <c r="I1605" s="4">
        <f>[1]Sheet1!I1605</f>
        <v>95</v>
      </c>
      <c r="J1605" s="3" t="str">
        <f t="shared" si="51"/>
        <v>7132_A1C1.webp</v>
      </c>
      <c r="K1605" s="5">
        <f>Sheet4!E1605</f>
        <v>12</v>
      </c>
      <c r="L1605" s="5"/>
      <c r="M1605" s="4"/>
    </row>
    <row r="1606" spans="1:13" x14ac:dyDescent="0.25">
      <c r="A1606" t="s">
        <v>3365</v>
      </c>
      <c r="B1606" t="s">
        <v>4849</v>
      </c>
      <c r="C1606" s="25">
        <v>7134</v>
      </c>
      <c r="D1606" s="28">
        <v>7134</v>
      </c>
      <c r="E1606" s="2" t="str">
        <f t="shared" si="50"/>
        <v>Same</v>
      </c>
      <c r="F1606" s="6" t="s">
        <v>2059</v>
      </c>
      <c r="G1606" s="3">
        <v>24.5</v>
      </c>
      <c r="H1606" s="2" t="s">
        <v>1530</v>
      </c>
      <c r="I1606" s="4">
        <f>[1]Sheet1!I1606</f>
        <v>32</v>
      </c>
      <c r="J1606" s="3" t="str">
        <f t="shared" si="51"/>
        <v>7134_A1C1.webp</v>
      </c>
      <c r="K1606" s="5">
        <f>Sheet4!E1606</f>
        <v>12</v>
      </c>
      <c r="L1606" s="5"/>
      <c r="M1606" s="4"/>
    </row>
    <row r="1607" spans="1:13" x14ac:dyDescent="0.25">
      <c r="A1607" t="s">
        <v>3365</v>
      </c>
      <c r="B1607" t="s">
        <v>4849</v>
      </c>
      <c r="C1607" s="25">
        <v>7137</v>
      </c>
      <c r="D1607" s="28">
        <v>7137</v>
      </c>
      <c r="E1607" s="2" t="str">
        <f t="shared" si="50"/>
        <v>Same</v>
      </c>
      <c r="F1607" s="6" t="s">
        <v>2059</v>
      </c>
      <c r="G1607" s="3">
        <v>24.5</v>
      </c>
      <c r="H1607" s="2" t="s">
        <v>1531</v>
      </c>
      <c r="I1607" s="4">
        <f>[1]Sheet1!I1607</f>
        <v>31</v>
      </c>
      <c r="J1607" s="3" t="str">
        <f t="shared" si="51"/>
        <v>7137_A1C1.webp</v>
      </c>
      <c r="K1607" s="5">
        <f>Sheet4!E1607</f>
        <v>12</v>
      </c>
      <c r="L1607" s="5"/>
      <c r="M1607" s="4"/>
    </row>
    <row r="1608" spans="1:13" x14ac:dyDescent="0.25">
      <c r="A1608" t="s">
        <v>3365</v>
      </c>
      <c r="B1608" t="s">
        <v>4849</v>
      </c>
      <c r="C1608" s="25">
        <v>7138</v>
      </c>
      <c r="D1608" s="28">
        <v>7138</v>
      </c>
      <c r="E1608" s="2" t="str">
        <f t="shared" si="50"/>
        <v>Same</v>
      </c>
      <c r="F1608" s="6" t="s">
        <v>2059</v>
      </c>
      <c r="G1608" s="3">
        <v>24.5</v>
      </c>
      <c r="H1608" s="2" t="s">
        <v>1532</v>
      </c>
      <c r="I1608" s="4">
        <f>[1]Sheet1!I1608</f>
        <v>292</v>
      </c>
      <c r="J1608" s="3" t="str">
        <f t="shared" si="51"/>
        <v>7138_A1C1.webp</v>
      </c>
      <c r="K1608" s="5">
        <f>Sheet4!E1608</f>
        <v>12</v>
      </c>
      <c r="L1608" s="5"/>
      <c r="M1608" s="4"/>
    </row>
    <row r="1609" spans="1:13" x14ac:dyDescent="0.25">
      <c r="A1609" t="s">
        <v>3365</v>
      </c>
      <c r="B1609" t="s">
        <v>4849</v>
      </c>
      <c r="C1609" s="25">
        <v>7139</v>
      </c>
      <c r="D1609" s="28">
        <v>7139</v>
      </c>
      <c r="E1609" s="2" t="str">
        <f t="shared" ref="E1609:E1672" si="52">IF(C1609=D1609, "Same","New")</f>
        <v>Same</v>
      </c>
      <c r="F1609" s="6" t="s">
        <v>2059</v>
      </c>
      <c r="G1609" s="3">
        <v>24.5</v>
      </c>
      <c r="H1609" s="2" t="s">
        <v>1533</v>
      </c>
      <c r="I1609" s="4">
        <f>[1]Sheet1!I1609</f>
        <v>13</v>
      </c>
      <c r="J1609" s="3" t="str">
        <f t="shared" si="51"/>
        <v>7139_A1C1.webp</v>
      </c>
      <c r="K1609" s="5">
        <f>Sheet4!E1609</f>
        <v>12</v>
      </c>
      <c r="L1609" s="5"/>
      <c r="M1609" s="4"/>
    </row>
    <row r="1610" spans="1:13" x14ac:dyDescent="0.25">
      <c r="A1610" t="s">
        <v>3365</v>
      </c>
      <c r="B1610" t="s">
        <v>4849</v>
      </c>
      <c r="C1610" s="25">
        <v>7140</v>
      </c>
      <c r="D1610" s="28">
        <v>7140</v>
      </c>
      <c r="E1610" s="2" t="str">
        <f t="shared" si="52"/>
        <v>Same</v>
      </c>
      <c r="F1610" s="6" t="s">
        <v>2059</v>
      </c>
      <c r="G1610" s="3">
        <v>24.5</v>
      </c>
      <c r="H1610" s="2" t="s">
        <v>1534</v>
      </c>
      <c r="I1610" s="4">
        <f>[1]Sheet1!I1610</f>
        <v>13</v>
      </c>
      <c r="J1610" s="3" t="str">
        <f t="shared" si="51"/>
        <v>7140_A1C1.webp</v>
      </c>
      <c r="K1610" s="5">
        <f>Sheet4!E1610</f>
        <v>12</v>
      </c>
      <c r="L1610" s="5"/>
      <c r="M1610" s="4"/>
    </row>
    <row r="1611" spans="1:13" x14ac:dyDescent="0.25">
      <c r="A1611" t="s">
        <v>3365</v>
      </c>
      <c r="B1611" t="s">
        <v>4849</v>
      </c>
      <c r="C1611" s="25">
        <v>7141</v>
      </c>
      <c r="D1611" s="28">
        <v>7141</v>
      </c>
      <c r="E1611" s="2" t="str">
        <f t="shared" si="52"/>
        <v>Same</v>
      </c>
      <c r="F1611" s="6" t="s">
        <v>2059</v>
      </c>
      <c r="G1611" s="3">
        <v>24.5</v>
      </c>
      <c r="H1611" s="2" t="s">
        <v>1535</v>
      </c>
      <c r="I1611" s="4">
        <f>[1]Sheet1!I1611</f>
        <v>22</v>
      </c>
      <c r="J1611" s="3" t="str">
        <f t="shared" si="51"/>
        <v>7141_A1C1.webp</v>
      </c>
      <c r="K1611" s="5">
        <f>Sheet4!E1611</f>
        <v>12</v>
      </c>
      <c r="L1611" s="5"/>
      <c r="M1611" s="4"/>
    </row>
    <row r="1612" spans="1:13" x14ac:dyDescent="0.25">
      <c r="A1612" t="s">
        <v>3365</v>
      </c>
      <c r="B1612" t="s">
        <v>4849</v>
      </c>
      <c r="C1612" s="25">
        <v>7145</v>
      </c>
      <c r="D1612" s="28">
        <v>7145</v>
      </c>
      <c r="E1612" s="2" t="str">
        <f t="shared" si="52"/>
        <v>Same</v>
      </c>
      <c r="F1612" s="6" t="s">
        <v>2059</v>
      </c>
      <c r="G1612" s="3">
        <v>24.5</v>
      </c>
      <c r="H1612" s="2" t="s">
        <v>1536</v>
      </c>
      <c r="I1612" s="4">
        <f>[1]Sheet1!I1612</f>
        <v>12</v>
      </c>
      <c r="J1612" s="3" t="str">
        <f t="shared" si="51"/>
        <v>7145_A1C1.webp</v>
      </c>
      <c r="K1612" s="5">
        <f>Sheet4!E1612</f>
        <v>12</v>
      </c>
      <c r="L1612" s="5"/>
      <c r="M1612" s="4"/>
    </row>
    <row r="1613" spans="1:13" x14ac:dyDescent="0.25">
      <c r="A1613" t="s">
        <v>3365</v>
      </c>
      <c r="B1613" t="s">
        <v>4849</v>
      </c>
      <c r="C1613" s="25">
        <v>7146</v>
      </c>
      <c r="D1613" s="28">
        <v>7146</v>
      </c>
      <c r="E1613" s="2" t="str">
        <f t="shared" si="52"/>
        <v>Same</v>
      </c>
      <c r="F1613" s="6" t="s">
        <v>2059</v>
      </c>
      <c r="G1613" s="3">
        <v>24.5</v>
      </c>
      <c r="H1613" s="2" t="s">
        <v>1537</v>
      </c>
      <c r="I1613" s="4">
        <f>[1]Sheet1!I1613</f>
        <v>165</v>
      </c>
      <c r="J1613" s="3" t="str">
        <f t="shared" si="51"/>
        <v>7146_A1C1.webp</v>
      </c>
      <c r="K1613" s="5">
        <f>Sheet4!E1613</f>
        <v>12</v>
      </c>
      <c r="L1613" s="5"/>
      <c r="M1613" s="4"/>
    </row>
    <row r="1614" spans="1:13" x14ac:dyDescent="0.25">
      <c r="A1614" t="s">
        <v>3365</v>
      </c>
      <c r="B1614" t="s">
        <v>4849</v>
      </c>
      <c r="C1614" s="25">
        <v>7147</v>
      </c>
      <c r="D1614" s="28">
        <v>7147</v>
      </c>
      <c r="E1614" s="2" t="str">
        <f t="shared" si="52"/>
        <v>Same</v>
      </c>
      <c r="F1614" s="6" t="s">
        <v>2059</v>
      </c>
      <c r="G1614" s="3">
        <v>24.5</v>
      </c>
      <c r="H1614" s="2" t="s">
        <v>1538</v>
      </c>
      <c r="I1614" s="4">
        <f>[1]Sheet1!I1614</f>
        <v>0</v>
      </c>
      <c r="J1614" s="3" t="str">
        <f t="shared" si="51"/>
        <v>7147_A1C1.webp</v>
      </c>
      <c r="K1614" s="5">
        <f>Sheet4!E1614</f>
        <v>12</v>
      </c>
      <c r="L1614" s="5"/>
      <c r="M1614" s="4"/>
    </row>
    <row r="1615" spans="1:13" x14ac:dyDescent="0.25">
      <c r="A1615" t="s">
        <v>3365</v>
      </c>
      <c r="B1615" t="s">
        <v>4849</v>
      </c>
      <c r="C1615" s="25">
        <v>7148</v>
      </c>
      <c r="D1615" s="28">
        <v>7148</v>
      </c>
      <c r="E1615" s="2" t="str">
        <f t="shared" si="52"/>
        <v>Same</v>
      </c>
      <c r="F1615" s="6" t="s">
        <v>2059</v>
      </c>
      <c r="G1615" s="3">
        <v>24.5</v>
      </c>
      <c r="H1615" s="2" t="s">
        <v>1539</v>
      </c>
      <c r="I1615" s="4">
        <f>[1]Sheet1!I1615</f>
        <v>44</v>
      </c>
      <c r="J1615" s="3" t="str">
        <f t="shared" si="51"/>
        <v>7148_A1C1.webp</v>
      </c>
      <c r="K1615" s="5">
        <f>Sheet4!E1615</f>
        <v>12</v>
      </c>
      <c r="L1615" s="5"/>
      <c r="M1615" s="4"/>
    </row>
    <row r="1616" spans="1:13" x14ac:dyDescent="0.25">
      <c r="A1616" t="s">
        <v>3365</v>
      </c>
      <c r="B1616" t="s">
        <v>4849</v>
      </c>
      <c r="C1616" s="25">
        <v>7150</v>
      </c>
      <c r="D1616" s="28">
        <v>7150</v>
      </c>
      <c r="E1616" s="2" t="str">
        <f t="shared" si="52"/>
        <v>Same</v>
      </c>
      <c r="F1616" s="6" t="s">
        <v>2059</v>
      </c>
      <c r="G1616" s="3">
        <v>24.5</v>
      </c>
      <c r="H1616" s="2" t="s">
        <v>1540</v>
      </c>
      <c r="I1616" s="4">
        <f>[1]Sheet1!I1616</f>
        <v>0</v>
      </c>
      <c r="J1616" s="3" t="str">
        <f t="shared" si="51"/>
        <v>7150_A1C1.webp</v>
      </c>
      <c r="K1616" s="5">
        <f>Sheet4!E1616</f>
        <v>12</v>
      </c>
      <c r="L1616" s="5"/>
      <c r="M1616" s="4"/>
    </row>
    <row r="1617" spans="1:13" x14ac:dyDescent="0.25">
      <c r="A1617" t="s">
        <v>3365</v>
      </c>
      <c r="B1617" t="s">
        <v>4849</v>
      </c>
      <c r="C1617" s="25">
        <v>7153</v>
      </c>
      <c r="D1617" s="28">
        <v>7153</v>
      </c>
      <c r="E1617" s="2" t="str">
        <f t="shared" si="52"/>
        <v>Same</v>
      </c>
      <c r="F1617" s="6" t="s">
        <v>2059</v>
      </c>
      <c r="G1617" s="3">
        <v>24.5</v>
      </c>
      <c r="H1617" s="2" t="s">
        <v>1541</v>
      </c>
      <c r="I1617" s="4">
        <f>[1]Sheet1!I1617</f>
        <v>50</v>
      </c>
      <c r="J1617" s="3" t="str">
        <f t="shared" si="51"/>
        <v>7153_A1C1.webp</v>
      </c>
      <c r="K1617" s="5">
        <f>Sheet4!E1617</f>
        <v>12</v>
      </c>
      <c r="L1617" s="5"/>
      <c r="M1617" s="4"/>
    </row>
    <row r="1618" spans="1:13" x14ac:dyDescent="0.25">
      <c r="A1618" t="s">
        <v>3365</v>
      </c>
      <c r="B1618" t="s">
        <v>4849</v>
      </c>
      <c r="C1618" s="25">
        <v>7154</v>
      </c>
      <c r="D1618" s="28">
        <v>7154</v>
      </c>
      <c r="E1618" s="2" t="str">
        <f t="shared" si="52"/>
        <v>Same</v>
      </c>
      <c r="F1618" s="6" t="s">
        <v>2059</v>
      </c>
      <c r="G1618" s="3">
        <v>24.5</v>
      </c>
      <c r="H1618" s="2" t="s">
        <v>1542</v>
      </c>
      <c r="I1618" s="4">
        <f>[1]Sheet1!I1618</f>
        <v>162</v>
      </c>
      <c r="J1618" s="3" t="str">
        <f t="shared" si="51"/>
        <v>7154_A1C1.webp</v>
      </c>
      <c r="K1618" s="5">
        <f>Sheet4!E1618</f>
        <v>12</v>
      </c>
      <c r="L1618" s="5"/>
      <c r="M1618" s="4"/>
    </row>
    <row r="1619" spans="1:13" x14ac:dyDescent="0.25">
      <c r="A1619" t="s">
        <v>3365</v>
      </c>
      <c r="B1619" t="s">
        <v>4886</v>
      </c>
      <c r="C1619" s="25">
        <v>7155</v>
      </c>
      <c r="D1619" s="28">
        <v>7155</v>
      </c>
      <c r="E1619" s="2" t="str">
        <f t="shared" si="52"/>
        <v>Same</v>
      </c>
      <c r="F1619" s="6" t="s">
        <v>1915</v>
      </c>
      <c r="G1619">
        <v>22.95</v>
      </c>
      <c r="H1619" s="2" t="s">
        <v>1543</v>
      </c>
      <c r="I1619" s="4">
        <f>[1]Sheet1!I1619</f>
        <v>177</v>
      </c>
      <c r="J1619" s="3" t="str">
        <f t="shared" si="51"/>
        <v>7155_A1C1.webp</v>
      </c>
      <c r="K1619" s="5">
        <f>Sheet4!E1619</f>
        <v>24</v>
      </c>
      <c r="L1619" s="5"/>
      <c r="M1619" s="4"/>
    </row>
    <row r="1620" spans="1:13" x14ac:dyDescent="0.25">
      <c r="A1620" t="s">
        <v>3365</v>
      </c>
      <c r="B1620" t="s">
        <v>4886</v>
      </c>
      <c r="C1620" s="25">
        <v>7156</v>
      </c>
      <c r="D1620" s="28">
        <v>7156</v>
      </c>
      <c r="E1620" s="2" t="str">
        <f t="shared" si="52"/>
        <v>Same</v>
      </c>
      <c r="F1620" s="6" t="s">
        <v>1915</v>
      </c>
      <c r="G1620">
        <v>22.95</v>
      </c>
      <c r="H1620" s="2" t="s">
        <v>1544</v>
      </c>
      <c r="I1620" s="4">
        <f>[1]Sheet1!I1620</f>
        <v>139</v>
      </c>
      <c r="J1620" s="3" t="str">
        <f t="shared" si="51"/>
        <v>7156_A1C1.webp</v>
      </c>
      <c r="K1620" s="5">
        <f>Sheet4!E1620</f>
        <v>24</v>
      </c>
      <c r="L1620" s="5"/>
      <c r="M1620" s="4"/>
    </row>
    <row r="1621" spans="1:13" x14ac:dyDescent="0.25">
      <c r="A1621" t="s">
        <v>3365</v>
      </c>
      <c r="B1621" t="s">
        <v>4886</v>
      </c>
      <c r="C1621" s="25">
        <v>7157</v>
      </c>
      <c r="D1621" s="28">
        <v>7157</v>
      </c>
      <c r="E1621" s="2" t="str">
        <f t="shared" si="52"/>
        <v>Same</v>
      </c>
      <c r="F1621" s="6" t="s">
        <v>2061</v>
      </c>
      <c r="G1621">
        <v>22.95</v>
      </c>
      <c r="H1621" s="2" t="s">
        <v>1545</v>
      </c>
      <c r="I1621" s="4">
        <f>[1]Sheet1!I1621</f>
        <v>26</v>
      </c>
      <c r="J1621" s="3" t="str">
        <f t="shared" si="51"/>
        <v>7157_A1C1.webp</v>
      </c>
      <c r="K1621" s="5">
        <f>Sheet4!E1621</f>
        <v>24</v>
      </c>
      <c r="L1621" s="5"/>
      <c r="M1621" s="4"/>
    </row>
    <row r="1622" spans="1:13" x14ac:dyDescent="0.25">
      <c r="A1622" t="s">
        <v>3365</v>
      </c>
      <c r="B1622" t="s">
        <v>4886</v>
      </c>
      <c r="C1622" s="25">
        <v>7158</v>
      </c>
      <c r="D1622" s="28">
        <v>7158</v>
      </c>
      <c r="E1622" s="2" t="str">
        <f t="shared" si="52"/>
        <v>Same</v>
      </c>
      <c r="F1622" s="6" t="s">
        <v>2062</v>
      </c>
      <c r="G1622">
        <v>22.95</v>
      </c>
      <c r="H1622" s="2" t="s">
        <v>1546</v>
      </c>
      <c r="I1622" s="4">
        <f>[1]Sheet1!I1622</f>
        <v>33</v>
      </c>
      <c r="J1622" s="3" t="str">
        <f t="shared" si="51"/>
        <v>7158_A1C1.webp</v>
      </c>
      <c r="K1622" s="5">
        <f>Sheet4!E1622</f>
        <v>24</v>
      </c>
      <c r="L1622" s="5"/>
      <c r="M1622" s="4"/>
    </row>
    <row r="1623" spans="1:13" x14ac:dyDescent="0.25">
      <c r="A1623" t="s">
        <v>3365</v>
      </c>
      <c r="B1623" t="s">
        <v>4886</v>
      </c>
      <c r="C1623" s="25">
        <v>7161</v>
      </c>
      <c r="D1623" s="28">
        <v>7161</v>
      </c>
      <c r="E1623" s="2" t="str">
        <f t="shared" si="52"/>
        <v>Same</v>
      </c>
      <c r="F1623" s="6" t="s">
        <v>1915</v>
      </c>
      <c r="H1623" s="2" t="s">
        <v>1543</v>
      </c>
      <c r="I1623" s="4">
        <f>[1]Sheet1!I1623</f>
        <v>440</v>
      </c>
      <c r="J1623" s="3" t="str">
        <f t="shared" si="51"/>
        <v>7161_A1C1.webp</v>
      </c>
      <c r="K1623" s="5">
        <f>Sheet4!E1623</f>
        <v>24</v>
      </c>
      <c r="L1623" s="5"/>
      <c r="M1623" s="4"/>
    </row>
    <row r="1624" spans="1:13" x14ac:dyDescent="0.25">
      <c r="A1624" t="s">
        <v>3365</v>
      </c>
      <c r="B1624" t="s">
        <v>4849</v>
      </c>
      <c r="C1624" s="25">
        <v>7164</v>
      </c>
      <c r="D1624" s="28">
        <v>7164</v>
      </c>
      <c r="E1624" s="2" t="str">
        <f t="shared" si="52"/>
        <v>Same</v>
      </c>
      <c r="F1624" s="6" t="s">
        <v>2059</v>
      </c>
      <c r="G1624" s="3">
        <v>24.5</v>
      </c>
      <c r="H1624" s="2" t="s">
        <v>1547</v>
      </c>
      <c r="I1624" s="4">
        <f>[1]Sheet1!I1624</f>
        <v>60</v>
      </c>
      <c r="J1624" s="3" t="str">
        <f t="shared" si="51"/>
        <v>7164_A1C1.webp</v>
      </c>
      <c r="K1624" s="5">
        <f>Sheet4!E1624</f>
        <v>12</v>
      </c>
      <c r="L1624" s="5"/>
      <c r="M1624" s="4"/>
    </row>
    <row r="1625" spans="1:13" x14ac:dyDescent="0.25">
      <c r="A1625" t="s">
        <v>3365</v>
      </c>
      <c r="B1625" t="s">
        <v>4849</v>
      </c>
      <c r="C1625" s="25">
        <v>7169</v>
      </c>
      <c r="D1625" s="28">
        <v>7169</v>
      </c>
      <c r="E1625" s="2" t="str">
        <f t="shared" si="52"/>
        <v>Same</v>
      </c>
      <c r="F1625" s="6" t="s">
        <v>2063</v>
      </c>
      <c r="G1625" s="3">
        <v>24.5</v>
      </c>
      <c r="H1625" s="2" t="s">
        <v>1548</v>
      </c>
      <c r="I1625" s="4">
        <f>[1]Sheet1!I1625</f>
        <v>237</v>
      </c>
      <c r="J1625" s="3" t="str">
        <f t="shared" si="51"/>
        <v>7169_A1C1.webp</v>
      </c>
      <c r="K1625" s="5">
        <f>Sheet4!E1625</f>
        <v>12</v>
      </c>
      <c r="L1625" s="5"/>
      <c r="M1625" s="4"/>
    </row>
    <row r="1626" spans="1:13" x14ac:dyDescent="0.25">
      <c r="A1626" t="s">
        <v>4082</v>
      </c>
      <c r="B1626" t="s">
        <v>4083</v>
      </c>
      <c r="C1626" s="25">
        <v>7475</v>
      </c>
      <c r="D1626" s="28">
        <v>7475</v>
      </c>
      <c r="E1626" s="2" t="str">
        <f t="shared" si="52"/>
        <v>Same</v>
      </c>
      <c r="F1626" s="6" t="s">
        <v>1874</v>
      </c>
      <c r="G1626" s="3">
        <v>23.95</v>
      </c>
      <c r="H1626" s="2" t="s">
        <v>1549</v>
      </c>
      <c r="I1626" s="4">
        <f>[1]Sheet1!I1626</f>
        <v>1</v>
      </c>
      <c r="J1626" s="3" t="str">
        <f t="shared" si="51"/>
        <v>7475_A1C1.webp</v>
      </c>
      <c r="K1626" s="5">
        <f>Sheet4!E1626</f>
        <v>12</v>
      </c>
      <c r="L1626" s="5"/>
      <c r="M1626" s="4"/>
    </row>
    <row r="1627" spans="1:13" x14ac:dyDescent="0.25">
      <c r="A1627" t="s">
        <v>4082</v>
      </c>
      <c r="B1627" t="s">
        <v>4083</v>
      </c>
      <c r="C1627" s="25">
        <v>7476</v>
      </c>
      <c r="D1627" s="28">
        <v>7476</v>
      </c>
      <c r="E1627" s="2" t="str">
        <f t="shared" si="52"/>
        <v>Same</v>
      </c>
      <c r="F1627" s="6" t="s">
        <v>1876</v>
      </c>
      <c r="G1627" s="3">
        <v>24.5</v>
      </c>
      <c r="H1627" s="2" t="s">
        <v>1550</v>
      </c>
      <c r="I1627" s="4">
        <f>[1]Sheet1!I1627</f>
        <v>71</v>
      </c>
      <c r="J1627" s="3" t="str">
        <f t="shared" si="51"/>
        <v>7476_A1C1.webp</v>
      </c>
      <c r="K1627" s="5">
        <f>Sheet4!E1627</f>
        <v>12</v>
      </c>
      <c r="L1627" s="5"/>
      <c r="M1627" s="4"/>
    </row>
    <row r="1628" spans="1:13" x14ac:dyDescent="0.25">
      <c r="A1628" t="s">
        <v>2685</v>
      </c>
      <c r="B1628" t="s">
        <v>4207</v>
      </c>
      <c r="C1628" s="25">
        <v>7605</v>
      </c>
      <c r="D1628" s="28">
        <v>7605</v>
      </c>
      <c r="E1628" s="2" t="str">
        <f t="shared" si="52"/>
        <v>Same</v>
      </c>
      <c r="F1628" s="6" t="s">
        <v>1874</v>
      </c>
      <c r="H1628" s="2" t="s">
        <v>1551</v>
      </c>
      <c r="I1628" s="4">
        <f>[1]Sheet1!I1628</f>
        <v>1</v>
      </c>
      <c r="J1628" s="3" t="str">
        <f t="shared" si="51"/>
        <v>7605_A1C1.webp</v>
      </c>
      <c r="K1628" s="5">
        <f>Sheet4!E1628</f>
        <v>24</v>
      </c>
      <c r="L1628" s="5"/>
      <c r="M1628" s="4"/>
    </row>
    <row r="1629" spans="1:13" x14ac:dyDescent="0.25">
      <c r="A1629" t="s">
        <v>2593</v>
      </c>
      <c r="B1629" t="s">
        <v>2696</v>
      </c>
      <c r="C1629" s="25">
        <v>7607</v>
      </c>
      <c r="D1629" s="28">
        <v>7607</v>
      </c>
      <c r="E1629" s="2" t="str">
        <f t="shared" si="52"/>
        <v>Same</v>
      </c>
      <c r="F1629" s="6" t="s">
        <v>1876</v>
      </c>
      <c r="G1629">
        <v>21.95</v>
      </c>
      <c r="H1629" s="2" t="s">
        <v>1552</v>
      </c>
      <c r="I1629" s="4">
        <f>[1]Sheet1!I1629</f>
        <v>0</v>
      </c>
      <c r="J1629" s="3" t="str">
        <f t="shared" si="51"/>
        <v>7607_A1C1.webp</v>
      </c>
      <c r="K1629" s="5">
        <f>Sheet4!E1629</f>
        <v>24</v>
      </c>
      <c r="L1629" s="5"/>
      <c r="M1629" s="4"/>
    </row>
    <row r="1630" spans="1:13" x14ac:dyDescent="0.25">
      <c r="A1630" t="s">
        <v>2593</v>
      </c>
      <c r="B1630" t="s">
        <v>2696</v>
      </c>
      <c r="C1630" s="25">
        <v>7608</v>
      </c>
      <c r="D1630" s="28">
        <v>7608</v>
      </c>
      <c r="E1630" s="2" t="str">
        <f t="shared" si="52"/>
        <v>Same</v>
      </c>
      <c r="F1630" s="6" t="s">
        <v>1840</v>
      </c>
      <c r="G1630">
        <v>21.95</v>
      </c>
      <c r="H1630" s="2" t="s">
        <v>1553</v>
      </c>
      <c r="I1630" s="4">
        <f>[1]Sheet1!I1630</f>
        <v>0</v>
      </c>
      <c r="J1630" s="3" t="str">
        <f t="shared" si="51"/>
        <v>7608_A1C1.webp</v>
      </c>
      <c r="K1630" s="5">
        <f>Sheet4!E1630</f>
        <v>24</v>
      </c>
      <c r="L1630" s="5"/>
      <c r="M1630" s="4"/>
    </row>
    <row r="1631" spans="1:13" x14ac:dyDescent="0.25">
      <c r="A1631" t="s">
        <v>2593</v>
      </c>
      <c r="B1631" t="s">
        <v>2696</v>
      </c>
      <c r="C1631" s="25">
        <v>7741</v>
      </c>
      <c r="D1631" s="28">
        <v>7741</v>
      </c>
      <c r="E1631" s="2" t="str">
        <f t="shared" si="52"/>
        <v>Same</v>
      </c>
      <c r="F1631" s="6" t="s">
        <v>1877</v>
      </c>
      <c r="H1631" s="2" t="s">
        <v>1554</v>
      </c>
      <c r="I1631" s="4">
        <f>[1]Sheet1!I1631</f>
        <v>0</v>
      </c>
      <c r="J1631" s="3" t="str">
        <f t="shared" si="51"/>
        <v>7741_A1C1.webp</v>
      </c>
      <c r="K1631" s="5">
        <f>Sheet4!E1631</f>
        <v>12</v>
      </c>
      <c r="L1631" s="5"/>
      <c r="M1631" s="4"/>
    </row>
    <row r="1632" spans="1:13" x14ac:dyDescent="0.25">
      <c r="A1632" t="s">
        <v>2593</v>
      </c>
      <c r="B1632" t="s">
        <v>2696</v>
      </c>
      <c r="C1632" s="25">
        <v>7742</v>
      </c>
      <c r="D1632" s="28">
        <v>7742</v>
      </c>
      <c r="E1632" s="2" t="str">
        <f t="shared" si="52"/>
        <v>Same</v>
      </c>
      <c r="F1632" s="6" t="s">
        <v>2064</v>
      </c>
      <c r="H1632" s="2" t="s">
        <v>1554</v>
      </c>
      <c r="I1632" s="4">
        <f>[1]Sheet1!I1632</f>
        <v>0</v>
      </c>
      <c r="J1632" s="3" t="str">
        <f t="shared" si="51"/>
        <v>7742_A1C1.webp</v>
      </c>
      <c r="K1632" s="5">
        <f>Sheet4!E1632</f>
        <v>6</v>
      </c>
      <c r="L1632" s="5"/>
      <c r="M1632" s="4"/>
    </row>
    <row r="1633" spans="1:13" x14ac:dyDescent="0.25">
      <c r="A1633" t="s">
        <v>2518</v>
      </c>
      <c r="B1633" t="s">
        <v>3482</v>
      </c>
      <c r="C1633" s="25">
        <v>7779</v>
      </c>
      <c r="D1633" s="28">
        <v>7779</v>
      </c>
      <c r="E1633" s="2" t="str">
        <f t="shared" si="52"/>
        <v>Same</v>
      </c>
      <c r="F1633" s="6" t="s">
        <v>1877</v>
      </c>
      <c r="H1633" s="2" t="s">
        <v>1555</v>
      </c>
      <c r="I1633" s="4">
        <f>[1]Sheet1!I1633</f>
        <v>320</v>
      </c>
      <c r="J1633" s="3" t="str">
        <f t="shared" si="51"/>
        <v>7779_A1C1.webp</v>
      </c>
      <c r="K1633" s="5">
        <f>Sheet4!E1633</f>
        <v>12</v>
      </c>
      <c r="L1633" s="5"/>
      <c r="M1633" s="4"/>
    </row>
    <row r="1634" spans="1:13" x14ac:dyDescent="0.25">
      <c r="A1634" t="s">
        <v>2518</v>
      </c>
      <c r="B1634" t="s">
        <v>3482</v>
      </c>
      <c r="C1634" s="25">
        <v>7780</v>
      </c>
      <c r="D1634" s="28">
        <v>7780</v>
      </c>
      <c r="E1634" s="2" t="str">
        <f t="shared" si="52"/>
        <v>Same</v>
      </c>
      <c r="F1634" s="6" t="s">
        <v>1877</v>
      </c>
      <c r="H1634" s="2" t="s">
        <v>1556</v>
      </c>
      <c r="I1634" s="4">
        <f>[1]Sheet1!I1634</f>
        <v>0</v>
      </c>
      <c r="J1634" s="3" t="str">
        <f t="shared" si="51"/>
        <v>7780_A1C1.webp</v>
      </c>
      <c r="K1634" s="5">
        <f>Sheet4!E1634</f>
        <v>12</v>
      </c>
      <c r="L1634" s="5"/>
      <c r="M1634" s="4"/>
    </row>
    <row r="1635" spans="1:13" x14ac:dyDescent="0.25">
      <c r="A1635" t="s">
        <v>2518</v>
      </c>
      <c r="B1635" t="s">
        <v>3482</v>
      </c>
      <c r="C1635" s="25">
        <v>7781</v>
      </c>
      <c r="D1635" s="28">
        <v>7781</v>
      </c>
      <c r="E1635" s="2" t="str">
        <f t="shared" si="52"/>
        <v>Same</v>
      </c>
      <c r="F1635" s="6" t="s">
        <v>1876</v>
      </c>
      <c r="H1635" s="2" t="s">
        <v>1557</v>
      </c>
      <c r="I1635" s="4">
        <f>[1]Sheet1!I1635</f>
        <v>0</v>
      </c>
      <c r="J1635" s="3" t="str">
        <f t="shared" si="51"/>
        <v>7781_A1C1.webp</v>
      </c>
      <c r="K1635" s="5">
        <f>Sheet4!E1635</f>
        <v>24</v>
      </c>
      <c r="L1635" s="5"/>
      <c r="M1635" s="4"/>
    </row>
    <row r="1636" spans="1:13" x14ac:dyDescent="0.25">
      <c r="A1636" t="s">
        <v>2518</v>
      </c>
      <c r="B1636" t="s">
        <v>3482</v>
      </c>
      <c r="C1636" s="25">
        <v>7782</v>
      </c>
      <c r="D1636" s="28">
        <v>7782</v>
      </c>
      <c r="E1636" s="2" t="str">
        <f t="shared" si="52"/>
        <v>Same</v>
      </c>
      <c r="F1636" s="6" t="s">
        <v>1876</v>
      </c>
      <c r="H1636" s="2" t="s">
        <v>1558</v>
      </c>
      <c r="I1636" s="4">
        <f>[1]Sheet1!I1636</f>
        <v>136</v>
      </c>
      <c r="J1636" s="3" t="str">
        <f t="shared" si="51"/>
        <v>7782_A1C1.webp</v>
      </c>
      <c r="K1636" s="5">
        <f>Sheet4!E1636</f>
        <v>24</v>
      </c>
      <c r="L1636" s="5"/>
      <c r="M1636" s="4"/>
    </row>
    <row r="1637" spans="1:13" x14ac:dyDescent="0.25">
      <c r="A1637" t="s">
        <v>2633</v>
      </c>
      <c r="B1637" t="s">
        <v>3959</v>
      </c>
      <c r="C1637" s="25">
        <v>7795</v>
      </c>
      <c r="D1637" s="28">
        <v>7795</v>
      </c>
      <c r="E1637" s="2" t="str">
        <f t="shared" si="52"/>
        <v>Same</v>
      </c>
      <c r="F1637" s="6" t="s">
        <v>1842</v>
      </c>
      <c r="H1637" s="2" t="s">
        <v>1559</v>
      </c>
      <c r="I1637" s="4">
        <f>[1]Sheet1!I1637</f>
        <v>0</v>
      </c>
      <c r="J1637" s="3" t="str">
        <f t="shared" si="51"/>
        <v>7795_A1C1.webp</v>
      </c>
      <c r="K1637" s="5">
        <f>Sheet4!E1637</f>
        <v>12</v>
      </c>
      <c r="L1637" s="5"/>
      <c r="M1637" s="4"/>
    </row>
    <row r="1638" spans="1:13" x14ac:dyDescent="0.25">
      <c r="A1638" t="s">
        <v>2207</v>
      </c>
      <c r="B1638" t="s">
        <v>3959</v>
      </c>
      <c r="C1638" s="25">
        <v>7796</v>
      </c>
      <c r="D1638" s="28">
        <v>7796</v>
      </c>
      <c r="E1638" s="2" t="str">
        <f t="shared" si="52"/>
        <v>Same</v>
      </c>
      <c r="F1638" s="6" t="s">
        <v>1842</v>
      </c>
      <c r="H1638" s="2" t="s">
        <v>1560</v>
      </c>
      <c r="I1638" s="4">
        <f>[1]Sheet1!I1638</f>
        <v>0</v>
      </c>
      <c r="J1638" s="3" t="str">
        <f t="shared" si="51"/>
        <v>7796_A1C1.webp</v>
      </c>
      <c r="K1638" s="5">
        <f>Sheet4!E1638</f>
        <v>12</v>
      </c>
      <c r="L1638" s="5"/>
      <c r="M1638" s="4"/>
    </row>
    <row r="1639" spans="1:13" x14ac:dyDescent="0.25">
      <c r="A1639" t="s">
        <v>3258</v>
      </c>
      <c r="B1639" t="s">
        <v>3997</v>
      </c>
      <c r="C1639" s="25">
        <v>7804</v>
      </c>
      <c r="D1639" s="28">
        <v>7804</v>
      </c>
      <c r="E1639" s="2" t="str">
        <f t="shared" si="52"/>
        <v>Same</v>
      </c>
      <c r="F1639" s="6" t="s">
        <v>1869</v>
      </c>
      <c r="H1639" s="2" t="s">
        <v>1561</v>
      </c>
      <c r="I1639" s="4">
        <f>[1]Sheet1!I1639</f>
        <v>0</v>
      </c>
      <c r="J1639" s="3" t="str">
        <f t="shared" si="51"/>
        <v>7804_A1C1.webp</v>
      </c>
      <c r="K1639" s="5">
        <f>Sheet4!E1639</f>
        <v>24</v>
      </c>
      <c r="L1639" s="5"/>
      <c r="M1639" s="4"/>
    </row>
    <row r="1640" spans="1:13" x14ac:dyDescent="0.25">
      <c r="A1640" t="s">
        <v>3258</v>
      </c>
      <c r="B1640" t="s">
        <v>3997</v>
      </c>
      <c r="C1640" s="25">
        <v>7806</v>
      </c>
      <c r="D1640" s="28">
        <v>7806</v>
      </c>
      <c r="E1640" s="2" t="str">
        <f t="shared" si="52"/>
        <v>Same</v>
      </c>
      <c r="F1640" s="6" t="s">
        <v>1869</v>
      </c>
      <c r="H1640" s="2" t="s">
        <v>1562</v>
      </c>
      <c r="I1640" s="4">
        <f>[1]Sheet1!I1640</f>
        <v>0</v>
      </c>
      <c r="J1640" s="3" t="str">
        <f t="shared" si="51"/>
        <v>7806_A1C1.webp</v>
      </c>
      <c r="K1640" s="5">
        <f>Sheet4!E1640</f>
        <v>24</v>
      </c>
      <c r="L1640" s="5"/>
      <c r="M1640" s="4"/>
    </row>
    <row r="1641" spans="1:13" x14ac:dyDescent="0.25">
      <c r="A1641" t="s">
        <v>2685</v>
      </c>
      <c r="B1641" t="s">
        <v>4207</v>
      </c>
      <c r="C1641" s="25">
        <v>7822</v>
      </c>
      <c r="D1641" s="28">
        <v>7822</v>
      </c>
      <c r="E1641" s="2" t="str">
        <f t="shared" si="52"/>
        <v>Same</v>
      </c>
      <c r="F1641" s="6" t="s">
        <v>1874</v>
      </c>
      <c r="H1641" s="2" t="s">
        <v>1563</v>
      </c>
      <c r="I1641" s="4">
        <f>[1]Sheet1!I1641</f>
        <v>0</v>
      </c>
      <c r="J1641" s="3" t="str">
        <f t="shared" si="51"/>
        <v>7822_A1C1.webp</v>
      </c>
      <c r="K1641" s="5">
        <f>Sheet4!E1641</f>
        <v>4</v>
      </c>
      <c r="L1641" s="5"/>
      <c r="M1641" s="4"/>
    </row>
    <row r="1642" spans="1:13" x14ac:dyDescent="0.25">
      <c r="A1642" t="s">
        <v>3258</v>
      </c>
      <c r="B1642" t="s">
        <v>3930</v>
      </c>
      <c r="C1642" s="25">
        <v>7951</v>
      </c>
      <c r="D1642" s="28">
        <v>7951</v>
      </c>
      <c r="E1642" s="2" t="str">
        <f t="shared" si="52"/>
        <v>Same</v>
      </c>
      <c r="F1642" s="6" t="s">
        <v>2065</v>
      </c>
      <c r="H1642" s="2" t="s">
        <v>1564</v>
      </c>
      <c r="I1642" s="4">
        <f>[1]Sheet1!I1642</f>
        <v>230</v>
      </c>
      <c r="J1642" s="3" t="str">
        <f t="shared" si="51"/>
        <v>7951_A1C1.webp</v>
      </c>
      <c r="K1642" s="5">
        <f>Sheet4!E1642</f>
        <v>6</v>
      </c>
      <c r="L1642" s="5"/>
      <c r="M1642" s="4"/>
    </row>
    <row r="1643" spans="1:13" x14ac:dyDescent="0.25">
      <c r="A1643" t="s">
        <v>2671</v>
      </c>
      <c r="B1643" t="s">
        <v>3643</v>
      </c>
      <c r="C1643" s="25">
        <v>8407</v>
      </c>
      <c r="D1643" s="28">
        <v>8407</v>
      </c>
      <c r="E1643" s="2" t="str">
        <f t="shared" si="52"/>
        <v>Same</v>
      </c>
      <c r="F1643" s="6" t="s">
        <v>1869</v>
      </c>
      <c r="G1643">
        <v>83.95</v>
      </c>
      <c r="H1643" s="2" t="s">
        <v>1565</v>
      </c>
      <c r="I1643" s="4">
        <f>[1]Sheet1!I1643</f>
        <v>507</v>
      </c>
      <c r="J1643" s="3" t="str">
        <f t="shared" si="51"/>
        <v>8407_A1C1.webp</v>
      </c>
      <c r="K1643" s="5">
        <f>Sheet4!E1643</f>
        <v>56</v>
      </c>
      <c r="L1643" s="5"/>
      <c r="M1643" s="4"/>
    </row>
    <row r="1644" spans="1:13" x14ac:dyDescent="0.25">
      <c r="A1644" t="s">
        <v>2671</v>
      </c>
      <c r="B1644" t="s">
        <v>3643</v>
      </c>
      <c r="C1644" s="25">
        <v>8408</v>
      </c>
      <c r="D1644" s="28">
        <v>8408</v>
      </c>
      <c r="E1644" s="2" t="str">
        <f t="shared" si="52"/>
        <v>Same</v>
      </c>
      <c r="F1644" s="6" t="s">
        <v>1922</v>
      </c>
      <c r="G1644">
        <v>83.95</v>
      </c>
      <c r="H1644" s="2" t="s">
        <v>1566</v>
      </c>
      <c r="I1644" s="4">
        <f>[1]Sheet1!I1644</f>
        <v>112</v>
      </c>
      <c r="J1644" s="3" t="str">
        <f t="shared" si="51"/>
        <v>8408_A1C1.webp</v>
      </c>
      <c r="K1644" s="5">
        <f>Sheet4!E1644</f>
        <v>24</v>
      </c>
      <c r="L1644" s="5"/>
      <c r="M1644" s="4"/>
    </row>
    <row r="1645" spans="1:13" x14ac:dyDescent="0.25">
      <c r="A1645" t="s">
        <v>3875</v>
      </c>
      <c r="B1645" t="s">
        <v>4899</v>
      </c>
      <c r="C1645" s="25">
        <v>8440</v>
      </c>
      <c r="D1645" s="28">
        <v>8440</v>
      </c>
      <c r="E1645" s="2" t="str">
        <f t="shared" si="52"/>
        <v>Same</v>
      </c>
      <c r="F1645" s="6" t="s">
        <v>1859</v>
      </c>
      <c r="G1645" s="3">
        <v>25.75</v>
      </c>
      <c r="H1645" s="2" t="s">
        <v>1567</v>
      </c>
      <c r="I1645" s="4">
        <f>[1]Sheet1!I1645</f>
        <v>253</v>
      </c>
      <c r="J1645" s="3" t="str">
        <f t="shared" si="51"/>
        <v>8440_A1C1.webp</v>
      </c>
      <c r="K1645" s="5">
        <f>Sheet4!E1645</f>
        <v>12</v>
      </c>
      <c r="L1645" s="5" t="s">
        <v>5278</v>
      </c>
      <c r="M1645" s="4"/>
    </row>
    <row r="1646" spans="1:13" x14ac:dyDescent="0.25">
      <c r="A1646" t="s">
        <v>3875</v>
      </c>
      <c r="B1646" t="s">
        <v>4899</v>
      </c>
      <c r="C1646" s="25">
        <v>8441</v>
      </c>
      <c r="D1646" s="28">
        <v>8441</v>
      </c>
      <c r="E1646" s="2" t="str">
        <f t="shared" si="52"/>
        <v>Same</v>
      </c>
      <c r="F1646" s="6" t="s">
        <v>1859</v>
      </c>
      <c r="G1646" s="3">
        <v>25.75</v>
      </c>
      <c r="H1646" s="2" t="s">
        <v>1568</v>
      </c>
      <c r="I1646" s="4">
        <f>[1]Sheet1!I1646</f>
        <v>254</v>
      </c>
      <c r="J1646" s="3" t="str">
        <f t="shared" si="51"/>
        <v>8441_A1C1.webp</v>
      </c>
      <c r="K1646" s="5">
        <f>Sheet4!E1646</f>
        <v>12</v>
      </c>
      <c r="L1646" s="5" t="s">
        <v>5278</v>
      </c>
      <c r="M1646" s="4"/>
    </row>
    <row r="1647" spans="1:13" x14ac:dyDescent="0.25">
      <c r="A1647" t="s">
        <v>3875</v>
      </c>
      <c r="B1647" t="s">
        <v>4899</v>
      </c>
      <c r="C1647" s="25">
        <v>8442</v>
      </c>
      <c r="D1647" s="28">
        <v>8442</v>
      </c>
      <c r="E1647" s="2" t="str">
        <f t="shared" si="52"/>
        <v>Same</v>
      </c>
      <c r="F1647" s="6" t="s">
        <v>1859</v>
      </c>
      <c r="G1647" s="3">
        <v>25.75</v>
      </c>
      <c r="H1647" s="2" t="s">
        <v>1569</v>
      </c>
      <c r="I1647" s="4">
        <f>[1]Sheet1!I1647</f>
        <v>251</v>
      </c>
      <c r="J1647" s="3" t="str">
        <f t="shared" si="51"/>
        <v>8442_A1C1.webp</v>
      </c>
      <c r="K1647" s="5">
        <f>Sheet4!E1647</f>
        <v>12</v>
      </c>
      <c r="L1647" s="5" t="s">
        <v>5278</v>
      </c>
      <c r="M1647" s="4"/>
    </row>
    <row r="1648" spans="1:13" x14ac:dyDescent="0.25">
      <c r="A1648" t="s">
        <v>2944</v>
      </c>
      <c r="B1648" t="s">
        <v>3054</v>
      </c>
      <c r="C1648" s="25">
        <v>8453</v>
      </c>
      <c r="D1648" s="28">
        <v>8453</v>
      </c>
      <c r="E1648" s="2" t="str">
        <f t="shared" si="52"/>
        <v>Same</v>
      </c>
      <c r="F1648" s="6" t="s">
        <v>1907</v>
      </c>
      <c r="G1648" s="3">
        <v>634.95000000000005</v>
      </c>
      <c r="H1648" s="2" t="s">
        <v>1570</v>
      </c>
      <c r="I1648" s="4">
        <f>[1]Sheet1!I1648</f>
        <v>6</v>
      </c>
      <c r="J1648" s="3" t="str">
        <f t="shared" si="51"/>
        <v>8453_A1C1.webp</v>
      </c>
      <c r="K1648" s="5">
        <f>Sheet4!E1648</f>
        <v>80</v>
      </c>
      <c r="L1648" s="5"/>
      <c r="M1648" s="4"/>
    </row>
    <row r="1649" spans="1:13" x14ac:dyDescent="0.25">
      <c r="A1649" t="s">
        <v>2944</v>
      </c>
      <c r="B1649" t="s">
        <v>2945</v>
      </c>
      <c r="C1649" s="25">
        <v>8454</v>
      </c>
      <c r="D1649" s="28">
        <v>8454</v>
      </c>
      <c r="E1649" s="2" t="str">
        <f t="shared" si="52"/>
        <v>Same</v>
      </c>
      <c r="F1649" s="6" t="s">
        <v>1866</v>
      </c>
      <c r="G1649" s="3">
        <v>82.5</v>
      </c>
      <c r="H1649" s="2" t="s">
        <v>1571</v>
      </c>
      <c r="I1649" s="4">
        <f>[1]Sheet1!I1649</f>
        <v>36</v>
      </c>
      <c r="J1649" s="3" t="str">
        <f t="shared" si="51"/>
        <v>8454_A1C1.webp</v>
      </c>
      <c r="K1649" s="5">
        <f>Sheet4!E1649</f>
        <v>48</v>
      </c>
      <c r="L1649" s="5"/>
      <c r="M1649" s="4"/>
    </row>
    <row r="1650" spans="1:13" x14ac:dyDescent="0.25">
      <c r="A1650" t="s">
        <v>2671</v>
      </c>
      <c r="B1650" t="s">
        <v>2944</v>
      </c>
      <c r="C1650" s="25">
        <v>8455</v>
      </c>
      <c r="D1650" s="28">
        <v>8455</v>
      </c>
      <c r="E1650" s="2" t="str">
        <f t="shared" si="52"/>
        <v>Same</v>
      </c>
      <c r="F1650" s="6" t="s">
        <v>1899</v>
      </c>
      <c r="G1650" s="3">
        <v>138.5</v>
      </c>
      <c r="H1650" s="2" t="s">
        <v>1572</v>
      </c>
      <c r="I1650" s="4">
        <f>[1]Sheet1!I1650</f>
        <v>71</v>
      </c>
      <c r="J1650" s="3" t="str">
        <f t="shared" si="51"/>
        <v>8455_A1C1.webp</v>
      </c>
      <c r="K1650" s="5">
        <f>Sheet4!E1650</f>
        <v>24</v>
      </c>
      <c r="L1650" s="5"/>
      <c r="M1650" s="4"/>
    </row>
    <row r="1651" spans="1:13" x14ac:dyDescent="0.25">
      <c r="A1651" t="s">
        <v>2671</v>
      </c>
      <c r="B1651" t="s">
        <v>4372</v>
      </c>
      <c r="C1651" s="25">
        <v>8459</v>
      </c>
      <c r="D1651" s="28">
        <v>8459</v>
      </c>
      <c r="E1651" s="2" t="str">
        <f t="shared" si="52"/>
        <v>Same</v>
      </c>
      <c r="F1651" s="6" t="s">
        <v>1863</v>
      </c>
      <c r="H1651" s="2" t="s">
        <v>1573</v>
      </c>
      <c r="I1651" s="4">
        <f>[1]Sheet1!I1651</f>
        <v>0</v>
      </c>
      <c r="J1651" s="3" t="str">
        <f t="shared" si="51"/>
        <v>8459_A1C1.webp</v>
      </c>
      <c r="K1651" s="5">
        <f>Sheet4!E1651</f>
        <v>96</v>
      </c>
      <c r="L1651" s="5"/>
      <c r="M1651" s="4"/>
    </row>
    <row r="1652" spans="1:13" x14ac:dyDescent="0.25">
      <c r="A1652" t="s">
        <v>3875</v>
      </c>
      <c r="B1652" t="s">
        <v>4392</v>
      </c>
      <c r="C1652" s="25">
        <v>8460</v>
      </c>
      <c r="D1652" s="28">
        <v>8460</v>
      </c>
      <c r="E1652" s="2" t="str">
        <f t="shared" si="52"/>
        <v>Same</v>
      </c>
      <c r="F1652" s="6" t="s">
        <v>1863</v>
      </c>
      <c r="H1652" s="2" t="s">
        <v>1574</v>
      </c>
      <c r="I1652" s="4">
        <f>[1]Sheet1!I1652</f>
        <v>0</v>
      </c>
      <c r="J1652" s="3" t="str">
        <f t="shared" si="51"/>
        <v>8460_A1C1.webp</v>
      </c>
      <c r="K1652" s="5">
        <f>Sheet4!E1652</f>
        <v>48</v>
      </c>
      <c r="L1652" s="5"/>
      <c r="M1652" s="4"/>
    </row>
    <row r="1653" spans="1:13" x14ac:dyDescent="0.25">
      <c r="A1653" t="s">
        <v>2518</v>
      </c>
      <c r="B1653" t="s">
        <v>5264</v>
      </c>
      <c r="C1653" s="25">
        <v>8464</v>
      </c>
      <c r="D1653" s="28">
        <v>8464</v>
      </c>
      <c r="E1653" s="2" t="str">
        <f t="shared" si="52"/>
        <v>Same</v>
      </c>
      <c r="F1653" s="6" t="s">
        <v>1877</v>
      </c>
      <c r="H1653" s="2" t="s">
        <v>1575</v>
      </c>
      <c r="I1653" s="4">
        <f>[1]Sheet1!I1653</f>
        <v>0</v>
      </c>
      <c r="J1653" s="3" t="str">
        <f t="shared" si="51"/>
        <v>8464_A1C1.webp</v>
      </c>
      <c r="K1653" s="5">
        <f>Sheet4!E1653</f>
        <v>240</v>
      </c>
      <c r="L1653" s="5"/>
      <c r="M1653" s="4"/>
    </row>
    <row r="1654" spans="1:13" x14ac:dyDescent="0.25">
      <c r="A1654" t="s">
        <v>2518</v>
      </c>
      <c r="B1654" t="s">
        <v>2548</v>
      </c>
      <c r="C1654" s="25">
        <v>8466</v>
      </c>
      <c r="D1654" s="28">
        <v>8466</v>
      </c>
      <c r="E1654" s="2" t="str">
        <f t="shared" si="52"/>
        <v>Same</v>
      </c>
      <c r="F1654" s="6" t="s">
        <v>1880</v>
      </c>
      <c r="G1654" s="3">
        <v>580.79999999999995</v>
      </c>
      <c r="H1654" s="2" t="s">
        <v>1576</v>
      </c>
      <c r="I1654" s="4">
        <f>[1]Sheet1!I1654</f>
        <v>120</v>
      </c>
      <c r="J1654" s="3" t="str">
        <f t="shared" si="51"/>
        <v>8466_A1C1.webp</v>
      </c>
      <c r="K1654" s="5">
        <f>Sheet4!E1654</f>
        <v>528</v>
      </c>
      <c r="L1654" s="5"/>
      <c r="M1654" s="4"/>
    </row>
    <row r="1655" spans="1:13" x14ac:dyDescent="0.25">
      <c r="A1655" t="s">
        <v>2518</v>
      </c>
      <c r="B1655" t="s">
        <v>2548</v>
      </c>
      <c r="C1655" s="25">
        <v>8467</v>
      </c>
      <c r="D1655" s="28">
        <v>8467</v>
      </c>
      <c r="E1655" s="2" t="str">
        <f t="shared" si="52"/>
        <v>Same</v>
      </c>
      <c r="F1655" s="6" t="s">
        <v>1880</v>
      </c>
      <c r="G1655" s="3">
        <v>580.79999999999995</v>
      </c>
      <c r="H1655" s="2" t="s">
        <v>1577</v>
      </c>
      <c r="I1655" s="4">
        <f>[1]Sheet1!I1655</f>
        <v>77</v>
      </c>
      <c r="J1655" s="3" t="str">
        <f t="shared" si="51"/>
        <v>8467_A1C1.webp</v>
      </c>
      <c r="K1655" s="5">
        <f>Sheet4!E1655</f>
        <v>528</v>
      </c>
      <c r="L1655" s="5"/>
      <c r="M1655" s="4"/>
    </row>
    <row r="1656" spans="1:13" x14ac:dyDescent="0.25">
      <c r="A1656" t="s">
        <v>2518</v>
      </c>
      <c r="B1656" t="s">
        <v>2548</v>
      </c>
      <c r="C1656" s="25">
        <v>8468</v>
      </c>
      <c r="D1656" s="28">
        <v>8468</v>
      </c>
      <c r="E1656" s="2" t="str">
        <f t="shared" si="52"/>
        <v>Same</v>
      </c>
      <c r="F1656" s="6" t="s">
        <v>1880</v>
      </c>
      <c r="G1656" s="3">
        <v>580.79999999999995</v>
      </c>
      <c r="H1656" s="2" t="s">
        <v>1578</v>
      </c>
      <c r="I1656" s="4">
        <f>[1]Sheet1!I1656</f>
        <v>60</v>
      </c>
      <c r="J1656" s="3" t="str">
        <f t="shared" si="51"/>
        <v>8468_A1C1.webp</v>
      </c>
      <c r="K1656" s="5">
        <f>Sheet4!E1656</f>
        <v>528</v>
      </c>
      <c r="L1656" s="5"/>
      <c r="M1656" s="4"/>
    </row>
    <row r="1657" spans="1:13" x14ac:dyDescent="0.25">
      <c r="A1657" t="s">
        <v>2518</v>
      </c>
      <c r="B1657" t="s">
        <v>2548</v>
      </c>
      <c r="C1657" s="25">
        <v>8469</v>
      </c>
      <c r="D1657" s="28">
        <v>8469</v>
      </c>
      <c r="E1657" s="2" t="str">
        <f t="shared" si="52"/>
        <v>Same</v>
      </c>
      <c r="F1657" s="6" t="s">
        <v>1880</v>
      </c>
      <c r="G1657" s="3">
        <v>580.79999999999995</v>
      </c>
      <c r="H1657" s="2" t="s">
        <v>1579</v>
      </c>
      <c r="I1657" s="4">
        <f>[1]Sheet1!I1657</f>
        <v>51</v>
      </c>
      <c r="J1657" s="3" t="str">
        <f t="shared" si="51"/>
        <v>8469_A1C1.webp</v>
      </c>
      <c r="K1657" s="5">
        <f>Sheet4!E1657</f>
        <v>528</v>
      </c>
      <c r="L1657" s="5"/>
      <c r="M1657" s="4"/>
    </row>
    <row r="1658" spans="1:13" x14ac:dyDescent="0.25">
      <c r="A1658" t="s">
        <v>2518</v>
      </c>
      <c r="B1658" t="s">
        <v>5264</v>
      </c>
      <c r="C1658" s="25">
        <v>8472</v>
      </c>
      <c r="D1658" s="28">
        <v>8472</v>
      </c>
      <c r="E1658" s="2" t="str">
        <f t="shared" si="52"/>
        <v>Same</v>
      </c>
      <c r="F1658" s="6" t="s">
        <v>1880</v>
      </c>
      <c r="H1658" s="2" t="s">
        <v>1580</v>
      </c>
      <c r="I1658" s="4">
        <f>[1]Sheet1!I1658</f>
        <v>15</v>
      </c>
      <c r="J1658" s="3" t="str">
        <f t="shared" si="51"/>
        <v>8472_A1C1.webp</v>
      </c>
      <c r="K1658" s="5">
        <f>Sheet4!E1658</f>
        <v>528</v>
      </c>
      <c r="L1658" s="5"/>
      <c r="M1658" s="4"/>
    </row>
    <row r="1659" spans="1:13" x14ac:dyDescent="0.25">
      <c r="A1659" t="s">
        <v>2518</v>
      </c>
      <c r="B1659" t="s">
        <v>5264</v>
      </c>
      <c r="C1659" s="25">
        <v>8473</v>
      </c>
      <c r="D1659" s="28">
        <v>8473</v>
      </c>
      <c r="E1659" s="2" t="str">
        <f t="shared" si="52"/>
        <v>Same</v>
      </c>
      <c r="F1659" s="6" t="s">
        <v>1880</v>
      </c>
      <c r="H1659" s="2" t="s">
        <v>1581</v>
      </c>
      <c r="I1659" s="4">
        <f>[1]Sheet1!I1659</f>
        <v>11</v>
      </c>
      <c r="J1659" s="3" t="str">
        <f t="shared" si="51"/>
        <v>8473_A1C1.webp</v>
      </c>
      <c r="K1659" s="5">
        <f>Sheet4!E1659</f>
        <v>528</v>
      </c>
      <c r="L1659" s="5"/>
      <c r="M1659" s="4"/>
    </row>
    <row r="1660" spans="1:13" x14ac:dyDescent="0.25">
      <c r="A1660" t="s">
        <v>2685</v>
      </c>
      <c r="B1660" t="s">
        <v>5264</v>
      </c>
      <c r="C1660" s="25">
        <v>8476</v>
      </c>
      <c r="D1660" s="28">
        <v>8476</v>
      </c>
      <c r="E1660" s="2" t="str">
        <f t="shared" si="52"/>
        <v>Same</v>
      </c>
      <c r="F1660" s="6" t="s">
        <v>1913</v>
      </c>
      <c r="H1660" s="2" t="s">
        <v>1582</v>
      </c>
      <c r="I1660" s="4">
        <f>[1]Sheet1!I1660</f>
        <v>0</v>
      </c>
      <c r="J1660" s="3" t="str">
        <f t="shared" si="51"/>
        <v>8476_A1C1.webp</v>
      </c>
      <c r="K1660" s="5">
        <f>Sheet4!E1660</f>
        <v>240</v>
      </c>
      <c r="L1660" s="5"/>
      <c r="M1660" s="4"/>
    </row>
    <row r="1661" spans="1:13" x14ac:dyDescent="0.25">
      <c r="A1661" t="s">
        <v>5265</v>
      </c>
      <c r="B1661" t="s">
        <v>5265</v>
      </c>
      <c r="C1661" s="25">
        <v>8485</v>
      </c>
      <c r="D1661" s="28">
        <v>8485</v>
      </c>
      <c r="E1661" s="2" t="str">
        <f t="shared" si="52"/>
        <v>Same</v>
      </c>
      <c r="F1661" s="6" t="s">
        <v>1861</v>
      </c>
      <c r="H1661" s="2" t="s">
        <v>1583</v>
      </c>
      <c r="I1661" s="4">
        <f>[1]Sheet1!I1661</f>
        <v>0</v>
      </c>
      <c r="J1661" s="3" t="str">
        <f t="shared" si="51"/>
        <v>8485_A1C1.webp</v>
      </c>
      <c r="K1661" s="5">
        <f>Sheet4!E1661</f>
        <v>360</v>
      </c>
      <c r="L1661" s="5"/>
      <c r="M1661" s="4"/>
    </row>
    <row r="1662" spans="1:13" x14ac:dyDescent="0.25">
      <c r="A1662" t="s">
        <v>3258</v>
      </c>
      <c r="B1662" t="s">
        <v>3930</v>
      </c>
      <c r="C1662" s="25">
        <v>8487</v>
      </c>
      <c r="D1662" s="28">
        <v>8487</v>
      </c>
      <c r="E1662" s="2" t="str">
        <f t="shared" si="52"/>
        <v>Same</v>
      </c>
      <c r="F1662" s="6" t="s">
        <v>1968</v>
      </c>
      <c r="G1662">
        <v>1701.95</v>
      </c>
      <c r="H1662" s="2" t="s">
        <v>1584</v>
      </c>
      <c r="I1662" s="4">
        <f>[1]Sheet1!I1662</f>
        <v>55</v>
      </c>
      <c r="J1662" s="3" t="str">
        <f t="shared" si="51"/>
        <v>8487_A1C1.webp</v>
      </c>
      <c r="K1662" s="5">
        <f>Sheet4!E1662</f>
        <v>420</v>
      </c>
      <c r="L1662" s="5"/>
      <c r="M1662" s="4"/>
    </row>
    <row r="1663" spans="1:13" x14ac:dyDescent="0.25">
      <c r="A1663" t="s">
        <v>2633</v>
      </c>
      <c r="B1663" t="s">
        <v>4156</v>
      </c>
      <c r="C1663" s="25">
        <v>8491</v>
      </c>
      <c r="D1663" s="28">
        <v>8491</v>
      </c>
      <c r="E1663" s="2" t="str">
        <f t="shared" si="52"/>
        <v>Same</v>
      </c>
      <c r="F1663" s="6" t="s">
        <v>1869</v>
      </c>
      <c r="G1663">
        <v>478.95</v>
      </c>
      <c r="H1663" s="2" t="s">
        <v>1585</v>
      </c>
      <c r="I1663" s="4">
        <f>[1]Sheet1!I1663</f>
        <v>34</v>
      </c>
      <c r="J1663" s="3" t="str">
        <f t="shared" si="51"/>
        <v>8491_A1C1.webp</v>
      </c>
      <c r="K1663" s="5">
        <f>Sheet4!E1663</f>
        <v>768</v>
      </c>
      <c r="L1663" s="5"/>
      <c r="M1663" s="4"/>
    </row>
    <row r="1664" spans="1:13" x14ac:dyDescent="0.25">
      <c r="A1664" t="s">
        <v>2622</v>
      </c>
      <c r="B1664" t="s">
        <v>3780</v>
      </c>
      <c r="C1664" s="25">
        <v>8492</v>
      </c>
      <c r="D1664" s="28">
        <v>8492</v>
      </c>
      <c r="E1664" s="2" t="str">
        <f t="shared" si="52"/>
        <v>Same</v>
      </c>
      <c r="F1664" s="6" t="s">
        <v>2066</v>
      </c>
      <c r="G1664">
        <v>1380.7</v>
      </c>
      <c r="H1664" s="2" t="s">
        <v>1586</v>
      </c>
      <c r="I1664" s="4">
        <f>[1]Sheet1!I1664</f>
        <v>20</v>
      </c>
      <c r="J1664" s="3" t="str">
        <f t="shared" si="51"/>
        <v>8492_A1C1.webp</v>
      </c>
      <c r="K1664" s="5">
        <f>Sheet4!E1664</f>
        <v>624</v>
      </c>
      <c r="L1664" s="5"/>
      <c r="M1664" s="4"/>
    </row>
    <row r="1665" spans="1:13" x14ac:dyDescent="0.25">
      <c r="A1665" t="s">
        <v>5264</v>
      </c>
      <c r="B1665" t="s">
        <v>3375</v>
      </c>
      <c r="C1665" s="25">
        <v>8493</v>
      </c>
      <c r="D1665" s="28">
        <v>8493</v>
      </c>
      <c r="E1665" s="2" t="str">
        <f t="shared" si="52"/>
        <v>Same</v>
      </c>
      <c r="F1665" s="6" t="s">
        <v>2067</v>
      </c>
      <c r="H1665" s="2" t="s">
        <v>1587</v>
      </c>
      <c r="I1665" s="4">
        <f>[1]Sheet1!I1665</f>
        <v>0</v>
      </c>
      <c r="J1665" s="3" t="str">
        <f t="shared" si="51"/>
        <v>8493_A1C1.webp</v>
      </c>
      <c r="K1665" s="5">
        <f>Sheet4!E1665</f>
        <v>288</v>
      </c>
      <c r="L1665" s="5"/>
      <c r="M1665" s="4"/>
    </row>
    <row r="1666" spans="1:13" x14ac:dyDescent="0.25">
      <c r="A1666" t="s">
        <v>5265</v>
      </c>
      <c r="B1666" t="s">
        <v>5265</v>
      </c>
      <c r="C1666" s="25">
        <v>8498</v>
      </c>
      <c r="D1666" s="28">
        <v>8498</v>
      </c>
      <c r="E1666" s="2" t="str">
        <f t="shared" si="52"/>
        <v>Same</v>
      </c>
      <c r="F1666" s="6" t="s">
        <v>1933</v>
      </c>
      <c r="H1666" s="2" t="s">
        <v>1588</v>
      </c>
      <c r="I1666" s="4">
        <f>[1]Sheet1!I1666</f>
        <v>0</v>
      </c>
      <c r="J1666" s="3" t="str">
        <f t="shared" ref="J1666:J1729" si="53">C1666 &amp; "_A1C1.webp"</f>
        <v>8498_A1C1.webp</v>
      </c>
      <c r="K1666" s="5">
        <f>Sheet4!E1666</f>
        <v>324</v>
      </c>
      <c r="L1666" s="5"/>
      <c r="M1666" s="4"/>
    </row>
    <row r="1667" spans="1:13" x14ac:dyDescent="0.25">
      <c r="A1667" t="s">
        <v>5265</v>
      </c>
      <c r="B1667" t="s">
        <v>5265</v>
      </c>
      <c r="C1667" s="25">
        <v>8499</v>
      </c>
      <c r="D1667" s="28">
        <v>8499</v>
      </c>
      <c r="E1667" s="2" t="str">
        <f t="shared" si="52"/>
        <v>Same</v>
      </c>
      <c r="F1667" s="6" t="s">
        <v>1969</v>
      </c>
      <c r="H1667" s="2" t="s">
        <v>1589</v>
      </c>
      <c r="I1667" s="4">
        <f>[1]Sheet1!I1667</f>
        <v>0</v>
      </c>
      <c r="J1667" s="3" t="str">
        <f t="shared" si="53"/>
        <v>8499_A1C1.webp</v>
      </c>
      <c r="K1667" s="5">
        <f>Sheet4!E1667</f>
        <v>304</v>
      </c>
      <c r="L1667" s="5"/>
      <c r="M1667" s="4"/>
    </row>
    <row r="1668" spans="1:13" x14ac:dyDescent="0.25">
      <c r="A1668" t="s">
        <v>2671</v>
      </c>
      <c r="B1668" t="s">
        <v>3643</v>
      </c>
      <c r="C1668" s="13">
        <v>8516</v>
      </c>
      <c r="D1668" s="28">
        <v>8516</v>
      </c>
      <c r="E1668" s="2" t="str">
        <f t="shared" si="52"/>
        <v>Same</v>
      </c>
      <c r="F1668" s="2" t="s">
        <v>5348</v>
      </c>
      <c r="H1668" s="2" t="s">
        <v>5349</v>
      </c>
      <c r="I1668" s="4">
        <f>[1]Sheet1!I1668</f>
        <v>57</v>
      </c>
      <c r="J1668" s="3" t="str">
        <f t="shared" si="53"/>
        <v>8516_A1C1.webp</v>
      </c>
      <c r="K1668" s="5">
        <f>Sheet4!E1668</f>
        <v>720</v>
      </c>
      <c r="L1668" s="5" t="s">
        <v>5278</v>
      </c>
      <c r="M1668" s="4"/>
    </row>
    <row r="1669" spans="1:13" x14ac:dyDescent="0.25">
      <c r="A1669" t="s">
        <v>2518</v>
      </c>
      <c r="B1669" t="s">
        <v>3482</v>
      </c>
      <c r="C1669" s="25">
        <v>8518</v>
      </c>
      <c r="D1669" s="28">
        <v>8518</v>
      </c>
      <c r="E1669" s="2" t="str">
        <f t="shared" si="52"/>
        <v>Same</v>
      </c>
      <c r="F1669" s="6" t="s">
        <v>1882</v>
      </c>
      <c r="G1669" s="3">
        <v>21.95</v>
      </c>
      <c r="H1669" s="2" t="s">
        <v>1590</v>
      </c>
      <c r="I1669" s="4">
        <f>[1]Sheet1!I1669</f>
        <v>0</v>
      </c>
      <c r="J1669" s="3" t="str">
        <f t="shared" si="53"/>
        <v>8518_A1C1.webp</v>
      </c>
      <c r="K1669" s="5">
        <f>Sheet4!E1669</f>
        <v>18</v>
      </c>
      <c r="L1669" s="5" t="s">
        <v>5278</v>
      </c>
      <c r="M1669" s="4"/>
    </row>
    <row r="1670" spans="1:13" x14ac:dyDescent="0.25">
      <c r="A1670" t="s">
        <v>2518</v>
      </c>
      <c r="B1670" t="s">
        <v>3482</v>
      </c>
      <c r="C1670" s="25">
        <v>8519</v>
      </c>
      <c r="D1670" s="28">
        <v>8519</v>
      </c>
      <c r="E1670" s="2" t="str">
        <f t="shared" si="52"/>
        <v>Same</v>
      </c>
      <c r="F1670" s="6" t="s">
        <v>1881</v>
      </c>
      <c r="G1670" s="3">
        <v>26.75</v>
      </c>
      <c r="H1670" s="2" t="s">
        <v>1591</v>
      </c>
      <c r="I1670" s="4">
        <f>[1]Sheet1!I1670</f>
        <v>0</v>
      </c>
      <c r="J1670" s="3" t="str">
        <f t="shared" si="53"/>
        <v>8519_A1C1.webp</v>
      </c>
      <c r="K1670" s="5">
        <f>Sheet4!E1670</f>
        <v>12</v>
      </c>
      <c r="L1670" s="5" t="s">
        <v>5278</v>
      </c>
      <c r="M1670" s="4"/>
    </row>
    <row r="1671" spans="1:13" x14ac:dyDescent="0.25">
      <c r="A1671" t="s">
        <v>2518</v>
      </c>
      <c r="B1671" t="s">
        <v>3482</v>
      </c>
      <c r="C1671" s="25">
        <v>8520</v>
      </c>
      <c r="D1671" s="28">
        <v>8520</v>
      </c>
      <c r="E1671" s="2" t="str">
        <f t="shared" si="52"/>
        <v>Same</v>
      </c>
      <c r="F1671" s="6" t="s">
        <v>1882</v>
      </c>
      <c r="G1671" s="3">
        <v>21.95</v>
      </c>
      <c r="H1671" s="2" t="s">
        <v>1592</v>
      </c>
      <c r="I1671" s="4">
        <f>[1]Sheet1!I1671</f>
        <v>36</v>
      </c>
      <c r="J1671" s="3" t="str">
        <f t="shared" si="53"/>
        <v>8520_A1C1.webp</v>
      </c>
      <c r="K1671" s="5">
        <f>Sheet4!E1671</f>
        <v>18</v>
      </c>
      <c r="L1671" s="5" t="s">
        <v>5278</v>
      </c>
      <c r="M1671" s="4"/>
    </row>
    <row r="1672" spans="1:13" x14ac:dyDescent="0.25">
      <c r="A1672" t="s">
        <v>2518</v>
      </c>
      <c r="B1672" t="s">
        <v>3482</v>
      </c>
      <c r="C1672" s="25">
        <v>8521</v>
      </c>
      <c r="D1672" s="28">
        <v>8521</v>
      </c>
      <c r="E1672" s="2" t="str">
        <f t="shared" si="52"/>
        <v>Same</v>
      </c>
      <c r="F1672" s="6" t="s">
        <v>1881</v>
      </c>
      <c r="G1672" s="3">
        <v>26.75</v>
      </c>
      <c r="H1672" s="2" t="s">
        <v>1593</v>
      </c>
      <c r="I1672" s="4">
        <f>[1]Sheet1!I1672</f>
        <v>0</v>
      </c>
      <c r="J1672" s="3" t="str">
        <f t="shared" si="53"/>
        <v>8521_A1C1.webp</v>
      </c>
      <c r="K1672" s="5">
        <f>Sheet4!E1672</f>
        <v>12</v>
      </c>
      <c r="L1672" s="5" t="s">
        <v>5278</v>
      </c>
      <c r="M1672" s="4"/>
    </row>
    <row r="1673" spans="1:13" x14ac:dyDescent="0.25">
      <c r="A1673" t="s">
        <v>2518</v>
      </c>
      <c r="B1673" t="s">
        <v>3482</v>
      </c>
      <c r="C1673" s="28">
        <v>8523</v>
      </c>
      <c r="D1673" s="28">
        <v>8523</v>
      </c>
      <c r="E1673" s="2" t="str">
        <f t="shared" ref="E1673:E1736" si="54">IF(C1673=D1673, "Same","New")</f>
        <v>Same</v>
      </c>
      <c r="F1673" s="2" t="s">
        <v>5396</v>
      </c>
      <c r="G1673" s="3"/>
      <c r="H1673" s="2" t="s">
        <v>5393</v>
      </c>
      <c r="I1673" s="4">
        <f>[1]Sheet1!I1673</f>
        <v>0</v>
      </c>
      <c r="J1673" s="3" t="str">
        <f t="shared" si="53"/>
        <v>8523_A1C1.webp</v>
      </c>
      <c r="K1673" s="5">
        <f>Sheet4!E1673</f>
        <v>12</v>
      </c>
      <c r="L1673" s="5" t="s">
        <v>5278</v>
      </c>
      <c r="M1673" s="4"/>
    </row>
    <row r="1674" spans="1:13" x14ac:dyDescent="0.25">
      <c r="A1674" t="s">
        <v>2518</v>
      </c>
      <c r="B1674" t="s">
        <v>3482</v>
      </c>
      <c r="C1674" s="28">
        <v>8524</v>
      </c>
      <c r="D1674" s="28">
        <v>8524</v>
      </c>
      <c r="E1674" s="2" t="str">
        <f t="shared" si="54"/>
        <v>Same</v>
      </c>
      <c r="F1674" s="2" t="s">
        <v>5396</v>
      </c>
      <c r="G1674" s="3"/>
      <c r="H1674" s="2" t="s">
        <v>5394</v>
      </c>
      <c r="I1674" s="4">
        <f>[1]Sheet1!I1674</f>
        <v>159</v>
      </c>
      <c r="J1674" s="3" t="str">
        <f t="shared" si="53"/>
        <v>8524_A1C1.webp</v>
      </c>
      <c r="K1674" s="5">
        <f>Sheet4!E1674</f>
        <v>12</v>
      </c>
      <c r="L1674" s="5" t="s">
        <v>5278</v>
      </c>
      <c r="M1674" s="4"/>
    </row>
    <row r="1675" spans="1:13" x14ac:dyDescent="0.25">
      <c r="A1675" t="s">
        <v>2518</v>
      </c>
      <c r="B1675" t="s">
        <v>3482</v>
      </c>
      <c r="C1675" s="28">
        <v>8525</v>
      </c>
      <c r="D1675" s="28">
        <v>8525</v>
      </c>
      <c r="E1675" s="2" t="str">
        <f t="shared" si="54"/>
        <v>Same</v>
      </c>
      <c r="F1675" s="2" t="s">
        <v>5396</v>
      </c>
      <c r="G1675" s="3"/>
      <c r="H1675" s="2" t="s">
        <v>5395</v>
      </c>
      <c r="I1675" s="4">
        <f>[1]Sheet1!I1675</f>
        <v>59</v>
      </c>
      <c r="J1675" s="3" t="str">
        <f t="shared" si="53"/>
        <v>8525_A1C1.webp</v>
      </c>
      <c r="K1675" s="5">
        <f>Sheet4!E1675</f>
        <v>12</v>
      </c>
      <c r="L1675" s="5" t="s">
        <v>5278</v>
      </c>
      <c r="M1675" s="4"/>
    </row>
    <row r="1676" spans="1:13" x14ac:dyDescent="0.25">
      <c r="A1676" t="s">
        <v>2685</v>
      </c>
      <c r="B1676" t="s">
        <v>4926</v>
      </c>
      <c r="C1676" s="25">
        <v>8801</v>
      </c>
      <c r="D1676" s="28">
        <v>8801</v>
      </c>
      <c r="E1676" s="2" t="str">
        <f t="shared" si="54"/>
        <v>Same</v>
      </c>
      <c r="F1676" s="6" t="s">
        <v>1930</v>
      </c>
      <c r="G1676" s="3">
        <v>24.95</v>
      </c>
      <c r="H1676" s="2" t="s">
        <v>1594</v>
      </c>
      <c r="I1676" s="4">
        <f>[1]Sheet1!I1676</f>
        <v>275</v>
      </c>
      <c r="J1676" s="3" t="str">
        <f t="shared" si="53"/>
        <v>8801_A1C1.webp</v>
      </c>
      <c r="K1676" s="5">
        <f>Sheet4!E1676</f>
        <v>24</v>
      </c>
      <c r="L1676" s="5" t="s">
        <v>5278</v>
      </c>
      <c r="M1676" s="4"/>
    </row>
    <row r="1677" spans="1:13" x14ac:dyDescent="0.25">
      <c r="A1677" t="s">
        <v>2685</v>
      </c>
      <c r="B1677" t="s">
        <v>4926</v>
      </c>
      <c r="C1677" s="25">
        <v>8802</v>
      </c>
      <c r="D1677" s="28">
        <v>8802</v>
      </c>
      <c r="E1677" s="2" t="str">
        <f t="shared" si="54"/>
        <v>Same</v>
      </c>
      <c r="F1677" s="6" t="s">
        <v>1930</v>
      </c>
      <c r="G1677" s="3">
        <v>24.95</v>
      </c>
      <c r="H1677" s="2" t="s">
        <v>1595</v>
      </c>
      <c r="I1677" s="4">
        <f>[1]Sheet1!I1677</f>
        <v>614</v>
      </c>
      <c r="J1677" s="3" t="str">
        <f t="shared" si="53"/>
        <v>8802_A1C1.webp</v>
      </c>
      <c r="K1677" s="5">
        <f>Sheet4!E1677</f>
        <v>24</v>
      </c>
      <c r="L1677" s="5" t="s">
        <v>5278</v>
      </c>
      <c r="M1677" s="4"/>
    </row>
    <row r="1678" spans="1:13" x14ac:dyDescent="0.25">
      <c r="A1678" t="s">
        <v>4463</v>
      </c>
      <c r="B1678" t="s">
        <v>4929</v>
      </c>
      <c r="C1678" s="25">
        <v>8872</v>
      </c>
      <c r="D1678" s="28">
        <v>8872</v>
      </c>
      <c r="E1678" s="2" t="str">
        <f t="shared" si="54"/>
        <v>Same</v>
      </c>
      <c r="F1678" s="6" t="s">
        <v>2068</v>
      </c>
      <c r="G1678" s="3">
        <v>19.5</v>
      </c>
      <c r="H1678" s="2" t="s">
        <v>1596</v>
      </c>
      <c r="I1678" s="4">
        <f>[1]Sheet1!I1678</f>
        <v>683</v>
      </c>
      <c r="J1678" s="3" t="str">
        <f t="shared" si="53"/>
        <v>8872_A1C1.webp</v>
      </c>
      <c r="K1678" s="5">
        <f>Sheet4!E1678</f>
        <v>12</v>
      </c>
      <c r="L1678" s="5"/>
      <c r="M1678" s="4"/>
    </row>
    <row r="1679" spans="1:13" x14ac:dyDescent="0.25">
      <c r="A1679" t="s">
        <v>4463</v>
      </c>
      <c r="B1679" t="s">
        <v>4929</v>
      </c>
      <c r="C1679" s="25">
        <v>8873</v>
      </c>
      <c r="D1679" s="28">
        <v>8873</v>
      </c>
      <c r="E1679" s="2" t="str">
        <f t="shared" si="54"/>
        <v>Same</v>
      </c>
      <c r="F1679" s="6" t="s">
        <v>2069</v>
      </c>
      <c r="G1679" s="3">
        <v>19.5</v>
      </c>
      <c r="H1679" s="2" t="s">
        <v>1597</v>
      </c>
      <c r="I1679" s="4">
        <f>[1]Sheet1!I1679</f>
        <v>789</v>
      </c>
      <c r="J1679" s="3" t="str">
        <f t="shared" si="53"/>
        <v>8873_A1C1.webp</v>
      </c>
      <c r="K1679" s="5">
        <f>Sheet4!E1679</f>
        <v>12</v>
      </c>
      <c r="L1679" s="5"/>
      <c r="M1679" s="4"/>
    </row>
    <row r="1680" spans="1:13" x14ac:dyDescent="0.25">
      <c r="A1680" t="s">
        <v>4463</v>
      </c>
      <c r="B1680" t="s">
        <v>4929</v>
      </c>
      <c r="C1680" s="25">
        <v>8874</v>
      </c>
      <c r="D1680" s="28">
        <v>8874</v>
      </c>
      <c r="E1680" s="2" t="str">
        <f t="shared" si="54"/>
        <v>Same</v>
      </c>
      <c r="F1680" s="6" t="s">
        <v>2068</v>
      </c>
      <c r="G1680" s="3">
        <v>19.5</v>
      </c>
      <c r="H1680" s="2" t="s">
        <v>1598</v>
      </c>
      <c r="I1680" s="4">
        <f>[1]Sheet1!I1680</f>
        <v>3079</v>
      </c>
      <c r="J1680" s="3" t="str">
        <f t="shared" si="53"/>
        <v>8874_A1C1.webp</v>
      </c>
      <c r="K1680" s="5">
        <f>Sheet4!E1680</f>
        <v>12</v>
      </c>
      <c r="L1680" s="5"/>
      <c r="M1680" s="4"/>
    </row>
    <row r="1681" spans="1:13" x14ac:dyDescent="0.25">
      <c r="A1681" t="s">
        <v>2685</v>
      </c>
      <c r="B1681" t="s">
        <v>4744</v>
      </c>
      <c r="C1681" s="25">
        <v>8977</v>
      </c>
      <c r="D1681" s="28">
        <v>8977</v>
      </c>
      <c r="E1681" s="2" t="str">
        <f t="shared" si="54"/>
        <v>Same</v>
      </c>
      <c r="F1681" s="6" t="s">
        <v>1976</v>
      </c>
      <c r="G1681" s="3">
        <v>24.95</v>
      </c>
      <c r="H1681" s="2" t="s">
        <v>1599</v>
      </c>
      <c r="I1681" s="4">
        <f>[1]Sheet1!I1681</f>
        <v>553</v>
      </c>
      <c r="J1681" s="3" t="str">
        <f t="shared" si="53"/>
        <v>8977_A1C1.webp</v>
      </c>
      <c r="K1681" s="5">
        <f>Sheet4!E1681</f>
        <v>24</v>
      </c>
      <c r="L1681" s="5"/>
      <c r="M1681" s="4"/>
    </row>
    <row r="1682" spans="1:13" x14ac:dyDescent="0.25">
      <c r="A1682" t="s">
        <v>4316</v>
      </c>
      <c r="B1682" t="s">
        <v>4935</v>
      </c>
      <c r="C1682" s="25">
        <v>8985</v>
      </c>
      <c r="D1682" s="28">
        <v>8985</v>
      </c>
      <c r="E1682" s="2" t="str">
        <f t="shared" si="54"/>
        <v>Same</v>
      </c>
      <c r="F1682" s="6" t="s">
        <v>1875</v>
      </c>
      <c r="G1682" s="3">
        <v>22.65</v>
      </c>
      <c r="H1682" s="2" t="s">
        <v>1600</v>
      </c>
      <c r="I1682" s="4">
        <f>[1]Sheet1!I1682</f>
        <v>8</v>
      </c>
      <c r="J1682" s="3" t="str">
        <f t="shared" si="53"/>
        <v>8985_A1C1.webp</v>
      </c>
      <c r="K1682" s="5">
        <f>Sheet4!E1682</f>
        <v>12</v>
      </c>
      <c r="L1682" s="5"/>
      <c r="M1682" s="4"/>
    </row>
    <row r="1683" spans="1:13" x14ac:dyDescent="0.25">
      <c r="A1683" t="s">
        <v>4316</v>
      </c>
      <c r="B1683" t="s">
        <v>4935</v>
      </c>
      <c r="C1683" s="25">
        <v>9003</v>
      </c>
      <c r="D1683" s="28">
        <v>9003</v>
      </c>
      <c r="E1683" s="2" t="str">
        <f t="shared" si="54"/>
        <v>Same</v>
      </c>
      <c r="F1683" s="6" t="s">
        <v>1951</v>
      </c>
      <c r="G1683" s="3">
        <v>26.95</v>
      </c>
      <c r="H1683" s="2" t="s">
        <v>1601</v>
      </c>
      <c r="I1683" s="4">
        <f>[1]Sheet1!I1683</f>
        <v>1732</v>
      </c>
      <c r="J1683" s="3" t="str">
        <f t="shared" si="53"/>
        <v>9003_A1C1.webp</v>
      </c>
      <c r="K1683" s="5">
        <f>Sheet4!E1683</f>
        <v>12</v>
      </c>
      <c r="L1683" s="5"/>
      <c r="M1683" s="4"/>
    </row>
    <row r="1684" spans="1:13" x14ac:dyDescent="0.25">
      <c r="A1684" t="s">
        <v>4316</v>
      </c>
      <c r="B1684" t="s">
        <v>4935</v>
      </c>
      <c r="C1684" s="25">
        <v>9004</v>
      </c>
      <c r="D1684" s="28">
        <v>9004</v>
      </c>
      <c r="E1684" s="2" t="str">
        <f t="shared" si="54"/>
        <v>Same</v>
      </c>
      <c r="F1684" s="6" t="s">
        <v>1944</v>
      </c>
      <c r="G1684" s="3">
        <v>43.5</v>
      </c>
      <c r="H1684" s="2" t="s">
        <v>1602</v>
      </c>
      <c r="I1684" s="4">
        <f>[1]Sheet1!I1684</f>
        <v>274</v>
      </c>
      <c r="J1684" s="3" t="str">
        <f t="shared" si="53"/>
        <v>9004_A1C1.webp</v>
      </c>
      <c r="K1684" s="5">
        <f>Sheet4!E1684</f>
        <v>12</v>
      </c>
      <c r="L1684" s="5"/>
      <c r="M1684" s="4"/>
    </row>
    <row r="1685" spans="1:13" x14ac:dyDescent="0.25">
      <c r="A1685" t="s">
        <v>4316</v>
      </c>
      <c r="B1685" t="s">
        <v>4935</v>
      </c>
      <c r="C1685" s="25">
        <v>9005</v>
      </c>
      <c r="D1685" s="28">
        <v>9005</v>
      </c>
      <c r="E1685" s="2" t="str">
        <f t="shared" si="54"/>
        <v>Same</v>
      </c>
      <c r="F1685" s="6" t="s">
        <v>2022</v>
      </c>
      <c r="G1685" s="3">
        <v>31.5</v>
      </c>
      <c r="H1685" s="2" t="s">
        <v>1603</v>
      </c>
      <c r="I1685" s="4">
        <f>[1]Sheet1!I1685</f>
        <v>234</v>
      </c>
      <c r="J1685" s="3" t="str">
        <f t="shared" si="53"/>
        <v>9005_A1C1.webp</v>
      </c>
      <c r="K1685" s="5">
        <f>Sheet4!E1685</f>
        <v>12</v>
      </c>
      <c r="L1685" s="5"/>
      <c r="M1685" s="4"/>
    </row>
    <row r="1686" spans="1:13" x14ac:dyDescent="0.25">
      <c r="A1686" t="s">
        <v>4316</v>
      </c>
      <c r="B1686" t="s">
        <v>4935</v>
      </c>
      <c r="C1686" s="25">
        <v>9006</v>
      </c>
      <c r="D1686" s="28">
        <v>9006</v>
      </c>
      <c r="E1686" s="2" t="str">
        <f t="shared" si="54"/>
        <v>Same</v>
      </c>
      <c r="F1686" s="6" t="s">
        <v>1944</v>
      </c>
      <c r="G1686" s="3">
        <v>46.95</v>
      </c>
      <c r="H1686" s="2" t="s">
        <v>1604</v>
      </c>
      <c r="I1686" s="4">
        <f>[1]Sheet1!I1686</f>
        <v>12</v>
      </c>
      <c r="J1686" s="3" t="str">
        <f t="shared" si="53"/>
        <v>9006_A1C1.webp</v>
      </c>
      <c r="K1686" s="5">
        <f>Sheet4!E1686</f>
        <v>12</v>
      </c>
      <c r="L1686" s="5"/>
      <c r="M1686" s="4"/>
    </row>
    <row r="1687" spans="1:13" x14ac:dyDescent="0.25">
      <c r="A1687" t="s">
        <v>4316</v>
      </c>
      <c r="B1687" t="s">
        <v>4935</v>
      </c>
      <c r="C1687" s="25">
        <v>9007</v>
      </c>
      <c r="D1687" s="28">
        <v>9007</v>
      </c>
      <c r="E1687" s="2" t="str">
        <f t="shared" si="54"/>
        <v>Same</v>
      </c>
      <c r="F1687" s="6" t="s">
        <v>2070</v>
      </c>
      <c r="G1687" s="3">
        <v>56.95</v>
      </c>
      <c r="H1687" s="2" t="s">
        <v>1605</v>
      </c>
      <c r="I1687" s="4">
        <f>[1]Sheet1!I1687</f>
        <v>321</v>
      </c>
      <c r="J1687" s="3" t="str">
        <f t="shared" si="53"/>
        <v>9007_A1C1.webp</v>
      </c>
      <c r="K1687" s="5">
        <f>Sheet4!E1687</f>
        <v>12</v>
      </c>
      <c r="L1687" s="5"/>
      <c r="M1687" s="4"/>
    </row>
    <row r="1688" spans="1:13" x14ac:dyDescent="0.25">
      <c r="A1688" t="s">
        <v>4316</v>
      </c>
      <c r="B1688" t="s">
        <v>4935</v>
      </c>
      <c r="C1688" s="25">
        <v>9008</v>
      </c>
      <c r="D1688" s="28">
        <v>9008</v>
      </c>
      <c r="E1688" s="2" t="str">
        <f t="shared" si="54"/>
        <v>Same</v>
      </c>
      <c r="F1688" s="6" t="s">
        <v>2071</v>
      </c>
      <c r="G1688" s="3">
        <v>26.95</v>
      </c>
      <c r="H1688" s="2" t="s">
        <v>1606</v>
      </c>
      <c r="I1688" s="4">
        <f>[1]Sheet1!I1688</f>
        <v>479</v>
      </c>
      <c r="J1688" s="3" t="str">
        <f t="shared" si="53"/>
        <v>9008_A1C1.webp</v>
      </c>
      <c r="K1688" s="5">
        <f>Sheet4!E1688</f>
        <v>12</v>
      </c>
      <c r="L1688" s="5"/>
      <c r="M1688" s="4"/>
    </row>
    <row r="1689" spans="1:13" x14ac:dyDescent="0.25">
      <c r="A1689" t="s">
        <v>4316</v>
      </c>
      <c r="B1689" t="s">
        <v>2678</v>
      </c>
      <c r="C1689" s="25">
        <v>9009</v>
      </c>
      <c r="D1689" s="28">
        <v>9009</v>
      </c>
      <c r="E1689" s="2" t="str">
        <f t="shared" si="54"/>
        <v>Same</v>
      </c>
      <c r="F1689" s="6" t="s">
        <v>1839</v>
      </c>
      <c r="G1689" s="3">
        <v>24.95</v>
      </c>
      <c r="H1689" s="2" t="s">
        <v>1607</v>
      </c>
      <c r="I1689" s="4">
        <f>[1]Sheet1!I1689</f>
        <v>256</v>
      </c>
      <c r="J1689" s="3" t="str">
        <f t="shared" si="53"/>
        <v>9009_A1C1.webp</v>
      </c>
      <c r="K1689" s="5">
        <f>Sheet4!E1689</f>
        <v>24</v>
      </c>
      <c r="L1689" s="5"/>
      <c r="M1689" s="4"/>
    </row>
    <row r="1690" spans="1:13" x14ac:dyDescent="0.25">
      <c r="A1690" t="s">
        <v>4316</v>
      </c>
      <c r="B1690" t="s">
        <v>2678</v>
      </c>
      <c r="C1690" s="25">
        <v>9010</v>
      </c>
      <c r="D1690" s="28">
        <v>9010</v>
      </c>
      <c r="E1690" s="2" t="str">
        <f t="shared" si="54"/>
        <v>Same</v>
      </c>
      <c r="F1690" s="6" t="s">
        <v>1839</v>
      </c>
      <c r="G1690" s="3">
        <v>43.95</v>
      </c>
      <c r="H1690" s="2" t="s">
        <v>1608</v>
      </c>
      <c r="I1690" s="4">
        <f>[1]Sheet1!I1690</f>
        <v>198</v>
      </c>
      <c r="J1690" s="3" t="str">
        <f t="shared" si="53"/>
        <v>9010_A1C1.webp</v>
      </c>
      <c r="K1690" s="5">
        <f>Sheet4!E1690</f>
        <v>16</v>
      </c>
      <c r="L1690" s="5"/>
      <c r="M1690" s="4"/>
    </row>
    <row r="1691" spans="1:13" x14ac:dyDescent="0.25">
      <c r="A1691" t="s">
        <v>4316</v>
      </c>
      <c r="B1691" t="s">
        <v>2678</v>
      </c>
      <c r="C1691" s="25">
        <v>9011</v>
      </c>
      <c r="D1691" s="28">
        <v>9011</v>
      </c>
      <c r="E1691" s="2" t="str">
        <f t="shared" si="54"/>
        <v>Same</v>
      </c>
      <c r="F1691" s="6" t="s">
        <v>1839</v>
      </c>
      <c r="G1691" s="3">
        <v>24.95</v>
      </c>
      <c r="H1691" s="2" t="s">
        <v>1609</v>
      </c>
      <c r="I1691" s="4">
        <f>[1]Sheet1!I1691</f>
        <v>3236</v>
      </c>
      <c r="J1691" s="3" t="str">
        <f t="shared" si="53"/>
        <v>9011_A1C1.webp</v>
      </c>
      <c r="K1691" s="5">
        <f>Sheet4!E1691</f>
        <v>24</v>
      </c>
      <c r="L1691" s="5"/>
      <c r="M1691" s="4"/>
    </row>
    <row r="1692" spans="1:13" x14ac:dyDescent="0.25">
      <c r="A1692" t="s">
        <v>4949</v>
      </c>
      <c r="B1692" t="s">
        <v>4950</v>
      </c>
      <c r="C1692" s="25">
        <v>9012</v>
      </c>
      <c r="D1692" s="28">
        <v>9012</v>
      </c>
      <c r="E1692" s="2" t="str">
        <f t="shared" si="54"/>
        <v>Same</v>
      </c>
      <c r="F1692" s="6" t="s">
        <v>1869</v>
      </c>
      <c r="G1692" s="3">
        <v>51.5</v>
      </c>
      <c r="H1692" s="2" t="s">
        <v>1610</v>
      </c>
      <c r="I1692" s="4">
        <f>[1]Sheet1!I1692</f>
        <v>72</v>
      </c>
      <c r="J1692" s="3" t="str">
        <f t="shared" si="53"/>
        <v>9012_A1C1.webp</v>
      </c>
      <c r="K1692" s="5">
        <f>Sheet4!E1692</f>
        <v>12</v>
      </c>
      <c r="L1692" s="5"/>
      <c r="M1692" s="4"/>
    </row>
    <row r="1693" spans="1:13" x14ac:dyDescent="0.25">
      <c r="A1693" t="s">
        <v>4949</v>
      </c>
      <c r="B1693" t="s">
        <v>4953</v>
      </c>
      <c r="C1693" s="25">
        <v>9013</v>
      </c>
      <c r="D1693" s="28">
        <v>9013</v>
      </c>
      <c r="E1693" s="2" t="str">
        <f t="shared" si="54"/>
        <v>Same</v>
      </c>
      <c r="F1693" s="6" t="s">
        <v>1868</v>
      </c>
      <c r="G1693" s="3">
        <v>51.5</v>
      </c>
      <c r="H1693" s="2" t="s">
        <v>1611</v>
      </c>
      <c r="I1693" s="4">
        <f>[1]Sheet1!I1693</f>
        <v>906</v>
      </c>
      <c r="J1693" s="3" t="str">
        <f t="shared" si="53"/>
        <v>9013_A1C1.webp</v>
      </c>
      <c r="K1693" s="5">
        <f>Sheet4!E1693</f>
        <v>12</v>
      </c>
      <c r="L1693" s="5"/>
      <c r="M1693" s="4"/>
    </row>
    <row r="1694" spans="1:13" x14ac:dyDescent="0.25">
      <c r="A1694" t="s">
        <v>4949</v>
      </c>
      <c r="B1694" t="s">
        <v>4953</v>
      </c>
      <c r="C1694" s="25">
        <v>9014</v>
      </c>
      <c r="D1694" s="28">
        <v>9014</v>
      </c>
      <c r="E1694" s="2" t="str">
        <f t="shared" si="54"/>
        <v>Same</v>
      </c>
      <c r="F1694" s="6" t="s">
        <v>1868</v>
      </c>
      <c r="G1694" s="3">
        <v>51.5</v>
      </c>
      <c r="H1694" s="2" t="s">
        <v>1612</v>
      </c>
      <c r="I1694" s="4">
        <f>[1]Sheet1!I1694</f>
        <v>854</v>
      </c>
      <c r="J1694" s="3" t="str">
        <f t="shared" si="53"/>
        <v>9014_A1C1.webp</v>
      </c>
      <c r="K1694" s="5">
        <f>Sheet4!E1694</f>
        <v>12</v>
      </c>
      <c r="L1694" s="5"/>
      <c r="M1694" s="4"/>
    </row>
    <row r="1695" spans="1:13" x14ac:dyDescent="0.25">
      <c r="A1695" t="s">
        <v>4949</v>
      </c>
      <c r="B1695" t="s">
        <v>4953</v>
      </c>
      <c r="C1695" s="25">
        <v>9015</v>
      </c>
      <c r="D1695" s="28">
        <v>9015</v>
      </c>
      <c r="E1695" s="2" t="str">
        <f t="shared" si="54"/>
        <v>Same</v>
      </c>
      <c r="F1695" s="6" t="s">
        <v>1868</v>
      </c>
      <c r="G1695" s="3">
        <v>51.5</v>
      </c>
      <c r="H1695" s="2" t="s">
        <v>1613</v>
      </c>
      <c r="I1695" s="4">
        <f>[1]Sheet1!I1695</f>
        <v>164</v>
      </c>
      <c r="J1695" s="3" t="str">
        <f t="shared" si="53"/>
        <v>9015_A1C1.webp</v>
      </c>
      <c r="K1695" s="5">
        <f>Sheet4!E1695</f>
        <v>12</v>
      </c>
      <c r="L1695" s="5"/>
      <c r="M1695" s="4"/>
    </row>
    <row r="1696" spans="1:13" x14ac:dyDescent="0.25">
      <c r="A1696" t="s">
        <v>4949</v>
      </c>
      <c r="B1696" t="s">
        <v>4950</v>
      </c>
      <c r="C1696" s="25">
        <v>9016</v>
      </c>
      <c r="D1696" s="28">
        <v>9016</v>
      </c>
      <c r="E1696" s="2" t="str">
        <f t="shared" si="54"/>
        <v>Same</v>
      </c>
      <c r="F1696" s="6" t="s">
        <v>2072</v>
      </c>
      <c r="G1696" s="3">
        <v>55.95</v>
      </c>
      <c r="H1696" s="2" t="s">
        <v>1614</v>
      </c>
      <c r="I1696" s="4">
        <f>[1]Sheet1!I1696</f>
        <v>0</v>
      </c>
      <c r="J1696" s="3" t="str">
        <f t="shared" si="53"/>
        <v>9016_A1C1.webp</v>
      </c>
      <c r="K1696" s="5">
        <f>Sheet4!E1696</f>
        <v>12</v>
      </c>
      <c r="L1696" s="5"/>
      <c r="M1696" s="4"/>
    </row>
    <row r="1697" spans="1:13" x14ac:dyDescent="0.25">
      <c r="A1697" t="s">
        <v>4316</v>
      </c>
      <c r="B1697" t="s">
        <v>4935</v>
      </c>
      <c r="C1697" s="25">
        <v>9023</v>
      </c>
      <c r="D1697" s="28">
        <v>9023</v>
      </c>
      <c r="E1697" s="2" t="str">
        <f t="shared" si="54"/>
        <v>Same</v>
      </c>
      <c r="F1697" s="6" t="s">
        <v>2073</v>
      </c>
      <c r="G1697" s="3">
        <v>56.95</v>
      </c>
      <c r="H1697" s="2" t="s">
        <v>1615</v>
      </c>
      <c r="I1697" s="4">
        <f>[1]Sheet1!I1697</f>
        <v>102</v>
      </c>
      <c r="J1697" s="3" t="str">
        <f t="shared" si="53"/>
        <v>9023_A1C1.webp</v>
      </c>
      <c r="K1697" s="5">
        <f>Sheet4!E1697</f>
        <v>12</v>
      </c>
      <c r="L1697" s="5"/>
      <c r="M1697" s="4"/>
    </row>
    <row r="1698" spans="1:13" x14ac:dyDescent="0.25">
      <c r="A1698" t="s">
        <v>4961</v>
      </c>
      <c r="B1698" t="s">
        <v>4962</v>
      </c>
      <c r="C1698" s="25">
        <v>9024</v>
      </c>
      <c r="D1698" s="28">
        <v>9024</v>
      </c>
      <c r="E1698" s="2" t="str">
        <f t="shared" si="54"/>
        <v>Same</v>
      </c>
      <c r="F1698" s="6" t="s">
        <v>1850</v>
      </c>
      <c r="G1698" s="3">
        <v>67.95</v>
      </c>
      <c r="H1698" s="2" t="s">
        <v>1616</v>
      </c>
      <c r="I1698" s="4">
        <f>[1]Sheet1!I1698</f>
        <v>9339</v>
      </c>
      <c r="J1698" s="3" t="str">
        <f t="shared" si="53"/>
        <v>9024_A1C1.webp</v>
      </c>
      <c r="K1698" s="5">
        <f>Sheet4!E1698</f>
        <v>9</v>
      </c>
      <c r="L1698" s="5"/>
      <c r="M1698" s="4"/>
    </row>
    <row r="1699" spans="1:13" x14ac:dyDescent="0.25">
      <c r="A1699" t="s">
        <v>4961</v>
      </c>
      <c r="B1699" t="s">
        <v>4962</v>
      </c>
      <c r="C1699" s="25">
        <v>9026</v>
      </c>
      <c r="D1699" s="28">
        <v>9026</v>
      </c>
      <c r="E1699" s="2" t="str">
        <f t="shared" si="54"/>
        <v>Same</v>
      </c>
      <c r="F1699" s="6" t="s">
        <v>2074</v>
      </c>
      <c r="G1699" s="3">
        <v>74.5</v>
      </c>
      <c r="H1699" s="2" t="s">
        <v>1617</v>
      </c>
      <c r="I1699" s="4">
        <f>[1]Sheet1!I1699</f>
        <v>6643</v>
      </c>
      <c r="J1699" s="3" t="str">
        <f t="shared" si="53"/>
        <v>9026_A1C1.webp</v>
      </c>
      <c r="K1699" s="5">
        <f>Sheet4!E1699</f>
        <v>6</v>
      </c>
      <c r="L1699" s="5"/>
      <c r="M1699" s="4"/>
    </row>
    <row r="1700" spans="1:13" x14ac:dyDescent="0.25">
      <c r="A1700" t="s">
        <v>4949</v>
      </c>
      <c r="B1700" t="s">
        <v>4953</v>
      </c>
      <c r="C1700" s="25">
        <v>9027</v>
      </c>
      <c r="D1700" s="28">
        <v>9027</v>
      </c>
      <c r="E1700" s="2" t="str">
        <f t="shared" si="54"/>
        <v>Same</v>
      </c>
      <c r="F1700" s="6" t="s">
        <v>1868</v>
      </c>
      <c r="G1700" s="3">
        <v>49.95</v>
      </c>
      <c r="H1700" s="2" t="s">
        <v>1618</v>
      </c>
      <c r="I1700" s="4">
        <f>[1]Sheet1!I1700</f>
        <v>185</v>
      </c>
      <c r="J1700" s="3" t="str">
        <f t="shared" si="53"/>
        <v>9027_A1C1.webp</v>
      </c>
      <c r="K1700" s="5">
        <f>Sheet4!E1700</f>
        <v>12</v>
      </c>
      <c r="L1700" s="5"/>
      <c r="M1700" s="4"/>
    </row>
    <row r="1701" spans="1:13" x14ac:dyDescent="0.25">
      <c r="A1701" t="s">
        <v>4969</v>
      </c>
      <c r="B1701" t="s">
        <v>4970</v>
      </c>
      <c r="C1701" s="25">
        <v>9028</v>
      </c>
      <c r="D1701" s="28">
        <v>9028</v>
      </c>
      <c r="E1701" s="2" t="str">
        <f t="shared" si="54"/>
        <v>Same</v>
      </c>
      <c r="F1701" s="6" t="s">
        <v>2075</v>
      </c>
      <c r="G1701" s="3">
        <v>34.950000000000003</v>
      </c>
      <c r="H1701" s="2" t="s">
        <v>1619</v>
      </c>
      <c r="I1701" s="4">
        <f>[1]Sheet1!I1701</f>
        <v>8</v>
      </c>
      <c r="J1701" s="3" t="str">
        <f t="shared" si="53"/>
        <v>9028_A1C1.webp</v>
      </c>
      <c r="K1701" s="5">
        <f>Sheet4!E1701</f>
        <v>12</v>
      </c>
      <c r="L1701" s="5"/>
      <c r="M1701" s="4"/>
    </row>
    <row r="1702" spans="1:13" x14ac:dyDescent="0.25">
      <c r="A1702" t="s">
        <v>4949</v>
      </c>
      <c r="B1702" t="s">
        <v>4953</v>
      </c>
      <c r="C1702" s="25">
        <v>9030</v>
      </c>
      <c r="D1702" s="28">
        <v>9030</v>
      </c>
      <c r="E1702" s="2" t="str">
        <f t="shared" si="54"/>
        <v>Same</v>
      </c>
      <c r="F1702" s="6" t="s">
        <v>1868</v>
      </c>
      <c r="G1702" s="3">
        <v>49.95</v>
      </c>
      <c r="H1702" s="2" t="s">
        <v>1620</v>
      </c>
      <c r="I1702" s="4">
        <f>[1]Sheet1!I1702</f>
        <v>281</v>
      </c>
      <c r="J1702" s="3" t="str">
        <f t="shared" si="53"/>
        <v>9030_A1C1.webp</v>
      </c>
      <c r="K1702" s="5">
        <f>Sheet4!E1702</f>
        <v>12</v>
      </c>
      <c r="L1702" s="5"/>
      <c r="M1702" s="4"/>
    </row>
    <row r="1703" spans="1:13" x14ac:dyDescent="0.25">
      <c r="A1703" t="s">
        <v>4949</v>
      </c>
      <c r="B1703" t="s">
        <v>4953</v>
      </c>
      <c r="C1703" s="25">
        <v>9031</v>
      </c>
      <c r="D1703" s="28">
        <v>9031</v>
      </c>
      <c r="E1703" s="2" t="str">
        <f t="shared" si="54"/>
        <v>Same</v>
      </c>
      <c r="F1703" s="6" t="s">
        <v>1868</v>
      </c>
      <c r="G1703" s="3">
        <v>49.95</v>
      </c>
      <c r="H1703" s="2" t="s">
        <v>1621</v>
      </c>
      <c r="I1703" s="4">
        <f>[1]Sheet1!I1703</f>
        <v>193</v>
      </c>
      <c r="J1703" s="3" t="str">
        <f t="shared" si="53"/>
        <v>9031_A1C1.webp</v>
      </c>
      <c r="K1703" s="5">
        <f>Sheet4!E1703</f>
        <v>12</v>
      </c>
      <c r="L1703" s="5"/>
      <c r="M1703" s="4"/>
    </row>
    <row r="1704" spans="1:13" x14ac:dyDescent="0.25">
      <c r="A1704" t="s">
        <v>4949</v>
      </c>
      <c r="B1704" t="s">
        <v>4953</v>
      </c>
      <c r="C1704" s="25">
        <v>9034</v>
      </c>
      <c r="D1704" s="28">
        <v>9034</v>
      </c>
      <c r="E1704" s="2" t="str">
        <f t="shared" si="54"/>
        <v>Same</v>
      </c>
      <c r="F1704" s="6" t="s">
        <v>1868</v>
      </c>
      <c r="G1704" s="3">
        <v>49.95</v>
      </c>
      <c r="H1704" s="2" t="s">
        <v>1622</v>
      </c>
      <c r="I1704" s="4">
        <f>[1]Sheet1!I1704</f>
        <v>1964</v>
      </c>
      <c r="J1704" s="3" t="str">
        <f t="shared" si="53"/>
        <v>9034_A1C1.webp</v>
      </c>
      <c r="K1704" s="5">
        <f>Sheet4!E1704</f>
        <v>12</v>
      </c>
      <c r="L1704" s="5"/>
      <c r="M1704" s="4"/>
    </row>
    <row r="1705" spans="1:13" x14ac:dyDescent="0.25">
      <c r="A1705" t="s">
        <v>4969</v>
      </c>
      <c r="B1705" t="s">
        <v>4975</v>
      </c>
      <c r="C1705" s="25">
        <v>9035</v>
      </c>
      <c r="D1705" s="28">
        <v>9035</v>
      </c>
      <c r="E1705" s="2" t="str">
        <f t="shared" si="54"/>
        <v>Same</v>
      </c>
      <c r="F1705" s="6" t="s">
        <v>2076</v>
      </c>
      <c r="G1705" s="3">
        <v>24.5</v>
      </c>
      <c r="H1705" s="2" t="s">
        <v>1623</v>
      </c>
      <c r="I1705" s="4">
        <f>[1]Sheet1!I1705</f>
        <v>67</v>
      </c>
      <c r="J1705" s="3" t="str">
        <f t="shared" si="53"/>
        <v>9035_A1C1.webp</v>
      </c>
      <c r="K1705" s="5">
        <f>Sheet4!E1705</f>
        <v>16</v>
      </c>
      <c r="L1705" s="5"/>
      <c r="M1705" s="4"/>
    </row>
    <row r="1706" spans="1:13" x14ac:dyDescent="0.25">
      <c r="A1706" t="s">
        <v>4949</v>
      </c>
      <c r="B1706" t="s">
        <v>4979</v>
      </c>
      <c r="C1706" s="25">
        <v>9038</v>
      </c>
      <c r="D1706" s="28">
        <v>9038</v>
      </c>
      <c r="E1706" s="2" t="str">
        <f t="shared" si="54"/>
        <v>Same</v>
      </c>
      <c r="F1706" s="6" t="s">
        <v>2077</v>
      </c>
      <c r="G1706" s="3">
        <v>62.95</v>
      </c>
      <c r="H1706" s="2" t="s">
        <v>1624</v>
      </c>
      <c r="I1706" s="4">
        <f>[1]Sheet1!I1706</f>
        <v>1300</v>
      </c>
      <c r="J1706" s="3" t="str">
        <f t="shared" si="53"/>
        <v>9038_A1C1.webp</v>
      </c>
      <c r="K1706" s="5">
        <f>Sheet4!E1706</f>
        <v>12</v>
      </c>
      <c r="L1706" s="5"/>
      <c r="M1706" s="4"/>
    </row>
    <row r="1707" spans="1:13" x14ac:dyDescent="0.25">
      <c r="A1707" t="s">
        <v>4949</v>
      </c>
      <c r="B1707" t="s">
        <v>4982</v>
      </c>
      <c r="C1707" s="25">
        <v>9040</v>
      </c>
      <c r="D1707" s="28">
        <v>9040</v>
      </c>
      <c r="E1707" s="2" t="str">
        <f t="shared" si="54"/>
        <v>Same</v>
      </c>
      <c r="F1707" s="6" t="s">
        <v>1849</v>
      </c>
      <c r="G1707" s="3">
        <v>55.95</v>
      </c>
      <c r="H1707" s="2" t="s">
        <v>1625</v>
      </c>
      <c r="I1707" s="4">
        <f>[1]Sheet1!I1707</f>
        <v>79</v>
      </c>
      <c r="J1707" s="3" t="str">
        <f t="shared" si="53"/>
        <v>9040_A1C1.webp</v>
      </c>
      <c r="K1707" s="5">
        <f>Sheet4!E1707</f>
        <v>12</v>
      </c>
      <c r="L1707" s="5"/>
      <c r="M1707" s="4"/>
    </row>
    <row r="1708" spans="1:13" x14ac:dyDescent="0.25">
      <c r="A1708" t="s">
        <v>4969</v>
      </c>
      <c r="B1708" t="s">
        <v>4970</v>
      </c>
      <c r="C1708" s="25">
        <v>9041</v>
      </c>
      <c r="D1708" s="28">
        <v>9041</v>
      </c>
      <c r="E1708" s="2" t="str">
        <f t="shared" si="54"/>
        <v>Same</v>
      </c>
      <c r="F1708" s="6" t="s">
        <v>1879</v>
      </c>
      <c r="G1708" s="3">
        <v>37.950000000000003</v>
      </c>
      <c r="H1708" s="2" t="s">
        <v>1626</v>
      </c>
      <c r="I1708" s="4">
        <f>[1]Sheet1!I1708</f>
        <v>236</v>
      </c>
      <c r="J1708" s="3" t="str">
        <f t="shared" si="53"/>
        <v>9041_A1C1.webp</v>
      </c>
      <c r="K1708" s="5">
        <f>Sheet4!E1708</f>
        <v>12</v>
      </c>
      <c r="L1708" s="5"/>
      <c r="M1708" s="4"/>
    </row>
    <row r="1709" spans="1:13" x14ac:dyDescent="0.25">
      <c r="A1709" t="s">
        <v>4969</v>
      </c>
      <c r="B1709" t="s">
        <v>4975</v>
      </c>
      <c r="C1709" s="25">
        <v>9043</v>
      </c>
      <c r="D1709" s="28">
        <v>9043</v>
      </c>
      <c r="E1709" s="2" t="str">
        <f t="shared" si="54"/>
        <v>Same</v>
      </c>
      <c r="F1709" s="6" t="s">
        <v>1855</v>
      </c>
      <c r="G1709" s="3">
        <v>27.95</v>
      </c>
      <c r="H1709" s="2" t="s">
        <v>1627</v>
      </c>
      <c r="I1709" s="4">
        <f>[1]Sheet1!I1709</f>
        <v>474</v>
      </c>
      <c r="J1709" s="3" t="str">
        <f t="shared" si="53"/>
        <v>9043_A1C1.webp</v>
      </c>
      <c r="K1709" s="5">
        <f>Sheet4!E1709</f>
        <v>12</v>
      </c>
      <c r="L1709" s="5"/>
      <c r="M1709" s="4"/>
    </row>
    <row r="1710" spans="1:13" x14ac:dyDescent="0.25">
      <c r="A1710" t="s">
        <v>4969</v>
      </c>
      <c r="B1710" t="s">
        <v>4970</v>
      </c>
      <c r="C1710" s="25">
        <v>9044</v>
      </c>
      <c r="D1710" s="28">
        <v>9044</v>
      </c>
      <c r="E1710" s="2" t="str">
        <f t="shared" si="54"/>
        <v>Same</v>
      </c>
      <c r="F1710" s="6" t="s">
        <v>1907</v>
      </c>
      <c r="G1710" s="3">
        <v>43.5</v>
      </c>
      <c r="H1710" s="2" t="s">
        <v>1628</v>
      </c>
      <c r="I1710" s="4">
        <f>[1]Sheet1!I1710</f>
        <v>0</v>
      </c>
      <c r="J1710" s="3" t="str">
        <f t="shared" si="53"/>
        <v>9044_A1C1.webp</v>
      </c>
      <c r="K1710" s="5">
        <f>Sheet4!E1710</f>
        <v>6</v>
      </c>
      <c r="L1710" s="5"/>
      <c r="M1710" s="4"/>
    </row>
    <row r="1711" spans="1:13" x14ac:dyDescent="0.25">
      <c r="A1711" t="s">
        <v>4969</v>
      </c>
      <c r="B1711" t="s">
        <v>4975</v>
      </c>
      <c r="C1711" s="25">
        <v>9045</v>
      </c>
      <c r="D1711" s="28">
        <v>9045</v>
      </c>
      <c r="E1711" s="2" t="str">
        <f t="shared" si="54"/>
        <v>Same</v>
      </c>
      <c r="F1711" s="6" t="s">
        <v>2078</v>
      </c>
      <c r="G1711" s="3">
        <v>30.5</v>
      </c>
      <c r="H1711" s="2" t="s">
        <v>1629</v>
      </c>
      <c r="I1711" s="4">
        <f>[1]Sheet1!I1711</f>
        <v>185</v>
      </c>
      <c r="J1711" s="3" t="str">
        <f t="shared" si="53"/>
        <v>9045_A1C1.webp</v>
      </c>
      <c r="K1711" s="5">
        <f>Sheet4!E1711</f>
        <v>16</v>
      </c>
      <c r="L1711" s="5"/>
      <c r="M1711" s="4"/>
    </row>
    <row r="1712" spans="1:13" x14ac:dyDescent="0.25">
      <c r="A1712" t="s">
        <v>4949</v>
      </c>
      <c r="B1712" t="s">
        <v>4989</v>
      </c>
      <c r="C1712" s="25">
        <v>9046</v>
      </c>
      <c r="D1712" s="28">
        <v>9046</v>
      </c>
      <c r="E1712" s="2" t="str">
        <f t="shared" si="54"/>
        <v>Same</v>
      </c>
      <c r="F1712" s="6" t="s">
        <v>1922</v>
      </c>
      <c r="G1712" s="3">
        <v>27.95</v>
      </c>
      <c r="H1712" s="2" t="s">
        <v>1630</v>
      </c>
      <c r="I1712" s="4">
        <f>[1]Sheet1!I1712</f>
        <v>9326</v>
      </c>
      <c r="J1712" s="3" t="str">
        <f t="shared" si="53"/>
        <v>9046_A1C1.webp</v>
      </c>
      <c r="K1712" s="5">
        <f>Sheet4!E1712</f>
        <v>12</v>
      </c>
      <c r="L1712" s="5"/>
      <c r="M1712" s="4"/>
    </row>
    <row r="1713" spans="1:13" x14ac:dyDescent="0.25">
      <c r="A1713" t="s">
        <v>4949</v>
      </c>
      <c r="B1713" t="s">
        <v>4989</v>
      </c>
      <c r="C1713" s="25">
        <v>9047</v>
      </c>
      <c r="D1713" s="28">
        <v>9047</v>
      </c>
      <c r="E1713" s="2" t="str">
        <f t="shared" si="54"/>
        <v>Same</v>
      </c>
      <c r="F1713" s="6" t="s">
        <v>1849</v>
      </c>
      <c r="G1713" s="3">
        <v>43.95</v>
      </c>
      <c r="H1713" s="2" t="s">
        <v>1631</v>
      </c>
      <c r="I1713" s="4">
        <f>[1]Sheet1!I1713</f>
        <v>2426</v>
      </c>
      <c r="J1713" s="3" t="str">
        <f t="shared" si="53"/>
        <v>9047_A1C1.webp</v>
      </c>
      <c r="K1713" s="5">
        <f>Sheet4!E1713</f>
        <v>16</v>
      </c>
      <c r="L1713" s="5"/>
      <c r="M1713" s="4"/>
    </row>
    <row r="1714" spans="1:13" x14ac:dyDescent="0.25">
      <c r="A1714" t="s">
        <v>4961</v>
      </c>
      <c r="B1714" t="s">
        <v>4992</v>
      </c>
      <c r="C1714" s="25">
        <v>9048</v>
      </c>
      <c r="D1714" s="28">
        <v>9048</v>
      </c>
      <c r="E1714" s="2" t="str">
        <f t="shared" si="54"/>
        <v>Same</v>
      </c>
      <c r="F1714" s="6" t="s">
        <v>1938</v>
      </c>
      <c r="G1714" s="3">
        <v>37.5</v>
      </c>
      <c r="H1714" s="2" t="s">
        <v>1632</v>
      </c>
      <c r="I1714" s="4">
        <f>[1]Sheet1!I1714</f>
        <v>1459</v>
      </c>
      <c r="J1714" s="3" t="str">
        <f t="shared" si="53"/>
        <v>9048_A1C1.webp</v>
      </c>
      <c r="K1714" s="5">
        <f>Sheet4!E1714</f>
        <v>27</v>
      </c>
      <c r="L1714" s="5"/>
      <c r="M1714" s="4"/>
    </row>
    <row r="1715" spans="1:13" x14ac:dyDescent="0.25">
      <c r="A1715" t="s">
        <v>4961</v>
      </c>
      <c r="B1715" t="s">
        <v>4994</v>
      </c>
      <c r="C1715" s="25">
        <v>9049</v>
      </c>
      <c r="D1715" s="28">
        <v>9049</v>
      </c>
      <c r="E1715" s="2" t="str">
        <f t="shared" si="54"/>
        <v>Same</v>
      </c>
      <c r="F1715" s="6" t="s">
        <v>1845</v>
      </c>
      <c r="G1715" s="3">
        <v>41.5</v>
      </c>
      <c r="H1715" s="2" t="s">
        <v>1633</v>
      </c>
      <c r="I1715" s="4">
        <f>[1]Sheet1!I1715</f>
        <v>319</v>
      </c>
      <c r="J1715" s="3" t="str">
        <f t="shared" si="53"/>
        <v>9049_A1C1.webp</v>
      </c>
      <c r="K1715" s="5">
        <f>Sheet4!E1715</f>
        <v>16</v>
      </c>
      <c r="L1715" s="5"/>
      <c r="M1715" s="4"/>
    </row>
    <row r="1716" spans="1:13" x14ac:dyDescent="0.25">
      <c r="A1716" t="s">
        <v>4961</v>
      </c>
      <c r="B1716" t="s">
        <v>4962</v>
      </c>
      <c r="C1716" s="25">
        <v>9050</v>
      </c>
      <c r="D1716" s="28">
        <v>9050</v>
      </c>
      <c r="E1716" s="2" t="str">
        <f t="shared" si="54"/>
        <v>Same</v>
      </c>
      <c r="F1716" s="6" t="s">
        <v>1882</v>
      </c>
      <c r="G1716" s="3">
        <v>55.5</v>
      </c>
      <c r="H1716" s="2" t="s">
        <v>1634</v>
      </c>
      <c r="I1716" s="4">
        <f>[1]Sheet1!I1716</f>
        <v>31872</v>
      </c>
      <c r="J1716" s="3" t="str">
        <f t="shared" si="53"/>
        <v>9050_A1C1.webp</v>
      </c>
      <c r="K1716" s="5">
        <f>Sheet4!E1716</f>
        <v>24</v>
      </c>
      <c r="L1716" s="5"/>
      <c r="M1716" s="4"/>
    </row>
    <row r="1717" spans="1:13" x14ac:dyDescent="0.25">
      <c r="A1717" t="s">
        <v>4961</v>
      </c>
      <c r="B1717" t="s">
        <v>4992</v>
      </c>
      <c r="C1717" s="25">
        <v>9051</v>
      </c>
      <c r="D1717" s="28">
        <v>9051</v>
      </c>
      <c r="E1717" s="2" t="str">
        <f t="shared" si="54"/>
        <v>Same</v>
      </c>
      <c r="F1717" s="6" t="s">
        <v>1907</v>
      </c>
      <c r="G1717" s="3">
        <v>34.950000000000003</v>
      </c>
      <c r="H1717" s="2" t="s">
        <v>1635</v>
      </c>
      <c r="I1717" s="4">
        <f>[1]Sheet1!I1717</f>
        <v>28718</v>
      </c>
      <c r="J1717" s="3" t="str">
        <f t="shared" si="53"/>
        <v>9051_A1C1.webp</v>
      </c>
      <c r="K1717" s="5">
        <f>Sheet4!E1717</f>
        <v>6</v>
      </c>
      <c r="L1717" s="5"/>
      <c r="M1717" s="4"/>
    </row>
    <row r="1718" spans="1:13" x14ac:dyDescent="0.25">
      <c r="A1718" t="s">
        <v>4961</v>
      </c>
      <c r="B1718" t="s">
        <v>4992</v>
      </c>
      <c r="C1718" s="25">
        <v>9052</v>
      </c>
      <c r="D1718" s="28">
        <v>9052</v>
      </c>
      <c r="E1718" s="2" t="str">
        <f t="shared" si="54"/>
        <v>Same</v>
      </c>
      <c r="F1718" s="6" t="s">
        <v>1845</v>
      </c>
      <c r="G1718" s="3">
        <v>35.5</v>
      </c>
      <c r="H1718" s="2" t="s">
        <v>1636</v>
      </c>
      <c r="I1718" s="4">
        <f>[1]Sheet1!I1718</f>
        <v>9969</v>
      </c>
      <c r="J1718" s="3" t="str">
        <f t="shared" si="53"/>
        <v>9052_A1C1.webp</v>
      </c>
      <c r="K1718" s="5">
        <f>Sheet4!E1718</f>
        <v>20</v>
      </c>
      <c r="L1718" s="5"/>
      <c r="M1718" s="4"/>
    </row>
    <row r="1719" spans="1:13" x14ac:dyDescent="0.25">
      <c r="A1719" t="s">
        <v>4961</v>
      </c>
      <c r="B1719" t="s">
        <v>4994</v>
      </c>
      <c r="C1719" s="25">
        <v>9053</v>
      </c>
      <c r="D1719" s="28">
        <v>9053</v>
      </c>
      <c r="E1719" s="2" t="str">
        <f t="shared" si="54"/>
        <v>Same</v>
      </c>
      <c r="F1719" s="6" t="s">
        <v>1910</v>
      </c>
      <c r="G1719" s="3">
        <v>38.5</v>
      </c>
      <c r="H1719" s="2" t="s">
        <v>1637</v>
      </c>
      <c r="I1719" s="4">
        <f>[1]Sheet1!I1719</f>
        <v>1109</v>
      </c>
      <c r="J1719" s="3" t="str">
        <f t="shared" si="53"/>
        <v>9053_A1C1.webp</v>
      </c>
      <c r="K1719" s="5">
        <f>Sheet4!E1719</f>
        <v>12</v>
      </c>
      <c r="L1719" s="5"/>
      <c r="M1719" s="4"/>
    </row>
    <row r="1720" spans="1:13" x14ac:dyDescent="0.25">
      <c r="A1720" t="s">
        <v>4961</v>
      </c>
      <c r="B1720" t="s">
        <v>4994</v>
      </c>
      <c r="C1720" s="25">
        <v>9054</v>
      </c>
      <c r="D1720" s="28">
        <v>9054</v>
      </c>
      <c r="E1720" s="2" t="str">
        <f t="shared" si="54"/>
        <v>Same</v>
      </c>
      <c r="F1720" s="6" t="s">
        <v>1845</v>
      </c>
      <c r="G1720" s="3">
        <v>42.5</v>
      </c>
      <c r="H1720" s="2" t="s">
        <v>1638</v>
      </c>
      <c r="I1720" s="4">
        <f>[1]Sheet1!I1720</f>
        <v>290</v>
      </c>
      <c r="J1720" s="3" t="str">
        <f t="shared" si="53"/>
        <v>9054_A1C1.webp</v>
      </c>
      <c r="K1720" s="5">
        <f>Sheet4!E1720</f>
        <v>16</v>
      </c>
      <c r="L1720" s="5"/>
      <c r="M1720" s="4"/>
    </row>
    <row r="1721" spans="1:13" x14ac:dyDescent="0.25">
      <c r="A1721" t="s">
        <v>4961</v>
      </c>
      <c r="B1721" t="s">
        <v>2648</v>
      </c>
      <c r="C1721" s="25">
        <v>9055</v>
      </c>
      <c r="D1721" s="28">
        <v>9055</v>
      </c>
      <c r="E1721" s="2" t="str">
        <f t="shared" si="54"/>
        <v>Same</v>
      </c>
      <c r="F1721" s="6" t="s">
        <v>1881</v>
      </c>
      <c r="G1721" s="3">
        <v>29.95</v>
      </c>
      <c r="H1721" s="2" t="s">
        <v>1639</v>
      </c>
      <c r="I1721" s="4">
        <f>[1]Sheet1!I1721</f>
        <v>762</v>
      </c>
      <c r="J1721" s="3" t="str">
        <f t="shared" si="53"/>
        <v>9055_A1C1.webp</v>
      </c>
      <c r="K1721" s="5">
        <f>Sheet4!E1721</f>
        <v>6</v>
      </c>
      <c r="L1721" s="5"/>
      <c r="M1721" s="4"/>
    </row>
    <row r="1722" spans="1:13" x14ac:dyDescent="0.25">
      <c r="A1722" t="s">
        <v>4961</v>
      </c>
      <c r="B1722" t="s">
        <v>2648</v>
      </c>
      <c r="C1722" s="25">
        <v>9056</v>
      </c>
      <c r="D1722" s="28">
        <v>9056</v>
      </c>
      <c r="E1722" s="2" t="str">
        <f t="shared" si="54"/>
        <v>Same</v>
      </c>
      <c r="F1722" s="6" t="s">
        <v>1882</v>
      </c>
      <c r="G1722" s="3">
        <v>31.95</v>
      </c>
      <c r="H1722" s="2" t="s">
        <v>1640</v>
      </c>
      <c r="I1722" s="4">
        <f>[1]Sheet1!I1722</f>
        <v>1826</v>
      </c>
      <c r="J1722" s="3" t="str">
        <f t="shared" si="53"/>
        <v>9056_A1C1.webp</v>
      </c>
      <c r="K1722" s="5">
        <f>Sheet4!E1722</f>
        <v>12</v>
      </c>
      <c r="L1722" s="5"/>
      <c r="M1722" s="4"/>
    </row>
    <row r="1723" spans="1:13" x14ac:dyDescent="0.25">
      <c r="A1723" t="s">
        <v>4961</v>
      </c>
      <c r="B1723" t="s">
        <v>2648</v>
      </c>
      <c r="C1723" s="25">
        <v>9057</v>
      </c>
      <c r="D1723" s="28">
        <v>9057</v>
      </c>
      <c r="E1723" s="2" t="str">
        <f t="shared" si="54"/>
        <v>Same</v>
      </c>
      <c r="F1723" s="6" t="s">
        <v>1866</v>
      </c>
      <c r="G1723" s="3">
        <v>35.950000000000003</v>
      </c>
      <c r="H1723" s="2" t="s">
        <v>1641</v>
      </c>
      <c r="I1723" s="4">
        <f>[1]Sheet1!I1723</f>
        <v>274</v>
      </c>
      <c r="J1723" s="3" t="str">
        <f t="shared" si="53"/>
        <v>9057_A1C1.webp</v>
      </c>
      <c r="K1723" s="5">
        <f>Sheet4!E1723</f>
        <v>24</v>
      </c>
      <c r="L1723" s="5"/>
      <c r="M1723" s="4"/>
    </row>
    <row r="1724" spans="1:13" x14ac:dyDescent="0.25">
      <c r="A1724" t="s">
        <v>4961</v>
      </c>
      <c r="B1724" t="s">
        <v>5005</v>
      </c>
      <c r="C1724" s="25">
        <v>9058</v>
      </c>
      <c r="D1724" s="28">
        <v>9058</v>
      </c>
      <c r="E1724" s="2" t="str">
        <f t="shared" si="54"/>
        <v>Same</v>
      </c>
      <c r="F1724" s="6" t="s">
        <v>2079</v>
      </c>
      <c r="G1724" s="3">
        <v>56.5</v>
      </c>
      <c r="H1724" s="2" t="s">
        <v>1642</v>
      </c>
      <c r="I1724" s="4">
        <f>[1]Sheet1!I1724</f>
        <v>138</v>
      </c>
      <c r="J1724" s="3" t="str">
        <f t="shared" si="53"/>
        <v>9058_A1C1.webp</v>
      </c>
      <c r="K1724" s="5">
        <f>Sheet4!E1724</f>
        <v>12</v>
      </c>
      <c r="L1724" s="5"/>
      <c r="M1724" s="4"/>
    </row>
    <row r="1725" spans="1:13" x14ac:dyDescent="0.25">
      <c r="A1725" t="s">
        <v>4961</v>
      </c>
      <c r="B1725" t="s">
        <v>5005</v>
      </c>
      <c r="C1725" s="25">
        <v>9059</v>
      </c>
      <c r="D1725" s="28">
        <v>9059</v>
      </c>
      <c r="E1725" s="2" t="str">
        <f t="shared" si="54"/>
        <v>Same</v>
      </c>
      <c r="F1725" s="6" t="s">
        <v>2080</v>
      </c>
      <c r="G1725" s="3">
        <v>56.5</v>
      </c>
      <c r="H1725" s="2" t="s">
        <v>1643</v>
      </c>
      <c r="I1725" s="4">
        <f>[1]Sheet1!I1725</f>
        <v>65</v>
      </c>
      <c r="J1725" s="3" t="str">
        <f t="shared" si="53"/>
        <v>9059_A1C1.webp</v>
      </c>
      <c r="K1725" s="5">
        <f>Sheet4!E1725</f>
        <v>12</v>
      </c>
      <c r="L1725" s="5"/>
      <c r="M1725" s="4"/>
    </row>
    <row r="1726" spans="1:13" x14ac:dyDescent="0.25">
      <c r="A1726" t="s">
        <v>4961</v>
      </c>
      <c r="B1726" t="s">
        <v>5010</v>
      </c>
      <c r="C1726" s="25">
        <v>9060</v>
      </c>
      <c r="D1726" s="28">
        <v>9060</v>
      </c>
      <c r="E1726" s="2" t="str">
        <f t="shared" si="54"/>
        <v>Same</v>
      </c>
      <c r="F1726" s="6" t="s">
        <v>1882</v>
      </c>
      <c r="G1726" s="3">
        <v>38.950000000000003</v>
      </c>
      <c r="H1726" s="2" t="s">
        <v>1644</v>
      </c>
      <c r="I1726" s="4">
        <f>[1]Sheet1!I1726</f>
        <v>3086</v>
      </c>
      <c r="J1726" s="3" t="str">
        <f t="shared" si="53"/>
        <v>9060_A1C1.webp</v>
      </c>
      <c r="K1726" s="5">
        <f>Sheet4!E1726</f>
        <v>24</v>
      </c>
      <c r="L1726" s="5"/>
      <c r="M1726" s="4"/>
    </row>
    <row r="1727" spans="1:13" x14ac:dyDescent="0.25">
      <c r="A1727" t="s">
        <v>4961</v>
      </c>
      <c r="B1727" t="s">
        <v>5010</v>
      </c>
      <c r="C1727" s="25">
        <v>9061</v>
      </c>
      <c r="D1727" s="28">
        <v>9061</v>
      </c>
      <c r="E1727" s="2" t="str">
        <f t="shared" si="54"/>
        <v>Same</v>
      </c>
      <c r="F1727" s="6" t="s">
        <v>1882</v>
      </c>
      <c r="G1727" s="3">
        <v>38.950000000000003</v>
      </c>
      <c r="H1727" s="2" t="s">
        <v>1645</v>
      </c>
      <c r="I1727" s="4">
        <f>[1]Sheet1!I1727</f>
        <v>667</v>
      </c>
      <c r="J1727" s="3" t="str">
        <f t="shared" si="53"/>
        <v>9061_A1C1.webp</v>
      </c>
      <c r="K1727" s="5">
        <f>Sheet4!E1727</f>
        <v>24</v>
      </c>
      <c r="L1727" s="5"/>
      <c r="M1727" s="4"/>
    </row>
    <row r="1728" spans="1:13" x14ac:dyDescent="0.25">
      <c r="A1728" t="s">
        <v>4961</v>
      </c>
      <c r="B1728" t="s">
        <v>2638</v>
      </c>
      <c r="C1728" s="25">
        <v>9062</v>
      </c>
      <c r="D1728" s="28">
        <v>9062</v>
      </c>
      <c r="E1728" s="2" t="str">
        <f t="shared" si="54"/>
        <v>Same</v>
      </c>
      <c r="F1728" s="6" t="s">
        <v>1866</v>
      </c>
      <c r="G1728" s="3">
        <v>35.950000000000003</v>
      </c>
      <c r="H1728" s="2" t="s">
        <v>1646</v>
      </c>
      <c r="I1728" s="4">
        <f>[1]Sheet1!I1728</f>
        <v>750</v>
      </c>
      <c r="J1728" s="3" t="str">
        <f t="shared" si="53"/>
        <v>9062_A1C1.webp</v>
      </c>
      <c r="K1728" s="5">
        <f>Sheet4!E1728</f>
        <v>24</v>
      </c>
      <c r="L1728" s="5"/>
      <c r="M1728" s="4"/>
    </row>
    <row r="1729" spans="1:13" x14ac:dyDescent="0.25">
      <c r="A1729" t="s">
        <v>4961</v>
      </c>
      <c r="B1729" t="s">
        <v>2638</v>
      </c>
      <c r="C1729" s="25">
        <v>9063</v>
      </c>
      <c r="D1729" s="28">
        <v>9063</v>
      </c>
      <c r="E1729" s="2" t="str">
        <f t="shared" si="54"/>
        <v>Same</v>
      </c>
      <c r="F1729" s="6" t="s">
        <v>1882</v>
      </c>
      <c r="G1729" s="3">
        <v>31.95</v>
      </c>
      <c r="H1729" s="2" t="s">
        <v>1647</v>
      </c>
      <c r="I1729" s="4">
        <f>[1]Sheet1!I1729</f>
        <v>7605</v>
      </c>
      <c r="J1729" s="3" t="str">
        <f t="shared" si="53"/>
        <v>9063_A1C1.webp</v>
      </c>
      <c r="K1729" s="5">
        <f>Sheet4!E1729</f>
        <v>12</v>
      </c>
      <c r="L1729" s="5"/>
      <c r="M1729" s="4"/>
    </row>
    <row r="1730" spans="1:13" x14ac:dyDescent="0.25">
      <c r="A1730" t="s">
        <v>4961</v>
      </c>
      <c r="B1730" t="s">
        <v>2638</v>
      </c>
      <c r="C1730" s="25">
        <v>9064</v>
      </c>
      <c r="D1730" s="28">
        <v>9064</v>
      </c>
      <c r="E1730" s="2" t="str">
        <f t="shared" si="54"/>
        <v>Same</v>
      </c>
      <c r="F1730" s="6" t="s">
        <v>1881</v>
      </c>
      <c r="G1730" s="3">
        <v>29.95</v>
      </c>
      <c r="H1730" s="2" t="s">
        <v>1648</v>
      </c>
      <c r="I1730" s="4">
        <f>[1]Sheet1!I1730</f>
        <v>5148</v>
      </c>
      <c r="J1730" s="3" t="str">
        <f t="shared" ref="J1730:J1793" si="55">C1730 &amp; "_A1C1.webp"</f>
        <v>9064_A1C1.webp</v>
      </c>
      <c r="K1730" s="5">
        <f>Sheet4!E1730</f>
        <v>6</v>
      </c>
      <c r="L1730" s="5"/>
      <c r="M1730" s="4"/>
    </row>
    <row r="1731" spans="1:13" x14ac:dyDescent="0.25">
      <c r="A1731" t="s">
        <v>4961</v>
      </c>
      <c r="B1731" t="s">
        <v>5005</v>
      </c>
      <c r="C1731" s="25">
        <v>9065</v>
      </c>
      <c r="D1731" s="28">
        <v>9065</v>
      </c>
      <c r="E1731" s="2" t="str">
        <f t="shared" si="54"/>
        <v>Same</v>
      </c>
      <c r="F1731" s="6" t="s">
        <v>1849</v>
      </c>
      <c r="G1731" s="3">
        <v>21.5</v>
      </c>
      <c r="H1731" s="2" t="s">
        <v>1649</v>
      </c>
      <c r="I1731" s="4">
        <f>[1]Sheet1!I1731</f>
        <v>1983</v>
      </c>
      <c r="J1731" s="3" t="str">
        <f t="shared" si="55"/>
        <v>9065_A1C1.webp</v>
      </c>
      <c r="K1731" s="5">
        <f>Sheet4!E1731</f>
        <v>12</v>
      </c>
      <c r="L1731" s="5"/>
      <c r="M1731" s="4"/>
    </row>
    <row r="1732" spans="1:13" x14ac:dyDescent="0.25">
      <c r="A1732" t="s">
        <v>4949</v>
      </c>
      <c r="B1732" t="s">
        <v>5014</v>
      </c>
      <c r="C1732" s="25">
        <v>9066</v>
      </c>
      <c r="D1732" s="28">
        <v>9066</v>
      </c>
      <c r="E1732" s="2" t="str">
        <f t="shared" si="54"/>
        <v>Same</v>
      </c>
      <c r="F1732" s="6" t="s">
        <v>1849</v>
      </c>
      <c r="G1732" s="3">
        <v>34.950000000000003</v>
      </c>
      <c r="H1732" s="2" t="s">
        <v>1650</v>
      </c>
      <c r="I1732" s="4">
        <f>[1]Sheet1!I1732</f>
        <v>37</v>
      </c>
      <c r="J1732" s="3" t="str">
        <f t="shared" si="55"/>
        <v>9066_A1C1.webp</v>
      </c>
      <c r="K1732" s="5">
        <f>Sheet4!E1732</f>
        <v>12</v>
      </c>
      <c r="L1732" s="5"/>
      <c r="M1732" s="4"/>
    </row>
    <row r="1733" spans="1:13" x14ac:dyDescent="0.25">
      <c r="A1733" t="s">
        <v>4961</v>
      </c>
      <c r="B1733" t="s">
        <v>5005</v>
      </c>
      <c r="C1733" s="25">
        <v>9067</v>
      </c>
      <c r="D1733" s="28">
        <v>9067</v>
      </c>
      <c r="E1733" s="2" t="str">
        <f t="shared" si="54"/>
        <v>Same</v>
      </c>
      <c r="F1733" s="6" t="s">
        <v>1849</v>
      </c>
      <c r="G1733" s="3">
        <v>22.75</v>
      </c>
      <c r="H1733" s="2" t="s">
        <v>1651</v>
      </c>
      <c r="I1733" s="4">
        <f>[1]Sheet1!I1733</f>
        <v>6405</v>
      </c>
      <c r="J1733" s="3" t="str">
        <f t="shared" si="55"/>
        <v>9067_A1C1.webp</v>
      </c>
      <c r="K1733" s="5">
        <f>Sheet4!E1733</f>
        <v>12</v>
      </c>
      <c r="L1733" s="5"/>
      <c r="M1733" s="4"/>
    </row>
    <row r="1734" spans="1:13" x14ac:dyDescent="0.25">
      <c r="A1734" t="s">
        <v>4949</v>
      </c>
      <c r="B1734" t="s">
        <v>5018</v>
      </c>
      <c r="C1734" s="25">
        <v>9068</v>
      </c>
      <c r="D1734" s="28">
        <v>9068</v>
      </c>
      <c r="E1734" s="2" t="str">
        <f t="shared" si="54"/>
        <v>Same</v>
      </c>
      <c r="F1734" s="6" t="s">
        <v>1915</v>
      </c>
      <c r="G1734" s="3">
        <v>34.950000000000003</v>
      </c>
      <c r="H1734" s="2" t="s">
        <v>1652</v>
      </c>
      <c r="I1734" s="4">
        <f>[1]Sheet1!I1734</f>
        <v>199</v>
      </c>
      <c r="J1734" s="3" t="str">
        <f t="shared" si="55"/>
        <v>9068_A1C1.webp</v>
      </c>
      <c r="K1734" s="5">
        <f>Sheet4!E1734</f>
        <v>12</v>
      </c>
      <c r="L1734" s="5"/>
      <c r="M1734" s="4"/>
    </row>
    <row r="1735" spans="1:13" x14ac:dyDescent="0.25">
      <c r="A1735" t="s">
        <v>4961</v>
      </c>
      <c r="B1735" t="s">
        <v>5020</v>
      </c>
      <c r="C1735" s="25">
        <v>9069</v>
      </c>
      <c r="D1735" s="28">
        <v>9069</v>
      </c>
      <c r="E1735" s="2" t="str">
        <f t="shared" si="54"/>
        <v>Same</v>
      </c>
      <c r="F1735" s="6" t="s">
        <v>1882</v>
      </c>
      <c r="G1735" s="3">
        <v>33.5</v>
      </c>
      <c r="H1735" s="2" t="s">
        <v>1653</v>
      </c>
      <c r="I1735" s="4">
        <f>[1]Sheet1!I1735</f>
        <v>2302</v>
      </c>
      <c r="J1735" s="3" t="str">
        <f t="shared" si="55"/>
        <v>9069_A1C1.webp</v>
      </c>
      <c r="K1735" s="5">
        <f>Sheet4!E1735</f>
        <v>12</v>
      </c>
      <c r="L1735" s="5"/>
      <c r="M1735" s="4"/>
    </row>
    <row r="1736" spans="1:13" x14ac:dyDescent="0.25">
      <c r="A1736" t="s">
        <v>4949</v>
      </c>
      <c r="B1736" t="s">
        <v>5018</v>
      </c>
      <c r="C1736" s="25">
        <v>9070</v>
      </c>
      <c r="D1736" s="28">
        <v>9070</v>
      </c>
      <c r="E1736" s="2" t="str">
        <f t="shared" si="54"/>
        <v>Same</v>
      </c>
      <c r="F1736" s="6" t="s">
        <v>1915</v>
      </c>
      <c r="G1736" s="3">
        <v>34.950000000000003</v>
      </c>
      <c r="H1736" s="2" t="s">
        <v>1654</v>
      </c>
      <c r="I1736" s="4">
        <f>[1]Sheet1!I1736</f>
        <v>7</v>
      </c>
      <c r="J1736" s="3" t="str">
        <f t="shared" si="55"/>
        <v>9070_A1C1.webp</v>
      </c>
      <c r="K1736" s="5">
        <f>Sheet4!E1736</f>
        <v>12</v>
      </c>
      <c r="L1736" s="5"/>
      <c r="M1736" s="4"/>
    </row>
    <row r="1737" spans="1:13" x14ac:dyDescent="0.25">
      <c r="A1737" t="s">
        <v>4961</v>
      </c>
      <c r="B1737" t="s">
        <v>5020</v>
      </c>
      <c r="C1737" s="25">
        <v>9071</v>
      </c>
      <c r="D1737" s="28">
        <v>9071</v>
      </c>
      <c r="E1737" s="2" t="str">
        <f t="shared" ref="E1737:E1800" si="56">IF(C1737=D1737, "Same","New")</f>
        <v>Same</v>
      </c>
      <c r="F1737" s="6" t="s">
        <v>1882</v>
      </c>
      <c r="G1737" s="3">
        <v>26.95</v>
      </c>
      <c r="H1737" s="2" t="s">
        <v>1655</v>
      </c>
      <c r="I1737" s="4">
        <f>[1]Sheet1!I1737</f>
        <v>1663</v>
      </c>
      <c r="J1737" s="3" t="str">
        <f t="shared" si="55"/>
        <v>9071_A1C1.webp</v>
      </c>
      <c r="K1737" s="5">
        <f>Sheet4!E1737</f>
        <v>12</v>
      </c>
      <c r="L1737" s="5"/>
      <c r="M1737" s="4"/>
    </row>
    <row r="1738" spans="1:13" x14ac:dyDescent="0.25">
      <c r="A1738" t="s">
        <v>4961</v>
      </c>
      <c r="B1738" t="s">
        <v>5020</v>
      </c>
      <c r="C1738" s="25">
        <v>9072</v>
      </c>
      <c r="D1738" s="28">
        <v>9072</v>
      </c>
      <c r="E1738" s="2" t="str">
        <f t="shared" si="56"/>
        <v>Same</v>
      </c>
      <c r="F1738" s="6" t="s">
        <v>1882</v>
      </c>
      <c r="G1738" s="3">
        <v>19.95</v>
      </c>
      <c r="H1738" s="2" t="s">
        <v>1656</v>
      </c>
      <c r="I1738" s="4">
        <f>[1]Sheet1!I1738</f>
        <v>3453</v>
      </c>
      <c r="J1738" s="3" t="str">
        <f t="shared" si="55"/>
        <v>9072_A1C1.webp</v>
      </c>
      <c r="K1738" s="5">
        <f>Sheet4!E1738</f>
        <v>12</v>
      </c>
      <c r="L1738" s="5"/>
      <c r="M1738" s="4"/>
    </row>
    <row r="1739" spans="1:13" x14ac:dyDescent="0.25">
      <c r="A1739" t="s">
        <v>4961</v>
      </c>
      <c r="B1739" t="s">
        <v>5025</v>
      </c>
      <c r="C1739" s="25">
        <v>9073</v>
      </c>
      <c r="D1739" s="28">
        <v>9073</v>
      </c>
      <c r="E1739" s="2" t="str">
        <f t="shared" si="56"/>
        <v>Same</v>
      </c>
      <c r="F1739" s="6" t="s">
        <v>1881</v>
      </c>
      <c r="G1739" s="3">
        <v>38.5</v>
      </c>
      <c r="H1739" s="2" t="s">
        <v>1657</v>
      </c>
      <c r="I1739" s="4">
        <f>[1]Sheet1!I1739</f>
        <v>101</v>
      </c>
      <c r="J1739" s="3" t="str">
        <f t="shared" si="55"/>
        <v>9073_A1C1.webp</v>
      </c>
      <c r="K1739" s="5">
        <f>Sheet4!E1739</f>
        <v>12</v>
      </c>
      <c r="L1739" s="5"/>
      <c r="M1739" s="4"/>
    </row>
    <row r="1740" spans="1:13" x14ac:dyDescent="0.25">
      <c r="A1740" t="s">
        <v>4961</v>
      </c>
      <c r="B1740" t="s">
        <v>5005</v>
      </c>
      <c r="C1740" s="25">
        <v>9074</v>
      </c>
      <c r="D1740" s="28">
        <v>9074</v>
      </c>
      <c r="E1740" s="2" t="str">
        <f t="shared" si="56"/>
        <v>Same</v>
      </c>
      <c r="F1740" s="6" t="s">
        <v>1849</v>
      </c>
      <c r="G1740" s="3">
        <v>21.5</v>
      </c>
      <c r="H1740" s="2" t="s">
        <v>1658</v>
      </c>
      <c r="I1740" s="4">
        <f>[1]Sheet1!I1740</f>
        <v>3582</v>
      </c>
      <c r="J1740" s="3" t="str">
        <f t="shared" si="55"/>
        <v>9074_A1C1.webp</v>
      </c>
      <c r="K1740" s="5">
        <f>Sheet4!E1740</f>
        <v>12</v>
      </c>
      <c r="L1740" s="5"/>
      <c r="M1740" s="4"/>
    </row>
    <row r="1741" spans="1:13" x14ac:dyDescent="0.25">
      <c r="A1741" t="s">
        <v>4961</v>
      </c>
      <c r="B1741" t="s">
        <v>5028</v>
      </c>
      <c r="C1741" s="25">
        <v>9078</v>
      </c>
      <c r="D1741" s="28">
        <v>9078</v>
      </c>
      <c r="E1741" s="2" t="str">
        <f t="shared" si="56"/>
        <v>Same</v>
      </c>
      <c r="F1741" s="6" t="s">
        <v>1882</v>
      </c>
      <c r="G1741" s="3">
        <v>24.95</v>
      </c>
      <c r="H1741" s="2" t="s">
        <v>1659</v>
      </c>
      <c r="I1741" s="4">
        <f>[1]Sheet1!I1741</f>
        <v>859</v>
      </c>
      <c r="J1741" s="3" t="str">
        <f t="shared" si="55"/>
        <v>9078_A1C1.webp</v>
      </c>
      <c r="K1741" s="5">
        <f>Sheet4!E1741</f>
        <v>12</v>
      </c>
      <c r="L1741" s="5"/>
      <c r="M1741" s="4"/>
    </row>
    <row r="1742" spans="1:13" x14ac:dyDescent="0.25">
      <c r="A1742" t="s">
        <v>4961</v>
      </c>
      <c r="B1742" t="s">
        <v>5028</v>
      </c>
      <c r="C1742" s="25">
        <v>9079</v>
      </c>
      <c r="D1742" s="28">
        <v>9079</v>
      </c>
      <c r="E1742" s="2" t="str">
        <f t="shared" si="56"/>
        <v>Same</v>
      </c>
      <c r="F1742" s="6" t="s">
        <v>1882</v>
      </c>
      <c r="G1742" s="3">
        <v>31.5</v>
      </c>
      <c r="H1742" s="2" t="s">
        <v>1660</v>
      </c>
      <c r="I1742" s="4">
        <f>[1]Sheet1!I1742</f>
        <v>543</v>
      </c>
      <c r="J1742" s="3" t="str">
        <f t="shared" si="55"/>
        <v>9079_A1C1.webp</v>
      </c>
      <c r="K1742" s="5">
        <f>Sheet4!E1742</f>
        <v>12</v>
      </c>
      <c r="L1742" s="5"/>
      <c r="M1742" s="4"/>
    </row>
    <row r="1743" spans="1:13" x14ac:dyDescent="0.25">
      <c r="A1743" t="s">
        <v>4961</v>
      </c>
      <c r="B1743" t="s">
        <v>5020</v>
      </c>
      <c r="C1743" s="25">
        <v>9080</v>
      </c>
      <c r="D1743" s="28">
        <v>9080</v>
      </c>
      <c r="E1743" s="2" t="str">
        <f t="shared" si="56"/>
        <v>Same</v>
      </c>
      <c r="F1743" s="6" t="s">
        <v>1882</v>
      </c>
      <c r="G1743" s="3">
        <v>31.5</v>
      </c>
      <c r="H1743" s="2" t="s">
        <v>1661</v>
      </c>
      <c r="I1743" s="4">
        <f>[1]Sheet1!I1743</f>
        <v>1656</v>
      </c>
      <c r="J1743" s="3" t="str">
        <f t="shared" si="55"/>
        <v>9080_A1C1.webp</v>
      </c>
      <c r="K1743" s="5">
        <f>Sheet4!E1743</f>
        <v>12</v>
      </c>
      <c r="L1743" s="5"/>
      <c r="M1743" s="4"/>
    </row>
    <row r="1744" spans="1:13" x14ac:dyDescent="0.25">
      <c r="A1744" t="s">
        <v>4961</v>
      </c>
      <c r="B1744" t="s">
        <v>5020</v>
      </c>
      <c r="C1744" s="25">
        <v>9081</v>
      </c>
      <c r="D1744" s="28">
        <v>9081</v>
      </c>
      <c r="E1744" s="2" t="str">
        <f t="shared" si="56"/>
        <v>Same</v>
      </c>
      <c r="F1744" s="6" t="s">
        <v>1882</v>
      </c>
      <c r="G1744" s="3">
        <v>34.950000000000003</v>
      </c>
      <c r="H1744" s="2" t="s">
        <v>1662</v>
      </c>
      <c r="I1744" s="4">
        <f>[1]Sheet1!I1744</f>
        <v>4340</v>
      </c>
      <c r="J1744" s="3" t="str">
        <f t="shared" si="55"/>
        <v>9081_A1C1.webp</v>
      </c>
      <c r="K1744" s="5">
        <f>Sheet4!E1744</f>
        <v>12</v>
      </c>
      <c r="L1744" s="5"/>
      <c r="M1744" s="4"/>
    </row>
    <row r="1745" spans="1:13" x14ac:dyDescent="0.25">
      <c r="A1745" t="s">
        <v>4961</v>
      </c>
      <c r="B1745" t="s">
        <v>5020</v>
      </c>
      <c r="C1745" s="25">
        <v>9082</v>
      </c>
      <c r="D1745" s="28">
        <v>9082</v>
      </c>
      <c r="E1745" s="2" t="str">
        <f t="shared" si="56"/>
        <v>Same</v>
      </c>
      <c r="F1745" s="6" t="s">
        <v>1882</v>
      </c>
      <c r="G1745" s="3">
        <v>19.95</v>
      </c>
      <c r="H1745" s="2" t="s">
        <v>1663</v>
      </c>
      <c r="I1745" s="4">
        <f>[1]Sheet1!I1745</f>
        <v>573</v>
      </c>
      <c r="J1745" s="3" t="str">
        <f t="shared" si="55"/>
        <v>9082_A1C1.webp</v>
      </c>
      <c r="K1745" s="5">
        <f>Sheet4!E1745</f>
        <v>12</v>
      </c>
      <c r="L1745" s="5"/>
      <c r="M1745" s="4"/>
    </row>
    <row r="1746" spans="1:13" x14ac:dyDescent="0.25">
      <c r="A1746" t="s">
        <v>4961</v>
      </c>
      <c r="B1746" t="s">
        <v>5028</v>
      </c>
      <c r="C1746" s="25">
        <v>9083</v>
      </c>
      <c r="D1746" s="28">
        <v>9083</v>
      </c>
      <c r="E1746" s="2" t="str">
        <f t="shared" si="56"/>
        <v>Same</v>
      </c>
      <c r="F1746" s="6" t="s">
        <v>1882</v>
      </c>
      <c r="G1746" s="3">
        <v>21.5</v>
      </c>
      <c r="H1746" s="2" t="s">
        <v>1664</v>
      </c>
      <c r="I1746" s="4">
        <f>[1]Sheet1!I1746</f>
        <v>481</v>
      </c>
      <c r="J1746" s="3" t="str">
        <f t="shared" si="55"/>
        <v>9083_A1C1.webp</v>
      </c>
      <c r="K1746" s="5">
        <f>Sheet4!E1746</f>
        <v>12</v>
      </c>
      <c r="L1746" s="5"/>
      <c r="M1746" s="4"/>
    </row>
    <row r="1747" spans="1:13" x14ac:dyDescent="0.25">
      <c r="A1747" t="s">
        <v>4961</v>
      </c>
      <c r="B1747" t="s">
        <v>5020</v>
      </c>
      <c r="C1747" s="25">
        <v>9084</v>
      </c>
      <c r="D1747" s="28">
        <v>9084</v>
      </c>
      <c r="E1747" s="2" t="str">
        <f t="shared" si="56"/>
        <v>Same</v>
      </c>
      <c r="F1747" s="6" t="s">
        <v>1882</v>
      </c>
      <c r="G1747" s="3">
        <v>19.95</v>
      </c>
      <c r="H1747" s="2" t="s">
        <v>1665</v>
      </c>
      <c r="I1747" s="4">
        <f>[1]Sheet1!I1747</f>
        <v>3534</v>
      </c>
      <c r="J1747" s="3" t="str">
        <f t="shared" si="55"/>
        <v>9084_A1C1.webp</v>
      </c>
      <c r="K1747" s="5">
        <f>Sheet4!E1747</f>
        <v>12</v>
      </c>
      <c r="L1747" s="5"/>
      <c r="M1747" s="4"/>
    </row>
    <row r="1748" spans="1:13" x14ac:dyDescent="0.25">
      <c r="A1748" t="s">
        <v>4961</v>
      </c>
      <c r="B1748" t="s">
        <v>5020</v>
      </c>
      <c r="C1748" s="25">
        <v>9085</v>
      </c>
      <c r="D1748" s="28">
        <v>9085</v>
      </c>
      <c r="E1748" s="2" t="str">
        <f t="shared" si="56"/>
        <v>Same</v>
      </c>
      <c r="F1748" s="6" t="s">
        <v>1882</v>
      </c>
      <c r="G1748" s="3">
        <v>25.95</v>
      </c>
      <c r="H1748" s="2" t="s">
        <v>1666</v>
      </c>
      <c r="I1748" s="4">
        <f>[1]Sheet1!I1748</f>
        <v>69</v>
      </c>
      <c r="J1748" s="3" t="str">
        <f t="shared" si="55"/>
        <v>9085_A1C1.webp</v>
      </c>
      <c r="K1748" s="5">
        <f>Sheet4!E1748</f>
        <v>12</v>
      </c>
      <c r="L1748" s="5"/>
      <c r="M1748" s="4"/>
    </row>
    <row r="1749" spans="1:13" x14ac:dyDescent="0.25">
      <c r="A1749" t="s">
        <v>4961</v>
      </c>
      <c r="B1749" t="s">
        <v>5020</v>
      </c>
      <c r="C1749" s="25">
        <v>9086</v>
      </c>
      <c r="D1749" s="28">
        <v>9086</v>
      </c>
      <c r="E1749" s="2" t="str">
        <f t="shared" si="56"/>
        <v>Same</v>
      </c>
      <c r="F1749" s="6" t="s">
        <v>1882</v>
      </c>
      <c r="G1749" s="3">
        <v>35.950000000000003</v>
      </c>
      <c r="H1749" s="2" t="s">
        <v>1667</v>
      </c>
      <c r="I1749" s="4">
        <f>[1]Sheet1!I1749</f>
        <v>13219</v>
      </c>
      <c r="J1749" s="3" t="str">
        <f t="shared" si="55"/>
        <v>9086_A1C1.webp</v>
      </c>
      <c r="K1749" s="5">
        <f>Sheet4!E1749</f>
        <v>12</v>
      </c>
      <c r="L1749" s="5"/>
      <c r="M1749" s="4"/>
    </row>
    <row r="1750" spans="1:13" x14ac:dyDescent="0.25">
      <c r="A1750" t="s">
        <v>4961</v>
      </c>
      <c r="B1750" t="s">
        <v>5020</v>
      </c>
      <c r="C1750" s="25">
        <v>9087</v>
      </c>
      <c r="D1750" s="28">
        <v>9087</v>
      </c>
      <c r="E1750" s="2" t="str">
        <f t="shared" si="56"/>
        <v>Same</v>
      </c>
      <c r="F1750" s="6" t="s">
        <v>1882</v>
      </c>
      <c r="G1750" s="3">
        <v>29.95</v>
      </c>
      <c r="H1750" s="2" t="s">
        <v>1668</v>
      </c>
      <c r="I1750" s="4">
        <f>[1]Sheet1!I1750</f>
        <v>38</v>
      </c>
      <c r="J1750" s="3" t="str">
        <f t="shared" si="55"/>
        <v>9087_A1C1.webp</v>
      </c>
      <c r="K1750" s="5">
        <f>Sheet4!E1750</f>
        <v>12</v>
      </c>
      <c r="L1750" s="5"/>
      <c r="M1750" s="4"/>
    </row>
    <row r="1751" spans="1:13" x14ac:dyDescent="0.25">
      <c r="A1751" t="s">
        <v>4961</v>
      </c>
      <c r="B1751" t="s">
        <v>5020</v>
      </c>
      <c r="C1751" s="25">
        <v>9088</v>
      </c>
      <c r="D1751" s="28">
        <v>9088</v>
      </c>
      <c r="E1751" s="2" t="str">
        <f t="shared" si="56"/>
        <v>Same</v>
      </c>
      <c r="F1751" s="6" t="s">
        <v>1882</v>
      </c>
      <c r="G1751" s="3">
        <v>33.5</v>
      </c>
      <c r="H1751" s="2" t="s">
        <v>1669</v>
      </c>
      <c r="I1751" s="4">
        <f>[1]Sheet1!I1751</f>
        <v>591</v>
      </c>
      <c r="J1751" s="3" t="str">
        <f t="shared" si="55"/>
        <v>9088_A1C1.webp</v>
      </c>
      <c r="K1751" s="5">
        <f>Sheet4!E1751</f>
        <v>12</v>
      </c>
      <c r="L1751" s="5"/>
      <c r="M1751" s="4"/>
    </row>
    <row r="1752" spans="1:13" x14ac:dyDescent="0.25">
      <c r="A1752" t="s">
        <v>4961</v>
      </c>
      <c r="B1752" t="s">
        <v>5028</v>
      </c>
      <c r="C1752" s="25">
        <v>9089</v>
      </c>
      <c r="D1752" s="28">
        <v>9089</v>
      </c>
      <c r="E1752" s="2" t="str">
        <f t="shared" si="56"/>
        <v>Same</v>
      </c>
      <c r="F1752" s="6" t="s">
        <v>1882</v>
      </c>
      <c r="G1752" s="3">
        <v>21.5</v>
      </c>
      <c r="H1752" s="2" t="s">
        <v>1670</v>
      </c>
      <c r="I1752" s="4">
        <f>[1]Sheet1!I1752</f>
        <v>757</v>
      </c>
      <c r="J1752" s="3" t="str">
        <f t="shared" si="55"/>
        <v>9089_A1C1.webp</v>
      </c>
      <c r="K1752" s="5">
        <f>Sheet4!E1752</f>
        <v>12</v>
      </c>
      <c r="L1752" s="5"/>
      <c r="M1752" s="4"/>
    </row>
    <row r="1753" spans="1:13" x14ac:dyDescent="0.25">
      <c r="A1753" t="s">
        <v>4961</v>
      </c>
      <c r="B1753" t="s">
        <v>5028</v>
      </c>
      <c r="C1753" s="25">
        <v>9090</v>
      </c>
      <c r="D1753" s="28">
        <v>9090</v>
      </c>
      <c r="E1753" s="2" t="str">
        <f t="shared" si="56"/>
        <v>Same</v>
      </c>
      <c r="F1753" s="6" t="s">
        <v>1882</v>
      </c>
      <c r="G1753" s="3">
        <v>24.95</v>
      </c>
      <c r="H1753" s="2" t="s">
        <v>1671</v>
      </c>
      <c r="I1753" s="4">
        <f>[1]Sheet1!I1753</f>
        <v>2183</v>
      </c>
      <c r="J1753" s="3" t="str">
        <f t="shared" si="55"/>
        <v>9090_A1C1.webp</v>
      </c>
      <c r="K1753" s="5">
        <f>Sheet4!E1753</f>
        <v>12</v>
      </c>
      <c r="L1753" s="5"/>
      <c r="M1753" s="4"/>
    </row>
    <row r="1754" spans="1:13" x14ac:dyDescent="0.25">
      <c r="A1754" t="s">
        <v>4949</v>
      </c>
      <c r="B1754" t="s">
        <v>4989</v>
      </c>
      <c r="C1754" s="25">
        <v>9092</v>
      </c>
      <c r="D1754" s="28">
        <v>9092</v>
      </c>
      <c r="E1754" s="2" t="str">
        <f t="shared" si="56"/>
        <v>Same</v>
      </c>
      <c r="F1754" s="6" t="s">
        <v>1874</v>
      </c>
      <c r="G1754" s="3">
        <v>41.5</v>
      </c>
      <c r="H1754" s="2" t="s">
        <v>1672</v>
      </c>
      <c r="I1754" s="4">
        <f>[1]Sheet1!I1754</f>
        <v>123</v>
      </c>
      <c r="J1754" s="3" t="str">
        <f t="shared" si="55"/>
        <v>9092_A1C1.webp</v>
      </c>
      <c r="K1754" s="5">
        <f>Sheet4!E1754</f>
        <v>12</v>
      </c>
      <c r="L1754" s="5"/>
      <c r="M1754" s="4"/>
    </row>
    <row r="1755" spans="1:13" x14ac:dyDescent="0.25">
      <c r="A1755" t="s">
        <v>4961</v>
      </c>
      <c r="B1755" t="s">
        <v>4992</v>
      </c>
      <c r="C1755" s="25">
        <v>9094</v>
      </c>
      <c r="D1755" s="28">
        <v>9094</v>
      </c>
      <c r="E1755" s="2" t="str">
        <f t="shared" si="56"/>
        <v>Same</v>
      </c>
      <c r="F1755" s="6" t="s">
        <v>2081</v>
      </c>
      <c r="G1755" s="3">
        <v>27.5</v>
      </c>
      <c r="H1755" s="2" t="s">
        <v>1673</v>
      </c>
      <c r="I1755" s="4">
        <f>[1]Sheet1!I1755</f>
        <v>4569</v>
      </c>
      <c r="J1755" s="3" t="str">
        <f t="shared" si="55"/>
        <v>9094_A1C1.webp</v>
      </c>
      <c r="K1755" s="5">
        <f>Sheet4!E1755</f>
        <v>12</v>
      </c>
      <c r="L1755" s="5"/>
      <c r="M1755" s="4"/>
    </row>
    <row r="1756" spans="1:13" x14ac:dyDescent="0.25">
      <c r="A1756" t="s">
        <v>5045</v>
      </c>
      <c r="B1756" t="s">
        <v>5046</v>
      </c>
      <c r="C1756" s="25">
        <v>9095</v>
      </c>
      <c r="D1756" s="28">
        <v>9095</v>
      </c>
      <c r="E1756" s="2" t="str">
        <f t="shared" si="56"/>
        <v>Same</v>
      </c>
      <c r="F1756" s="6" t="s">
        <v>1849</v>
      </c>
      <c r="G1756" s="3">
        <v>27.5</v>
      </c>
      <c r="H1756" s="2" t="s">
        <v>1674</v>
      </c>
      <c r="I1756" s="4">
        <f>[1]Sheet1!I1756</f>
        <v>4769</v>
      </c>
      <c r="J1756" s="3" t="str">
        <f t="shared" si="55"/>
        <v>9095_A1C1.webp</v>
      </c>
      <c r="K1756" s="5">
        <f>Sheet4!E1756</f>
        <v>15</v>
      </c>
      <c r="L1756" s="5"/>
      <c r="M1756" s="4"/>
    </row>
    <row r="1757" spans="1:13" x14ac:dyDescent="0.25">
      <c r="A1757" t="s">
        <v>4949</v>
      </c>
      <c r="B1757" t="s">
        <v>4989</v>
      </c>
      <c r="C1757" s="25">
        <v>9098</v>
      </c>
      <c r="D1757" s="28">
        <v>9098</v>
      </c>
      <c r="E1757" s="2" t="str">
        <f t="shared" si="56"/>
        <v>Same</v>
      </c>
      <c r="F1757" s="6" t="s">
        <v>1922</v>
      </c>
      <c r="G1757" s="3">
        <v>30.95</v>
      </c>
      <c r="H1757" s="2" t="s">
        <v>1675</v>
      </c>
      <c r="I1757" s="4">
        <f>[1]Sheet1!I1757</f>
        <v>1574</v>
      </c>
      <c r="J1757" s="3" t="str">
        <f t="shared" si="55"/>
        <v>9098_A1C1.webp</v>
      </c>
      <c r="K1757" s="5">
        <f>Sheet4!E1757</f>
        <v>12</v>
      </c>
      <c r="L1757" s="5"/>
      <c r="M1757" s="4"/>
    </row>
    <row r="1758" spans="1:13" x14ac:dyDescent="0.25">
      <c r="A1758" t="s">
        <v>4949</v>
      </c>
      <c r="B1758" t="s">
        <v>4989</v>
      </c>
      <c r="C1758" s="25">
        <v>9100</v>
      </c>
      <c r="D1758" s="28">
        <v>9100</v>
      </c>
      <c r="E1758" s="2" t="str">
        <f t="shared" si="56"/>
        <v>Same</v>
      </c>
      <c r="F1758" s="6" t="s">
        <v>1845</v>
      </c>
      <c r="G1758" s="3">
        <v>56.5</v>
      </c>
      <c r="H1758" s="2" t="s">
        <v>1676</v>
      </c>
      <c r="I1758" s="4">
        <f>[1]Sheet1!I1758</f>
        <v>686</v>
      </c>
      <c r="J1758" s="3" t="str">
        <f t="shared" si="55"/>
        <v>9100_A1C1.webp</v>
      </c>
      <c r="K1758" s="5">
        <f>Sheet4!E1758</f>
        <v>12</v>
      </c>
      <c r="L1758" s="5"/>
      <c r="M1758" s="4"/>
    </row>
    <row r="1759" spans="1:13" x14ac:dyDescent="0.25">
      <c r="A1759" t="s">
        <v>4949</v>
      </c>
      <c r="B1759" t="s">
        <v>4989</v>
      </c>
      <c r="C1759" s="25">
        <v>9101</v>
      </c>
      <c r="D1759" s="28">
        <v>9101</v>
      </c>
      <c r="E1759" s="2" t="str">
        <f t="shared" si="56"/>
        <v>Same</v>
      </c>
      <c r="F1759" s="6" t="s">
        <v>1946</v>
      </c>
      <c r="G1759" s="3">
        <v>39.950000000000003</v>
      </c>
      <c r="H1759" s="2" t="s">
        <v>1677</v>
      </c>
      <c r="I1759" s="4">
        <f>[1]Sheet1!I1759</f>
        <v>1412</v>
      </c>
      <c r="J1759" s="3" t="str">
        <f t="shared" si="55"/>
        <v>9101_A1C1.webp</v>
      </c>
      <c r="K1759" s="5">
        <f>Sheet4!E1759</f>
        <v>6</v>
      </c>
      <c r="L1759" s="5"/>
      <c r="M1759" s="4"/>
    </row>
    <row r="1760" spans="1:13" x14ac:dyDescent="0.25">
      <c r="A1760" t="s">
        <v>4949</v>
      </c>
      <c r="B1760" t="s">
        <v>4989</v>
      </c>
      <c r="C1760" s="25">
        <v>9102</v>
      </c>
      <c r="D1760" s="28">
        <v>9102</v>
      </c>
      <c r="E1760" s="2" t="str">
        <f t="shared" si="56"/>
        <v>Same</v>
      </c>
      <c r="F1760" s="6" t="s">
        <v>1946</v>
      </c>
      <c r="G1760" s="3">
        <v>40.950000000000003</v>
      </c>
      <c r="H1760" s="2" t="s">
        <v>1678</v>
      </c>
      <c r="I1760" s="4">
        <f>[1]Sheet1!I1760</f>
        <v>521</v>
      </c>
      <c r="J1760" s="3" t="str">
        <f t="shared" si="55"/>
        <v>9102_A1C1.webp</v>
      </c>
      <c r="K1760" s="5">
        <f>Sheet4!E1760</f>
        <v>6</v>
      </c>
      <c r="L1760" s="5"/>
      <c r="M1760" s="4"/>
    </row>
    <row r="1761" spans="1:13" x14ac:dyDescent="0.25">
      <c r="A1761" t="s">
        <v>4949</v>
      </c>
      <c r="B1761" t="s">
        <v>4989</v>
      </c>
      <c r="C1761" s="25">
        <v>9105</v>
      </c>
      <c r="D1761" s="28">
        <v>9105</v>
      </c>
      <c r="E1761" s="2" t="str">
        <f t="shared" si="56"/>
        <v>Same</v>
      </c>
      <c r="F1761" s="6" t="s">
        <v>2082</v>
      </c>
      <c r="G1761" s="3">
        <v>44.95</v>
      </c>
      <c r="H1761" s="2" t="s">
        <v>1679</v>
      </c>
      <c r="I1761" s="4">
        <f>[1]Sheet1!I1761</f>
        <v>41</v>
      </c>
      <c r="J1761" s="3" t="str">
        <f t="shared" si="55"/>
        <v>9105_A1C1.webp</v>
      </c>
      <c r="K1761" s="5">
        <f>Sheet4!E1761</f>
        <v>6</v>
      </c>
      <c r="L1761" s="5"/>
      <c r="M1761" s="4"/>
    </row>
    <row r="1762" spans="1:13" x14ac:dyDescent="0.25">
      <c r="A1762" t="s">
        <v>4949</v>
      </c>
      <c r="B1762" t="s">
        <v>5055</v>
      </c>
      <c r="C1762" s="25">
        <v>9109</v>
      </c>
      <c r="D1762" s="28">
        <v>9109</v>
      </c>
      <c r="E1762" s="2" t="str">
        <f t="shared" si="56"/>
        <v>Same</v>
      </c>
      <c r="F1762" s="6" t="s">
        <v>1841</v>
      </c>
      <c r="G1762" s="3">
        <v>34.950000000000003</v>
      </c>
      <c r="H1762" s="2" t="s">
        <v>1680</v>
      </c>
      <c r="I1762" s="4">
        <f>[1]Sheet1!I1762</f>
        <v>69</v>
      </c>
      <c r="J1762" s="3" t="str">
        <f t="shared" si="55"/>
        <v>9109_A1C1.webp</v>
      </c>
      <c r="K1762" s="5">
        <f>Sheet4!E1762</f>
        <v>12</v>
      </c>
      <c r="L1762" s="5"/>
      <c r="M1762" s="4"/>
    </row>
    <row r="1763" spans="1:13" x14ac:dyDescent="0.25">
      <c r="A1763" t="s">
        <v>4949</v>
      </c>
      <c r="B1763" t="s">
        <v>5018</v>
      </c>
      <c r="C1763" s="25">
        <v>9116</v>
      </c>
      <c r="D1763" s="28">
        <v>9116</v>
      </c>
      <c r="E1763" s="2" t="str">
        <f t="shared" si="56"/>
        <v>Same</v>
      </c>
      <c r="F1763" s="6" t="s">
        <v>1915</v>
      </c>
      <c r="G1763" s="3">
        <v>34.950000000000003</v>
      </c>
      <c r="H1763" s="2" t="s">
        <v>1681</v>
      </c>
      <c r="I1763" s="4">
        <f>[1]Sheet1!I1763</f>
        <v>0</v>
      </c>
      <c r="J1763" s="3" t="str">
        <f t="shared" si="55"/>
        <v>9116_A1C1.webp</v>
      </c>
      <c r="K1763" s="5">
        <f>Sheet4!E1763</f>
        <v>12</v>
      </c>
      <c r="L1763" s="5"/>
      <c r="M1763" s="4"/>
    </row>
    <row r="1764" spans="1:13" x14ac:dyDescent="0.25">
      <c r="A1764" t="s">
        <v>4949</v>
      </c>
      <c r="B1764" t="s">
        <v>4989</v>
      </c>
      <c r="C1764" s="25">
        <v>9119</v>
      </c>
      <c r="D1764" s="28">
        <v>9119</v>
      </c>
      <c r="E1764" s="2" t="str">
        <f t="shared" si="56"/>
        <v>Same</v>
      </c>
      <c r="F1764" s="6" t="s">
        <v>2083</v>
      </c>
      <c r="G1764" s="3">
        <v>40.5</v>
      </c>
      <c r="H1764" s="2" t="s">
        <v>1682</v>
      </c>
      <c r="I1764" s="4">
        <f>[1]Sheet1!I1764</f>
        <v>5</v>
      </c>
      <c r="J1764" s="3" t="str">
        <f t="shared" si="55"/>
        <v>9119_A1C1.webp</v>
      </c>
      <c r="K1764" s="5">
        <f>Sheet4!E1764</f>
        <v>6</v>
      </c>
      <c r="L1764" s="5"/>
      <c r="M1764" s="4"/>
    </row>
    <row r="1765" spans="1:13" x14ac:dyDescent="0.25">
      <c r="A1765" t="s">
        <v>4961</v>
      </c>
      <c r="B1765" t="s">
        <v>5025</v>
      </c>
      <c r="C1765" s="25">
        <v>9121</v>
      </c>
      <c r="D1765" s="28">
        <v>9121</v>
      </c>
      <c r="E1765" s="2" t="str">
        <f t="shared" si="56"/>
        <v>Same</v>
      </c>
      <c r="F1765" s="6" t="s">
        <v>1881</v>
      </c>
      <c r="G1765" s="3">
        <v>38.5</v>
      </c>
      <c r="H1765" s="2" t="s">
        <v>1683</v>
      </c>
      <c r="I1765" s="4">
        <f>[1]Sheet1!I1765</f>
        <v>157</v>
      </c>
      <c r="J1765" s="3" t="str">
        <f t="shared" si="55"/>
        <v>9121_A1C1.webp</v>
      </c>
      <c r="K1765" s="5">
        <f>Sheet4!E1765</f>
        <v>12</v>
      </c>
      <c r="L1765" s="5"/>
      <c r="M1765" s="4"/>
    </row>
    <row r="1766" spans="1:13" x14ac:dyDescent="0.25">
      <c r="A1766" t="s">
        <v>4961</v>
      </c>
      <c r="B1766" t="s">
        <v>5020</v>
      </c>
      <c r="C1766" s="25">
        <v>9123</v>
      </c>
      <c r="D1766" s="28">
        <v>9123</v>
      </c>
      <c r="E1766" s="2" t="str">
        <f t="shared" si="56"/>
        <v>Same</v>
      </c>
      <c r="F1766" s="6" t="s">
        <v>1882</v>
      </c>
      <c r="G1766" s="3">
        <v>49.5</v>
      </c>
      <c r="H1766" s="2" t="s">
        <v>1684</v>
      </c>
      <c r="I1766" s="4">
        <f>[1]Sheet1!I1766</f>
        <v>54</v>
      </c>
      <c r="J1766" s="3" t="str">
        <f t="shared" si="55"/>
        <v>9123_A1C1.webp</v>
      </c>
      <c r="K1766" s="5">
        <f>Sheet4!E1766</f>
        <v>12</v>
      </c>
      <c r="L1766" s="5"/>
      <c r="M1766" s="4"/>
    </row>
    <row r="1767" spans="1:13" x14ac:dyDescent="0.25">
      <c r="A1767" t="s">
        <v>4961</v>
      </c>
      <c r="B1767" t="s">
        <v>5020</v>
      </c>
      <c r="C1767" s="25">
        <v>9124</v>
      </c>
      <c r="D1767" s="28">
        <v>9124</v>
      </c>
      <c r="E1767" s="2" t="str">
        <f t="shared" si="56"/>
        <v>Same</v>
      </c>
      <c r="F1767" s="6" t="s">
        <v>1882</v>
      </c>
      <c r="G1767" s="3">
        <v>42.95</v>
      </c>
      <c r="H1767" s="2" t="s">
        <v>1685</v>
      </c>
      <c r="I1767" s="4">
        <f>[1]Sheet1!I1767</f>
        <v>274</v>
      </c>
      <c r="J1767" s="3" t="str">
        <f t="shared" si="55"/>
        <v>9124_A1C1.webp</v>
      </c>
      <c r="K1767" s="5">
        <f>Sheet4!E1767</f>
        <v>12</v>
      </c>
      <c r="L1767" s="5"/>
      <c r="M1767" s="4"/>
    </row>
    <row r="1768" spans="1:13" x14ac:dyDescent="0.25">
      <c r="A1768" t="s">
        <v>4961</v>
      </c>
      <c r="B1768" t="s">
        <v>5005</v>
      </c>
      <c r="C1768" s="25">
        <v>9129</v>
      </c>
      <c r="D1768" s="28">
        <v>9129</v>
      </c>
      <c r="E1768" s="2" t="str">
        <f t="shared" si="56"/>
        <v>Same</v>
      </c>
      <c r="F1768" s="6" t="s">
        <v>1849</v>
      </c>
      <c r="G1768" s="3">
        <v>21.5</v>
      </c>
      <c r="H1768" s="2" t="s">
        <v>1686</v>
      </c>
      <c r="I1768" s="4">
        <f>[1]Sheet1!I1768</f>
        <v>3446</v>
      </c>
      <c r="J1768" s="3" t="str">
        <f t="shared" si="55"/>
        <v>9129_A1C1.webp</v>
      </c>
      <c r="K1768" s="5">
        <f>Sheet4!E1768</f>
        <v>12</v>
      </c>
      <c r="L1768" s="5"/>
      <c r="M1768" s="4"/>
    </row>
    <row r="1769" spans="1:13" x14ac:dyDescent="0.25">
      <c r="A1769" t="s">
        <v>4961</v>
      </c>
      <c r="B1769" t="s">
        <v>5005</v>
      </c>
      <c r="C1769" s="25">
        <v>9130</v>
      </c>
      <c r="D1769" s="28">
        <v>9130</v>
      </c>
      <c r="E1769" s="2" t="str">
        <f t="shared" si="56"/>
        <v>Same</v>
      </c>
      <c r="F1769" s="6" t="s">
        <v>1849</v>
      </c>
      <c r="G1769" s="3">
        <v>22.75</v>
      </c>
      <c r="H1769" s="2" t="s">
        <v>1687</v>
      </c>
      <c r="I1769" s="4">
        <f>[1]Sheet1!I1769</f>
        <v>11041</v>
      </c>
      <c r="J1769" s="3" t="str">
        <f t="shared" si="55"/>
        <v>9130_A1C1.webp</v>
      </c>
      <c r="K1769" s="5">
        <f>Sheet4!E1769</f>
        <v>12</v>
      </c>
      <c r="L1769" s="5"/>
      <c r="M1769" s="4"/>
    </row>
    <row r="1770" spans="1:13" x14ac:dyDescent="0.25">
      <c r="A1770" t="s">
        <v>4961</v>
      </c>
      <c r="B1770" t="s">
        <v>5005</v>
      </c>
      <c r="C1770" s="25">
        <v>9131</v>
      </c>
      <c r="D1770" s="28">
        <v>9131</v>
      </c>
      <c r="E1770" s="2" t="str">
        <f t="shared" si="56"/>
        <v>Same</v>
      </c>
      <c r="F1770" s="6" t="s">
        <v>1849</v>
      </c>
      <c r="G1770" s="3">
        <v>25.95</v>
      </c>
      <c r="H1770" s="2" t="s">
        <v>1688</v>
      </c>
      <c r="I1770" s="4">
        <f>[1]Sheet1!I1770</f>
        <v>1792</v>
      </c>
      <c r="J1770" s="3" t="str">
        <f t="shared" si="55"/>
        <v>9131_A1C1.webp</v>
      </c>
      <c r="K1770" s="5">
        <f>Sheet4!E1770</f>
        <v>12</v>
      </c>
      <c r="L1770" s="5"/>
      <c r="M1770" s="4"/>
    </row>
    <row r="1771" spans="1:13" x14ac:dyDescent="0.25">
      <c r="A1771" t="s">
        <v>4961</v>
      </c>
      <c r="B1771" t="s">
        <v>4992</v>
      </c>
      <c r="C1771" s="25">
        <v>9133</v>
      </c>
      <c r="D1771" s="28">
        <v>9133</v>
      </c>
      <c r="E1771" s="2" t="str">
        <f t="shared" si="56"/>
        <v>Same</v>
      </c>
      <c r="F1771" s="6" t="s">
        <v>1845</v>
      </c>
      <c r="G1771" s="3">
        <v>37.950000000000003</v>
      </c>
      <c r="H1771" s="2" t="s">
        <v>1689</v>
      </c>
      <c r="I1771" s="4">
        <f>[1]Sheet1!I1771</f>
        <v>756</v>
      </c>
      <c r="J1771" s="3" t="str">
        <f t="shared" si="55"/>
        <v>9133_A1C1.webp</v>
      </c>
      <c r="K1771" s="5">
        <f>Sheet4!E1771</f>
        <v>16</v>
      </c>
      <c r="L1771" s="5"/>
      <c r="M1771" s="4"/>
    </row>
    <row r="1772" spans="1:13" x14ac:dyDescent="0.25">
      <c r="A1772" t="s">
        <v>4961</v>
      </c>
      <c r="B1772" t="s">
        <v>4992</v>
      </c>
      <c r="C1772" s="25">
        <v>9135</v>
      </c>
      <c r="D1772" s="28">
        <v>9135</v>
      </c>
      <c r="E1772" s="2" t="str">
        <f t="shared" si="56"/>
        <v>Same</v>
      </c>
      <c r="F1772" s="6" t="s">
        <v>1849</v>
      </c>
      <c r="G1772" s="3">
        <v>59.95</v>
      </c>
      <c r="H1772" s="2" t="s">
        <v>1690</v>
      </c>
      <c r="I1772" s="4">
        <f>[1]Sheet1!I1772</f>
        <v>367</v>
      </c>
      <c r="J1772" s="3" t="str">
        <f t="shared" si="55"/>
        <v>9135_A1C1.webp</v>
      </c>
      <c r="K1772" s="5">
        <f>Sheet4!E1772</f>
        <v>20</v>
      </c>
      <c r="L1772" s="5"/>
      <c r="M1772" s="4"/>
    </row>
    <row r="1773" spans="1:13" x14ac:dyDescent="0.25">
      <c r="A1773" t="s">
        <v>4961</v>
      </c>
      <c r="B1773" t="s">
        <v>5025</v>
      </c>
      <c r="C1773" s="25">
        <v>9136</v>
      </c>
      <c r="D1773" s="28">
        <v>9136</v>
      </c>
      <c r="E1773" s="2" t="str">
        <f t="shared" si="56"/>
        <v>Same</v>
      </c>
      <c r="F1773" s="6" t="s">
        <v>1881</v>
      </c>
      <c r="G1773" s="3">
        <v>38.5</v>
      </c>
      <c r="H1773" s="2" t="s">
        <v>1691</v>
      </c>
      <c r="I1773" s="4">
        <f>[1]Sheet1!I1773</f>
        <v>0</v>
      </c>
      <c r="J1773" s="3" t="str">
        <f t="shared" si="55"/>
        <v>9136_A1C1.webp</v>
      </c>
      <c r="K1773" s="5">
        <f>Sheet4!E1773</f>
        <v>12</v>
      </c>
      <c r="L1773" s="5"/>
      <c r="M1773" s="4"/>
    </row>
    <row r="1774" spans="1:13" x14ac:dyDescent="0.25">
      <c r="A1774" t="s">
        <v>4961</v>
      </c>
      <c r="B1774" t="s">
        <v>5005</v>
      </c>
      <c r="C1774" s="25">
        <v>9137</v>
      </c>
      <c r="D1774" s="28">
        <v>9137</v>
      </c>
      <c r="E1774" s="2" t="str">
        <f t="shared" si="56"/>
        <v>Same</v>
      </c>
      <c r="F1774" s="6" t="s">
        <v>1849</v>
      </c>
      <c r="G1774" s="3">
        <v>38.950000000000003</v>
      </c>
      <c r="H1774" s="2" t="s">
        <v>1692</v>
      </c>
      <c r="I1774" s="4">
        <f>[1]Sheet1!I1774</f>
        <v>1632</v>
      </c>
      <c r="J1774" s="3" t="str">
        <f t="shared" si="55"/>
        <v>9137_A1C1.webp</v>
      </c>
      <c r="K1774" s="5">
        <f>Sheet4!E1774</f>
        <v>12</v>
      </c>
      <c r="L1774" s="5"/>
      <c r="M1774" s="4"/>
    </row>
    <row r="1775" spans="1:13" x14ac:dyDescent="0.25">
      <c r="A1775" t="s">
        <v>4961</v>
      </c>
      <c r="B1775" t="s">
        <v>5005</v>
      </c>
      <c r="C1775" s="25">
        <v>9138</v>
      </c>
      <c r="D1775" s="28">
        <v>9138</v>
      </c>
      <c r="E1775" s="2" t="str">
        <f t="shared" si="56"/>
        <v>Same</v>
      </c>
      <c r="F1775" s="6" t="s">
        <v>1849</v>
      </c>
      <c r="G1775" s="3">
        <v>21.5</v>
      </c>
      <c r="H1775" s="2" t="s">
        <v>1693</v>
      </c>
      <c r="I1775" s="4">
        <f>[1]Sheet1!I1775</f>
        <v>269</v>
      </c>
      <c r="J1775" s="3" t="str">
        <f t="shared" si="55"/>
        <v>9138_A1C1.webp</v>
      </c>
      <c r="K1775" s="5">
        <f>Sheet4!E1775</f>
        <v>12</v>
      </c>
      <c r="L1775" s="5"/>
      <c r="M1775" s="4"/>
    </row>
    <row r="1776" spans="1:13" x14ac:dyDescent="0.25">
      <c r="A1776" t="s">
        <v>4961</v>
      </c>
      <c r="B1776" t="s">
        <v>5005</v>
      </c>
      <c r="C1776" s="25">
        <v>9139</v>
      </c>
      <c r="D1776" s="28">
        <v>9139</v>
      </c>
      <c r="E1776" s="2" t="str">
        <f t="shared" si="56"/>
        <v>Same</v>
      </c>
      <c r="F1776" s="6" t="s">
        <v>1849</v>
      </c>
      <c r="G1776" s="3">
        <v>21.5</v>
      </c>
      <c r="H1776" s="2" t="s">
        <v>1694</v>
      </c>
      <c r="I1776" s="4">
        <f>[1]Sheet1!I1776</f>
        <v>566</v>
      </c>
      <c r="J1776" s="3" t="str">
        <f t="shared" si="55"/>
        <v>9139_A1C1.webp</v>
      </c>
      <c r="K1776" s="5">
        <f>Sheet4!E1776</f>
        <v>12</v>
      </c>
      <c r="L1776" s="5"/>
      <c r="M1776" s="4"/>
    </row>
    <row r="1777" spans="1:13" x14ac:dyDescent="0.25">
      <c r="A1777" t="s">
        <v>4949</v>
      </c>
      <c r="B1777" t="s">
        <v>5014</v>
      </c>
      <c r="C1777" s="25">
        <v>9151</v>
      </c>
      <c r="D1777" s="28">
        <v>9151</v>
      </c>
      <c r="E1777" s="2" t="str">
        <f t="shared" si="56"/>
        <v>Same</v>
      </c>
      <c r="F1777" s="6" t="s">
        <v>1849</v>
      </c>
      <c r="G1777" s="3">
        <v>62.75</v>
      </c>
      <c r="H1777" s="2" t="s">
        <v>1695</v>
      </c>
      <c r="I1777" s="4">
        <f>[1]Sheet1!I1777</f>
        <v>16</v>
      </c>
      <c r="J1777" s="3" t="str">
        <f t="shared" si="55"/>
        <v>9151_A1C1.webp</v>
      </c>
      <c r="K1777" s="5">
        <f>Sheet4!E1777</f>
        <v>13</v>
      </c>
      <c r="L1777" s="5"/>
      <c r="M1777" s="4"/>
    </row>
    <row r="1778" spans="1:13" x14ac:dyDescent="0.25">
      <c r="A1778" t="s">
        <v>4949</v>
      </c>
      <c r="B1778" t="s">
        <v>5014</v>
      </c>
      <c r="C1778" s="25">
        <v>9152</v>
      </c>
      <c r="D1778" s="28">
        <v>9152</v>
      </c>
      <c r="E1778" s="2" t="str">
        <f t="shared" si="56"/>
        <v>Same</v>
      </c>
      <c r="F1778" s="6" t="s">
        <v>1922</v>
      </c>
      <c r="G1778" s="3">
        <v>34.950000000000003</v>
      </c>
      <c r="H1778" s="2" t="s">
        <v>1696</v>
      </c>
      <c r="I1778" s="4">
        <f>[1]Sheet1!I1778</f>
        <v>70</v>
      </c>
      <c r="J1778" s="3" t="str">
        <f t="shared" si="55"/>
        <v>9152_A1C1.webp</v>
      </c>
      <c r="K1778" s="5">
        <f>Sheet4!E1778</f>
        <v>12</v>
      </c>
      <c r="L1778" s="5"/>
      <c r="M1778" s="4"/>
    </row>
    <row r="1779" spans="1:13" x14ac:dyDescent="0.25">
      <c r="A1779" t="s">
        <v>4949</v>
      </c>
      <c r="B1779" t="s">
        <v>5076</v>
      </c>
      <c r="C1779" s="25">
        <v>9155</v>
      </c>
      <c r="D1779" s="28">
        <v>9155</v>
      </c>
      <c r="E1779" s="2" t="str">
        <f t="shared" si="56"/>
        <v>Same</v>
      </c>
      <c r="F1779" s="6" t="s">
        <v>1868</v>
      </c>
      <c r="G1779" s="3">
        <v>21.95</v>
      </c>
      <c r="H1779" s="2" t="s">
        <v>1697</v>
      </c>
      <c r="I1779" s="4">
        <f>[1]Sheet1!I1779</f>
        <v>117</v>
      </c>
      <c r="J1779" s="3" t="str">
        <f t="shared" si="55"/>
        <v>9155_A1C1.webp</v>
      </c>
      <c r="K1779" s="5">
        <f>Sheet4!E1779</f>
        <v>12</v>
      </c>
      <c r="L1779" s="5" t="s">
        <v>5278</v>
      </c>
      <c r="M1779" s="4"/>
    </row>
    <row r="1780" spans="1:13" x14ac:dyDescent="0.25">
      <c r="A1780" t="s">
        <v>4949</v>
      </c>
      <c r="B1780" t="s">
        <v>5076</v>
      </c>
      <c r="C1780" s="25">
        <v>9156</v>
      </c>
      <c r="D1780" s="28">
        <v>9156</v>
      </c>
      <c r="E1780" s="2" t="str">
        <f t="shared" si="56"/>
        <v>Same</v>
      </c>
      <c r="F1780" s="6" t="s">
        <v>1868</v>
      </c>
      <c r="G1780" s="3">
        <v>21.95</v>
      </c>
      <c r="H1780" s="2" t="s">
        <v>1698</v>
      </c>
      <c r="I1780" s="4">
        <f>[1]Sheet1!I1780</f>
        <v>0</v>
      </c>
      <c r="J1780" s="3" t="str">
        <f t="shared" si="55"/>
        <v>9156_A1C1.webp</v>
      </c>
      <c r="K1780" s="5">
        <f>Sheet4!E1780</f>
        <v>12</v>
      </c>
      <c r="L1780" s="5" t="s">
        <v>5278</v>
      </c>
      <c r="M1780" s="4"/>
    </row>
    <row r="1781" spans="1:13" x14ac:dyDescent="0.25">
      <c r="A1781" t="s">
        <v>4961</v>
      </c>
      <c r="B1781" t="s">
        <v>5010</v>
      </c>
      <c r="C1781" s="25">
        <v>9162</v>
      </c>
      <c r="D1781" s="28">
        <v>9162</v>
      </c>
      <c r="E1781" s="2" t="str">
        <f t="shared" si="56"/>
        <v>Same</v>
      </c>
      <c r="F1781" s="6" t="s">
        <v>1855</v>
      </c>
      <c r="G1781" s="3">
        <v>50.95</v>
      </c>
      <c r="H1781" s="2" t="s">
        <v>1699</v>
      </c>
      <c r="I1781" s="4">
        <f>[1]Sheet1!I1781</f>
        <v>3381</v>
      </c>
      <c r="J1781" s="3" t="str">
        <f t="shared" si="55"/>
        <v>9162_A1C1.webp</v>
      </c>
      <c r="K1781" s="5">
        <f>Sheet4!E1781</f>
        <v>24</v>
      </c>
      <c r="L1781" s="5"/>
      <c r="M1781" s="4"/>
    </row>
    <row r="1782" spans="1:13" x14ac:dyDescent="0.25">
      <c r="A1782" t="s">
        <v>4961</v>
      </c>
      <c r="B1782" t="s">
        <v>5010</v>
      </c>
      <c r="C1782" s="25">
        <v>9163</v>
      </c>
      <c r="D1782" s="28">
        <v>9163</v>
      </c>
      <c r="E1782" s="2" t="str">
        <f t="shared" si="56"/>
        <v>Same</v>
      </c>
      <c r="F1782" s="6" t="s">
        <v>1855</v>
      </c>
      <c r="G1782" s="3">
        <v>50.95</v>
      </c>
      <c r="H1782" s="2" t="s">
        <v>1700</v>
      </c>
      <c r="I1782" s="4">
        <f>[1]Sheet1!I1782</f>
        <v>814</v>
      </c>
      <c r="J1782" s="3" t="str">
        <f t="shared" si="55"/>
        <v>9163_A1C1.webp</v>
      </c>
      <c r="K1782" s="5">
        <f>Sheet4!E1782</f>
        <v>24</v>
      </c>
      <c r="L1782" s="5"/>
      <c r="M1782" s="4"/>
    </row>
    <row r="1783" spans="1:13" x14ac:dyDescent="0.25">
      <c r="A1783" t="s">
        <v>4961</v>
      </c>
      <c r="B1783" t="s">
        <v>5010</v>
      </c>
      <c r="C1783" s="25">
        <v>9166</v>
      </c>
      <c r="D1783" s="28">
        <v>9166</v>
      </c>
      <c r="E1783" s="2" t="str">
        <f t="shared" si="56"/>
        <v>Same</v>
      </c>
      <c r="F1783" s="6" t="s">
        <v>1904</v>
      </c>
      <c r="G1783" s="3">
        <v>35.35</v>
      </c>
      <c r="H1783" s="2" t="s">
        <v>1701</v>
      </c>
      <c r="I1783" s="4">
        <f>[1]Sheet1!I1783</f>
        <v>6821</v>
      </c>
      <c r="J1783" s="3" t="str">
        <f t="shared" si="55"/>
        <v>9166_A1C1.webp</v>
      </c>
      <c r="K1783" s="5">
        <f>Sheet4!E1783</f>
        <v>16</v>
      </c>
      <c r="L1783" s="5"/>
      <c r="M1783" s="4"/>
    </row>
    <row r="1784" spans="1:13" x14ac:dyDescent="0.25">
      <c r="A1784" t="s">
        <v>4961</v>
      </c>
      <c r="B1784" t="s">
        <v>5010</v>
      </c>
      <c r="C1784" s="25">
        <v>9167</v>
      </c>
      <c r="D1784" s="28">
        <v>9167</v>
      </c>
      <c r="E1784" s="2" t="str">
        <f t="shared" si="56"/>
        <v>Same</v>
      </c>
      <c r="F1784" s="6" t="s">
        <v>1904</v>
      </c>
      <c r="G1784" s="3">
        <v>35.35</v>
      </c>
      <c r="H1784" s="2" t="s">
        <v>1702</v>
      </c>
      <c r="I1784" s="4">
        <f>[1]Sheet1!I1784</f>
        <v>4584</v>
      </c>
      <c r="J1784" s="3" t="str">
        <f t="shared" si="55"/>
        <v>9167_A1C1.webp</v>
      </c>
      <c r="K1784" s="5">
        <f>Sheet4!E1784</f>
        <v>16</v>
      </c>
      <c r="L1784" s="5"/>
      <c r="M1784" s="4"/>
    </row>
    <row r="1785" spans="1:13" x14ac:dyDescent="0.25">
      <c r="A1785" t="s">
        <v>4961</v>
      </c>
      <c r="B1785" t="s">
        <v>5005</v>
      </c>
      <c r="C1785" s="25">
        <v>9168</v>
      </c>
      <c r="D1785" s="28">
        <v>9168</v>
      </c>
      <c r="E1785" s="2" t="str">
        <f t="shared" si="56"/>
        <v>Same</v>
      </c>
      <c r="F1785" s="6" t="s">
        <v>1910</v>
      </c>
      <c r="G1785" s="3">
        <v>42.5</v>
      </c>
      <c r="H1785" s="2" t="s">
        <v>1703</v>
      </c>
      <c r="I1785" s="4">
        <f>[1]Sheet1!I1785</f>
        <v>928</v>
      </c>
      <c r="J1785" s="3" t="str">
        <f t="shared" si="55"/>
        <v>9168_A1C1.webp</v>
      </c>
      <c r="K1785" s="5">
        <f>Sheet4!E1785</f>
        <v>12</v>
      </c>
      <c r="L1785" s="5"/>
      <c r="M1785" s="4"/>
    </row>
    <row r="1786" spans="1:13" x14ac:dyDescent="0.25">
      <c r="A1786" t="s">
        <v>4961</v>
      </c>
      <c r="B1786" t="s">
        <v>5005</v>
      </c>
      <c r="C1786" s="25">
        <v>9169</v>
      </c>
      <c r="D1786" s="28">
        <v>9169</v>
      </c>
      <c r="E1786" s="2" t="str">
        <f t="shared" si="56"/>
        <v>Same</v>
      </c>
      <c r="F1786" s="6" t="s">
        <v>1910</v>
      </c>
      <c r="G1786" s="3">
        <v>42.5</v>
      </c>
      <c r="H1786" s="2" t="s">
        <v>1704</v>
      </c>
      <c r="I1786" s="4">
        <f>[1]Sheet1!I1786</f>
        <v>715</v>
      </c>
      <c r="J1786" s="3" t="str">
        <f t="shared" si="55"/>
        <v>9169_A1C1.webp</v>
      </c>
      <c r="K1786" s="5">
        <f>Sheet4!E1786</f>
        <v>12</v>
      </c>
      <c r="L1786" s="5"/>
      <c r="M1786" s="4"/>
    </row>
    <row r="1787" spans="1:13" x14ac:dyDescent="0.25">
      <c r="A1787" t="s">
        <v>4961</v>
      </c>
      <c r="B1787" t="s">
        <v>5005</v>
      </c>
      <c r="C1787" s="25">
        <v>9170</v>
      </c>
      <c r="D1787" s="28">
        <v>9170</v>
      </c>
      <c r="E1787" s="2" t="str">
        <f t="shared" si="56"/>
        <v>Same</v>
      </c>
      <c r="F1787" s="6" t="s">
        <v>1910</v>
      </c>
      <c r="G1787" s="3">
        <v>42.5</v>
      </c>
      <c r="H1787" s="2" t="s">
        <v>1705</v>
      </c>
      <c r="I1787" s="4">
        <f>[1]Sheet1!I1787</f>
        <v>965</v>
      </c>
      <c r="J1787" s="3" t="str">
        <f t="shared" si="55"/>
        <v>9170_A1C1.webp</v>
      </c>
      <c r="K1787" s="5">
        <f>Sheet4!E1787</f>
        <v>12</v>
      </c>
      <c r="L1787" s="5"/>
      <c r="M1787" s="4"/>
    </row>
    <row r="1788" spans="1:13" x14ac:dyDescent="0.25">
      <c r="A1788" t="s">
        <v>4961</v>
      </c>
      <c r="B1788" t="s">
        <v>5005</v>
      </c>
      <c r="C1788" s="25">
        <v>9171</v>
      </c>
      <c r="D1788" s="28">
        <v>9171</v>
      </c>
      <c r="E1788" s="2" t="str">
        <f t="shared" si="56"/>
        <v>Same</v>
      </c>
      <c r="F1788" s="6" t="s">
        <v>1910</v>
      </c>
      <c r="G1788" s="3">
        <v>77.5</v>
      </c>
      <c r="H1788" s="2" t="s">
        <v>1706</v>
      </c>
      <c r="I1788" s="4">
        <f>[1]Sheet1!I1788</f>
        <v>812</v>
      </c>
      <c r="J1788" s="3" t="str">
        <f t="shared" si="55"/>
        <v>9171_A1C1.webp</v>
      </c>
      <c r="K1788" s="5">
        <f>Sheet4!E1788</f>
        <v>12</v>
      </c>
      <c r="L1788" s="5"/>
      <c r="M1788" s="4"/>
    </row>
    <row r="1789" spans="1:13" x14ac:dyDescent="0.25">
      <c r="A1789" t="s">
        <v>4961</v>
      </c>
      <c r="B1789" t="s">
        <v>5005</v>
      </c>
      <c r="C1789" s="25">
        <v>9172</v>
      </c>
      <c r="D1789" s="28">
        <v>9172</v>
      </c>
      <c r="E1789" s="2" t="str">
        <f t="shared" si="56"/>
        <v>Same</v>
      </c>
      <c r="F1789" s="6" t="s">
        <v>1881</v>
      </c>
      <c r="G1789" s="3">
        <v>47.95</v>
      </c>
      <c r="H1789" s="2" t="s">
        <v>1707</v>
      </c>
      <c r="I1789" s="4">
        <f>[1]Sheet1!I1789</f>
        <v>11223</v>
      </c>
      <c r="J1789" s="3" t="str">
        <f t="shared" si="55"/>
        <v>9172_A1C1.webp</v>
      </c>
      <c r="K1789" s="5">
        <f>Sheet4!E1789</f>
        <v>12</v>
      </c>
      <c r="L1789" s="5"/>
      <c r="M1789" s="4"/>
    </row>
    <row r="1790" spans="1:13" x14ac:dyDescent="0.25">
      <c r="A1790" t="s">
        <v>4961</v>
      </c>
      <c r="B1790" t="s">
        <v>5005</v>
      </c>
      <c r="C1790" s="25">
        <v>9173</v>
      </c>
      <c r="D1790" s="28">
        <v>9173</v>
      </c>
      <c r="E1790" s="2" t="str">
        <f t="shared" si="56"/>
        <v>Same</v>
      </c>
      <c r="F1790" s="6" t="s">
        <v>1849</v>
      </c>
      <c r="G1790" s="3">
        <v>27.5</v>
      </c>
      <c r="H1790" s="2" t="s">
        <v>1708</v>
      </c>
      <c r="I1790" s="4">
        <f>[1]Sheet1!I1790</f>
        <v>2845</v>
      </c>
      <c r="J1790" s="3" t="str">
        <f t="shared" si="55"/>
        <v>9173_A1C1.webp</v>
      </c>
      <c r="K1790" s="5">
        <f>Sheet4!E1790</f>
        <v>12</v>
      </c>
      <c r="L1790" s="5"/>
      <c r="M1790" s="4"/>
    </row>
    <row r="1791" spans="1:13" x14ac:dyDescent="0.25">
      <c r="A1791" t="s">
        <v>4961</v>
      </c>
      <c r="B1791" t="s">
        <v>5005</v>
      </c>
      <c r="C1791" s="25">
        <v>9174</v>
      </c>
      <c r="D1791" s="28">
        <v>9174</v>
      </c>
      <c r="E1791" s="2" t="str">
        <f t="shared" si="56"/>
        <v>Same</v>
      </c>
      <c r="F1791" s="6" t="s">
        <v>1849</v>
      </c>
      <c r="G1791" s="3">
        <v>27.5</v>
      </c>
      <c r="H1791" s="2" t="s">
        <v>1709</v>
      </c>
      <c r="I1791" s="4">
        <f>[1]Sheet1!I1791</f>
        <v>1028</v>
      </c>
      <c r="J1791" s="3" t="str">
        <f t="shared" si="55"/>
        <v>9174_A1C1.webp</v>
      </c>
      <c r="K1791" s="5">
        <f>Sheet4!E1791</f>
        <v>12</v>
      </c>
      <c r="L1791" s="5"/>
      <c r="M1791" s="4"/>
    </row>
    <row r="1792" spans="1:13" x14ac:dyDescent="0.25">
      <c r="A1792" t="s">
        <v>4949</v>
      </c>
      <c r="B1792" t="s">
        <v>5014</v>
      </c>
      <c r="C1792" s="25">
        <v>9193</v>
      </c>
      <c r="D1792" s="28">
        <v>9193</v>
      </c>
      <c r="E1792" s="2" t="str">
        <f t="shared" si="56"/>
        <v>Same</v>
      </c>
      <c r="F1792" s="6" t="s">
        <v>1855</v>
      </c>
      <c r="G1792" s="3">
        <v>53.35</v>
      </c>
      <c r="H1792" s="2" t="s">
        <v>1710</v>
      </c>
      <c r="I1792" s="4">
        <f>[1]Sheet1!I1792</f>
        <v>115</v>
      </c>
      <c r="J1792" s="3" t="str">
        <f t="shared" si="55"/>
        <v>9193_A1C1.webp</v>
      </c>
      <c r="K1792" s="5">
        <f>Sheet4!E1792</f>
        <v>10</v>
      </c>
      <c r="L1792" s="5"/>
      <c r="M1792" s="4"/>
    </row>
    <row r="1793" spans="1:13" x14ac:dyDescent="0.25">
      <c r="A1793" t="s">
        <v>4949</v>
      </c>
      <c r="B1793" t="s">
        <v>5014</v>
      </c>
      <c r="C1793" s="25">
        <v>9195</v>
      </c>
      <c r="D1793" s="28">
        <v>9195</v>
      </c>
      <c r="E1793" s="2" t="str">
        <f t="shared" si="56"/>
        <v>Same</v>
      </c>
      <c r="F1793" s="6" t="s">
        <v>1855</v>
      </c>
      <c r="G1793" s="3">
        <v>66.5</v>
      </c>
      <c r="H1793" s="2" t="s">
        <v>1711</v>
      </c>
      <c r="I1793" s="4">
        <f>[1]Sheet1!I1793</f>
        <v>582</v>
      </c>
      <c r="J1793" s="3" t="str">
        <f t="shared" si="55"/>
        <v>9195_A1C1.webp</v>
      </c>
      <c r="K1793" s="5">
        <f>Sheet4!E1793</f>
        <v>10</v>
      </c>
      <c r="L1793" s="5"/>
      <c r="M1793" s="4"/>
    </row>
    <row r="1794" spans="1:13" x14ac:dyDescent="0.25">
      <c r="A1794" t="s">
        <v>4949</v>
      </c>
      <c r="B1794" t="s">
        <v>4979</v>
      </c>
      <c r="C1794" s="25">
        <v>9196</v>
      </c>
      <c r="D1794" s="28">
        <v>9196</v>
      </c>
      <c r="E1794" s="2" t="str">
        <f t="shared" si="56"/>
        <v>Same</v>
      </c>
      <c r="F1794" s="6" t="s">
        <v>1905</v>
      </c>
      <c r="G1794" s="3">
        <v>75.5</v>
      </c>
      <c r="H1794" s="2" t="s">
        <v>1712</v>
      </c>
      <c r="I1794" s="4">
        <f>[1]Sheet1!I1794</f>
        <v>224</v>
      </c>
      <c r="J1794" s="3" t="str">
        <f t="shared" ref="J1794:J1857" si="57">C1794 &amp; "_A1C1.webp"</f>
        <v>9196_A1C1.webp</v>
      </c>
      <c r="K1794" s="5">
        <f>Sheet4!E1794</f>
        <v>12</v>
      </c>
      <c r="L1794" s="5"/>
      <c r="M1794" s="4"/>
    </row>
    <row r="1795" spans="1:13" x14ac:dyDescent="0.25">
      <c r="A1795" t="s">
        <v>4949</v>
      </c>
      <c r="B1795" t="s">
        <v>4979</v>
      </c>
      <c r="C1795" s="25">
        <v>9197</v>
      </c>
      <c r="D1795" s="28">
        <v>9197</v>
      </c>
      <c r="E1795" s="2" t="str">
        <f t="shared" si="56"/>
        <v>Same</v>
      </c>
      <c r="F1795" s="6" t="s">
        <v>1905</v>
      </c>
      <c r="G1795" s="3">
        <v>75.5</v>
      </c>
      <c r="H1795" s="2" t="s">
        <v>1713</v>
      </c>
      <c r="I1795" s="4">
        <f>[1]Sheet1!I1795</f>
        <v>467</v>
      </c>
      <c r="J1795" s="3" t="str">
        <f t="shared" si="57"/>
        <v>9197_A1C1.webp</v>
      </c>
      <c r="K1795" s="5">
        <f>Sheet4!E1795</f>
        <v>12</v>
      </c>
      <c r="L1795" s="5"/>
      <c r="M1795" s="4"/>
    </row>
    <row r="1796" spans="1:13" x14ac:dyDescent="0.25">
      <c r="A1796" t="s">
        <v>4961</v>
      </c>
      <c r="B1796" t="s">
        <v>5005</v>
      </c>
      <c r="C1796" s="25">
        <v>9198</v>
      </c>
      <c r="D1796" s="28">
        <v>9198</v>
      </c>
      <c r="E1796" s="2" t="str">
        <f t="shared" si="56"/>
        <v>Same</v>
      </c>
      <c r="F1796" s="6" t="s">
        <v>1849</v>
      </c>
      <c r="G1796" s="3">
        <v>31.5</v>
      </c>
      <c r="H1796" s="2" t="s">
        <v>1714</v>
      </c>
      <c r="I1796" s="4">
        <f>[1]Sheet1!I1796</f>
        <v>430</v>
      </c>
      <c r="J1796" s="3" t="str">
        <f t="shared" si="57"/>
        <v>9198_A1C1.webp</v>
      </c>
      <c r="K1796" s="5">
        <f>Sheet4!E1796</f>
        <v>12</v>
      </c>
      <c r="L1796" s="5"/>
      <c r="M1796" s="4"/>
    </row>
    <row r="1797" spans="1:13" x14ac:dyDescent="0.25">
      <c r="A1797" t="s">
        <v>4961</v>
      </c>
      <c r="B1797" t="s">
        <v>5102</v>
      </c>
      <c r="C1797" s="25">
        <v>9202</v>
      </c>
      <c r="D1797" s="28">
        <v>9202</v>
      </c>
      <c r="E1797" s="2" t="str">
        <f t="shared" si="56"/>
        <v>Same</v>
      </c>
      <c r="F1797" s="6" t="s">
        <v>1873</v>
      </c>
      <c r="G1797" s="3">
        <v>29.95</v>
      </c>
      <c r="H1797" s="2" t="s">
        <v>1715</v>
      </c>
      <c r="I1797" s="4">
        <f>[1]Sheet1!I1797</f>
        <v>4251</v>
      </c>
      <c r="J1797" s="3" t="str">
        <f t="shared" si="57"/>
        <v>9202_A1C1.webp</v>
      </c>
      <c r="K1797" s="5">
        <f>Sheet4!E1797</f>
        <v>12</v>
      </c>
      <c r="L1797" s="5"/>
      <c r="M1797" s="4"/>
    </row>
    <row r="1798" spans="1:13" x14ac:dyDescent="0.25">
      <c r="A1798" t="s">
        <v>4961</v>
      </c>
      <c r="B1798" t="s">
        <v>5104</v>
      </c>
      <c r="C1798" s="25">
        <v>9206</v>
      </c>
      <c r="D1798" s="28">
        <v>9206</v>
      </c>
      <c r="E1798" s="2" t="str">
        <f t="shared" si="56"/>
        <v>Same</v>
      </c>
      <c r="F1798" s="6" t="s">
        <v>1910</v>
      </c>
      <c r="G1798" s="3">
        <v>51.95</v>
      </c>
      <c r="H1798" s="2" t="s">
        <v>1716</v>
      </c>
      <c r="I1798" s="4">
        <f>[1]Sheet1!I1798</f>
        <v>0</v>
      </c>
      <c r="J1798" s="3" t="str">
        <f t="shared" si="57"/>
        <v>9206_A1C1.webp</v>
      </c>
      <c r="K1798" s="5">
        <f>Sheet4!E1798</f>
        <v>12</v>
      </c>
      <c r="L1798" s="5"/>
      <c r="M1798" s="4"/>
    </row>
    <row r="1799" spans="1:13" x14ac:dyDescent="0.25">
      <c r="A1799" t="s">
        <v>4961</v>
      </c>
      <c r="B1799" t="s">
        <v>5107</v>
      </c>
      <c r="C1799" s="25">
        <v>9209</v>
      </c>
      <c r="D1799" s="28">
        <v>9209</v>
      </c>
      <c r="E1799" s="2" t="str">
        <f t="shared" si="56"/>
        <v>Same</v>
      </c>
      <c r="F1799" s="6" t="s">
        <v>1850</v>
      </c>
      <c r="G1799" s="3">
        <v>47.95</v>
      </c>
      <c r="H1799" s="2" t="s">
        <v>1717</v>
      </c>
      <c r="I1799" s="4">
        <f>[1]Sheet1!I1799</f>
        <v>2168</v>
      </c>
      <c r="J1799" s="3" t="str">
        <f t="shared" si="57"/>
        <v>9209_A1C1.webp</v>
      </c>
      <c r="K1799" s="5">
        <f>Sheet4!E1799</f>
        <v>6</v>
      </c>
      <c r="L1799" s="5"/>
      <c r="M1799" s="4"/>
    </row>
    <row r="1800" spans="1:13" x14ac:dyDescent="0.25">
      <c r="A1800" t="s">
        <v>4949</v>
      </c>
      <c r="B1800" t="s">
        <v>5110</v>
      </c>
      <c r="C1800" s="25">
        <v>9212</v>
      </c>
      <c r="D1800" s="28">
        <v>9212</v>
      </c>
      <c r="E1800" s="2" t="str">
        <f t="shared" si="56"/>
        <v>Same</v>
      </c>
      <c r="F1800" s="6" t="s">
        <v>2075</v>
      </c>
      <c r="G1800" s="3">
        <v>66.5</v>
      </c>
      <c r="H1800" s="2" t="s">
        <v>1718</v>
      </c>
      <c r="I1800" s="4">
        <f>[1]Sheet1!I1800</f>
        <v>286</v>
      </c>
      <c r="J1800" s="3" t="str">
        <f t="shared" si="57"/>
        <v>9212_A1C1.webp</v>
      </c>
      <c r="K1800" s="5">
        <f>Sheet4!E1800</f>
        <v>12</v>
      </c>
      <c r="L1800" s="5"/>
      <c r="M1800" s="4"/>
    </row>
    <row r="1801" spans="1:13" x14ac:dyDescent="0.25">
      <c r="A1801" t="s">
        <v>4949</v>
      </c>
      <c r="B1801" t="s">
        <v>5110</v>
      </c>
      <c r="C1801" s="25">
        <v>9213</v>
      </c>
      <c r="D1801" s="28">
        <v>9213</v>
      </c>
      <c r="E1801" s="2" t="str">
        <f t="shared" ref="E1801:E1864" si="58">IF(C1801=D1801, "Same","New")</f>
        <v>Same</v>
      </c>
      <c r="F1801" s="6" t="s">
        <v>2075</v>
      </c>
      <c r="G1801" s="3">
        <v>66.5</v>
      </c>
      <c r="H1801" s="2" t="s">
        <v>1719</v>
      </c>
      <c r="I1801" s="4">
        <f>[1]Sheet1!I1801</f>
        <v>174</v>
      </c>
      <c r="J1801" s="3" t="str">
        <f t="shared" si="57"/>
        <v>9213_A1C1.webp</v>
      </c>
      <c r="K1801" s="5">
        <f>Sheet4!E1801</f>
        <v>12</v>
      </c>
      <c r="L1801" s="5"/>
      <c r="M1801" s="4"/>
    </row>
    <row r="1802" spans="1:13" x14ac:dyDescent="0.25">
      <c r="A1802" t="s">
        <v>4949</v>
      </c>
      <c r="B1802" t="s">
        <v>5110</v>
      </c>
      <c r="C1802" s="25">
        <v>9214</v>
      </c>
      <c r="D1802" s="28">
        <v>9214</v>
      </c>
      <c r="E1802" s="2" t="str">
        <f t="shared" si="58"/>
        <v>Same</v>
      </c>
      <c r="F1802" s="6" t="s">
        <v>2075</v>
      </c>
      <c r="G1802" s="3">
        <v>66.5</v>
      </c>
      <c r="H1802" s="2" t="s">
        <v>1720</v>
      </c>
      <c r="I1802" s="4">
        <f>[1]Sheet1!I1802</f>
        <v>466</v>
      </c>
      <c r="J1802" s="3" t="str">
        <f t="shared" si="57"/>
        <v>9214_A1C1.webp</v>
      </c>
      <c r="K1802" s="5">
        <f>Sheet4!E1802</f>
        <v>12</v>
      </c>
      <c r="L1802" s="5"/>
      <c r="M1802" s="4"/>
    </row>
    <row r="1803" spans="1:13" x14ac:dyDescent="0.25">
      <c r="A1803" t="s">
        <v>4961</v>
      </c>
      <c r="B1803" t="s">
        <v>5107</v>
      </c>
      <c r="C1803" s="25">
        <v>9215</v>
      </c>
      <c r="D1803" s="28">
        <v>9215</v>
      </c>
      <c r="E1803" s="2" t="str">
        <f t="shared" si="58"/>
        <v>Same</v>
      </c>
      <c r="F1803" s="6" t="s">
        <v>2084</v>
      </c>
      <c r="G1803" s="3">
        <v>42.95</v>
      </c>
      <c r="H1803" s="2" t="s">
        <v>1721</v>
      </c>
      <c r="I1803" s="4">
        <f>[1]Sheet1!I1803</f>
        <v>152</v>
      </c>
      <c r="J1803" s="3" t="str">
        <f t="shared" si="57"/>
        <v>9215_A1C1.webp</v>
      </c>
      <c r="K1803" s="5">
        <f>Sheet4!E1803</f>
        <v>12</v>
      </c>
      <c r="L1803" s="5"/>
      <c r="M1803" s="4"/>
    </row>
    <row r="1804" spans="1:13" x14ac:dyDescent="0.25">
      <c r="A1804" t="s">
        <v>4961</v>
      </c>
      <c r="B1804" t="s">
        <v>5107</v>
      </c>
      <c r="C1804" s="25">
        <v>9216</v>
      </c>
      <c r="D1804" s="28">
        <v>9216</v>
      </c>
      <c r="E1804" s="2" t="str">
        <f t="shared" si="58"/>
        <v>Same</v>
      </c>
      <c r="F1804" s="6" t="s">
        <v>1849</v>
      </c>
      <c r="G1804" s="3">
        <v>34.5</v>
      </c>
      <c r="H1804" s="2" t="s">
        <v>1722</v>
      </c>
      <c r="I1804" s="4">
        <f>[1]Sheet1!I1804</f>
        <v>477</v>
      </c>
      <c r="J1804" s="3" t="str">
        <f t="shared" si="57"/>
        <v>9216_A1C1.webp</v>
      </c>
      <c r="K1804" s="5">
        <f>Sheet4!E1804</f>
        <v>12</v>
      </c>
      <c r="L1804" s="5"/>
      <c r="M1804" s="4"/>
    </row>
    <row r="1805" spans="1:13" x14ac:dyDescent="0.25">
      <c r="A1805" t="s">
        <v>4961</v>
      </c>
      <c r="B1805" t="s">
        <v>5116</v>
      </c>
      <c r="C1805" s="25">
        <v>9217</v>
      </c>
      <c r="D1805" s="28">
        <v>9217</v>
      </c>
      <c r="E1805" s="2" t="str">
        <f t="shared" si="58"/>
        <v>Same</v>
      </c>
      <c r="F1805" s="6" t="s">
        <v>1849</v>
      </c>
      <c r="G1805" s="3">
        <v>44.5</v>
      </c>
      <c r="H1805" s="2" t="s">
        <v>1723</v>
      </c>
      <c r="I1805" s="4">
        <f>[1]Sheet1!I1805</f>
        <v>521</v>
      </c>
      <c r="J1805" s="3" t="str">
        <f t="shared" si="57"/>
        <v>9217_A1C1.webp</v>
      </c>
      <c r="K1805" s="5">
        <f>Sheet4!E1805</f>
        <v>12</v>
      </c>
      <c r="L1805" s="5"/>
      <c r="M1805" s="4"/>
    </row>
    <row r="1806" spans="1:13" x14ac:dyDescent="0.25">
      <c r="A1806" t="s">
        <v>4961</v>
      </c>
      <c r="B1806" t="s">
        <v>5116</v>
      </c>
      <c r="C1806" s="25">
        <v>9218</v>
      </c>
      <c r="D1806" s="28">
        <v>9218</v>
      </c>
      <c r="E1806" s="2" t="str">
        <f t="shared" si="58"/>
        <v>Same</v>
      </c>
      <c r="F1806" s="6" t="s">
        <v>1849</v>
      </c>
      <c r="G1806" s="3">
        <v>42.95</v>
      </c>
      <c r="H1806" s="2" t="s">
        <v>1724</v>
      </c>
      <c r="I1806" s="4">
        <f>[1]Sheet1!I1806</f>
        <v>189</v>
      </c>
      <c r="J1806" s="3" t="str">
        <f t="shared" si="57"/>
        <v>9218_A1C1.webp</v>
      </c>
      <c r="K1806" s="5">
        <f>Sheet4!E1806</f>
        <v>12</v>
      </c>
      <c r="L1806" s="5"/>
      <c r="M1806" s="4"/>
    </row>
    <row r="1807" spans="1:13" x14ac:dyDescent="0.25">
      <c r="A1807" t="s">
        <v>4961</v>
      </c>
      <c r="B1807" t="s">
        <v>5119</v>
      </c>
      <c r="C1807" s="25">
        <v>9219</v>
      </c>
      <c r="D1807" s="28">
        <v>9219</v>
      </c>
      <c r="E1807" s="2" t="str">
        <f t="shared" si="58"/>
        <v>Same</v>
      </c>
      <c r="F1807" s="6" t="s">
        <v>1849</v>
      </c>
      <c r="G1807" s="3">
        <v>29.95</v>
      </c>
      <c r="H1807" s="2" t="s">
        <v>1725</v>
      </c>
      <c r="I1807" s="4">
        <f>[1]Sheet1!I1807</f>
        <v>38</v>
      </c>
      <c r="J1807" s="3" t="str">
        <f t="shared" si="57"/>
        <v>9219_A1C1.webp</v>
      </c>
      <c r="K1807" s="5">
        <f>Sheet4!E1807</f>
        <v>12</v>
      </c>
      <c r="L1807" s="5"/>
      <c r="M1807" s="4"/>
    </row>
    <row r="1808" spans="1:13" x14ac:dyDescent="0.25">
      <c r="A1808" t="s">
        <v>4961</v>
      </c>
      <c r="B1808" t="s">
        <v>5119</v>
      </c>
      <c r="C1808" s="25">
        <v>9220</v>
      </c>
      <c r="D1808" s="28">
        <v>9220</v>
      </c>
      <c r="E1808" s="2" t="str">
        <f t="shared" si="58"/>
        <v>Same</v>
      </c>
      <c r="F1808" s="6" t="s">
        <v>1849</v>
      </c>
      <c r="G1808" s="3">
        <v>36.950000000000003</v>
      </c>
      <c r="H1808" s="2" t="s">
        <v>1726</v>
      </c>
      <c r="I1808" s="4">
        <f>[1]Sheet1!I1808</f>
        <v>254</v>
      </c>
      <c r="J1808" s="3" t="str">
        <f t="shared" si="57"/>
        <v>9220_A1C1.webp</v>
      </c>
      <c r="K1808" s="5">
        <f>Sheet4!E1808</f>
        <v>12</v>
      </c>
      <c r="L1808" s="5"/>
      <c r="M1808" s="4"/>
    </row>
    <row r="1809" spans="1:13" x14ac:dyDescent="0.25">
      <c r="A1809" t="s">
        <v>4961</v>
      </c>
      <c r="B1809" t="s">
        <v>5107</v>
      </c>
      <c r="C1809" s="25">
        <v>9223</v>
      </c>
      <c r="D1809" s="28">
        <v>9223</v>
      </c>
      <c r="E1809" s="2" t="str">
        <f t="shared" si="58"/>
        <v>Same</v>
      </c>
      <c r="F1809" s="6" t="s">
        <v>1850</v>
      </c>
      <c r="G1809" s="3">
        <v>41.95</v>
      </c>
      <c r="H1809" s="2" t="s">
        <v>1727</v>
      </c>
      <c r="I1809" s="4">
        <f>[1]Sheet1!I1809</f>
        <v>265</v>
      </c>
      <c r="J1809" s="3" t="str">
        <f t="shared" si="57"/>
        <v>9223_A1C1.webp</v>
      </c>
      <c r="K1809" s="5">
        <f>Sheet4!E1809</f>
        <v>6</v>
      </c>
      <c r="L1809" s="5"/>
      <c r="M1809" s="4"/>
    </row>
    <row r="1810" spans="1:13" x14ac:dyDescent="0.25">
      <c r="A1810" t="s">
        <v>4961</v>
      </c>
      <c r="B1810" t="s">
        <v>5107</v>
      </c>
      <c r="C1810" s="25">
        <v>9224</v>
      </c>
      <c r="D1810" s="28">
        <v>9224</v>
      </c>
      <c r="E1810" s="2" t="str">
        <f t="shared" si="58"/>
        <v>Same</v>
      </c>
      <c r="F1810" s="6" t="s">
        <v>2085</v>
      </c>
      <c r="G1810">
        <v>39.950000000000003</v>
      </c>
      <c r="H1810" s="2" t="s">
        <v>1728</v>
      </c>
      <c r="I1810" s="4">
        <f>[1]Sheet1!I1810</f>
        <v>62</v>
      </c>
      <c r="J1810" s="3" t="str">
        <f t="shared" si="57"/>
        <v>9224_A1C1.webp</v>
      </c>
      <c r="K1810" s="5">
        <f>Sheet4!E1810</f>
        <v>12</v>
      </c>
      <c r="L1810" s="5"/>
      <c r="M1810" s="4"/>
    </row>
    <row r="1811" spans="1:13" x14ac:dyDescent="0.25">
      <c r="A1811" t="s">
        <v>4961</v>
      </c>
      <c r="B1811" t="s">
        <v>5125</v>
      </c>
      <c r="C1811" s="25">
        <v>9225</v>
      </c>
      <c r="D1811" s="28">
        <v>9225</v>
      </c>
      <c r="E1811" s="2" t="str">
        <f t="shared" si="58"/>
        <v>Same</v>
      </c>
      <c r="F1811" s="6" t="s">
        <v>1874</v>
      </c>
      <c r="G1811" s="3">
        <v>47.95</v>
      </c>
      <c r="H1811" s="2" t="s">
        <v>1729</v>
      </c>
      <c r="I1811" s="4">
        <f>[1]Sheet1!I1811</f>
        <v>0</v>
      </c>
      <c r="J1811" s="3" t="str">
        <f t="shared" si="57"/>
        <v>9225_A1C1.webp</v>
      </c>
      <c r="K1811" s="5">
        <f>Sheet4!E1811</f>
        <v>24</v>
      </c>
      <c r="L1811" s="5"/>
      <c r="M1811" s="4"/>
    </row>
    <row r="1812" spans="1:13" x14ac:dyDescent="0.25">
      <c r="A1812" t="s">
        <v>4961</v>
      </c>
      <c r="B1812" t="s">
        <v>5125</v>
      </c>
      <c r="C1812" s="25">
        <v>9226</v>
      </c>
      <c r="D1812" s="28">
        <v>9226</v>
      </c>
      <c r="E1812" s="2" t="str">
        <f t="shared" si="58"/>
        <v>Same</v>
      </c>
      <c r="F1812" s="6" t="s">
        <v>1874</v>
      </c>
      <c r="G1812" s="3">
        <v>47.95</v>
      </c>
      <c r="H1812" s="2" t="s">
        <v>1730</v>
      </c>
      <c r="I1812" s="4">
        <f>[1]Sheet1!I1812</f>
        <v>82</v>
      </c>
      <c r="J1812" s="3" t="str">
        <f t="shared" si="57"/>
        <v>9226_A1C1.webp</v>
      </c>
      <c r="K1812" s="5">
        <f>Sheet4!E1812</f>
        <v>24</v>
      </c>
      <c r="L1812" s="5"/>
      <c r="M1812" s="4"/>
    </row>
    <row r="1813" spans="1:13" x14ac:dyDescent="0.25">
      <c r="A1813" t="s">
        <v>4961</v>
      </c>
      <c r="B1813" t="s">
        <v>5125</v>
      </c>
      <c r="C1813" s="25">
        <v>9227</v>
      </c>
      <c r="D1813" s="28">
        <v>9227</v>
      </c>
      <c r="E1813" s="2" t="str">
        <f t="shared" si="58"/>
        <v>Same</v>
      </c>
      <c r="F1813" s="6" t="s">
        <v>1874</v>
      </c>
      <c r="G1813" s="3">
        <v>47.95</v>
      </c>
      <c r="H1813" s="2" t="s">
        <v>1731</v>
      </c>
      <c r="I1813" s="4">
        <f>[1]Sheet1!I1813</f>
        <v>3</v>
      </c>
      <c r="J1813" s="3" t="str">
        <f t="shared" si="57"/>
        <v>9227_A1C1.webp</v>
      </c>
      <c r="K1813" s="5">
        <f>Sheet4!E1813</f>
        <v>24</v>
      </c>
      <c r="L1813" s="5"/>
      <c r="M1813" s="4"/>
    </row>
    <row r="1814" spans="1:13" x14ac:dyDescent="0.25">
      <c r="A1814" t="s">
        <v>4961</v>
      </c>
      <c r="B1814" t="s">
        <v>5125</v>
      </c>
      <c r="C1814" s="25">
        <v>9228</v>
      </c>
      <c r="D1814" s="28">
        <v>9228</v>
      </c>
      <c r="E1814" s="2" t="str">
        <f t="shared" si="58"/>
        <v>Same</v>
      </c>
      <c r="F1814" s="6" t="s">
        <v>1874</v>
      </c>
      <c r="G1814" s="3">
        <v>64.95</v>
      </c>
      <c r="H1814" s="2" t="s">
        <v>1732</v>
      </c>
      <c r="I1814" s="4">
        <f>[1]Sheet1!I1814</f>
        <v>50</v>
      </c>
      <c r="J1814" s="3" t="str">
        <f t="shared" si="57"/>
        <v>9228_A1C1.webp</v>
      </c>
      <c r="K1814" s="5">
        <f>Sheet4!E1814</f>
        <v>24</v>
      </c>
      <c r="L1814" s="5"/>
      <c r="M1814" s="4"/>
    </row>
    <row r="1815" spans="1:13" x14ac:dyDescent="0.25">
      <c r="A1815" t="s">
        <v>4961</v>
      </c>
      <c r="B1815" t="s">
        <v>5125</v>
      </c>
      <c r="C1815" s="25">
        <v>9229</v>
      </c>
      <c r="D1815" s="28">
        <v>9229</v>
      </c>
      <c r="E1815" s="2" t="str">
        <f t="shared" si="58"/>
        <v>Same</v>
      </c>
      <c r="F1815" s="6" t="s">
        <v>1874</v>
      </c>
      <c r="G1815" s="3">
        <v>64.95</v>
      </c>
      <c r="H1815" s="2" t="s">
        <v>1733</v>
      </c>
      <c r="I1815" s="4">
        <f>[1]Sheet1!I1815</f>
        <v>124</v>
      </c>
      <c r="J1815" s="3" t="str">
        <f t="shared" si="57"/>
        <v>9229_A1C1.webp</v>
      </c>
      <c r="K1815" s="5">
        <f>Sheet4!E1815</f>
        <v>24</v>
      </c>
      <c r="L1815" s="5"/>
      <c r="M1815" s="4"/>
    </row>
    <row r="1816" spans="1:13" x14ac:dyDescent="0.25">
      <c r="A1816" t="s">
        <v>4961</v>
      </c>
      <c r="B1816" t="s">
        <v>5125</v>
      </c>
      <c r="C1816" s="25">
        <v>9230</v>
      </c>
      <c r="D1816" s="28">
        <v>9230</v>
      </c>
      <c r="E1816" s="2" t="str">
        <f t="shared" si="58"/>
        <v>Same</v>
      </c>
      <c r="F1816" s="6" t="s">
        <v>1874</v>
      </c>
      <c r="G1816" s="3">
        <v>109.95</v>
      </c>
      <c r="H1816" s="2" t="s">
        <v>1734</v>
      </c>
      <c r="I1816" s="4">
        <f>[1]Sheet1!I1816</f>
        <v>0</v>
      </c>
      <c r="J1816" s="3" t="str">
        <f t="shared" si="57"/>
        <v>9230_A1C1.webp</v>
      </c>
      <c r="K1816" s="5">
        <f>Sheet4!E1816</f>
        <v>24</v>
      </c>
      <c r="L1816" s="5"/>
      <c r="M1816" s="4"/>
    </row>
    <row r="1817" spans="1:13" x14ac:dyDescent="0.25">
      <c r="A1817" t="s">
        <v>4961</v>
      </c>
      <c r="B1817" t="s">
        <v>5028</v>
      </c>
      <c r="C1817" s="25">
        <v>9231</v>
      </c>
      <c r="D1817" s="28">
        <v>9231</v>
      </c>
      <c r="E1817" s="2" t="str">
        <f t="shared" si="58"/>
        <v>Same</v>
      </c>
      <c r="F1817" s="6" t="s">
        <v>1882</v>
      </c>
      <c r="G1817" s="3">
        <v>24.95</v>
      </c>
      <c r="H1817" s="2" t="s">
        <v>1735</v>
      </c>
      <c r="I1817" s="4">
        <f>[1]Sheet1!I1817</f>
        <v>292</v>
      </c>
      <c r="J1817" s="3" t="str">
        <f t="shared" si="57"/>
        <v>9231_A1C1.webp</v>
      </c>
      <c r="K1817" s="5">
        <f>Sheet4!E1817</f>
        <v>12</v>
      </c>
      <c r="L1817" s="5"/>
      <c r="M1817" s="4"/>
    </row>
    <row r="1818" spans="1:13" x14ac:dyDescent="0.25">
      <c r="A1818" t="s">
        <v>4961</v>
      </c>
      <c r="B1818" t="s">
        <v>5028</v>
      </c>
      <c r="C1818" s="25">
        <v>9233</v>
      </c>
      <c r="D1818" s="28">
        <v>9233</v>
      </c>
      <c r="E1818" s="2" t="str">
        <f t="shared" si="58"/>
        <v>Same</v>
      </c>
      <c r="F1818" s="6" t="s">
        <v>1882</v>
      </c>
      <c r="G1818" s="3">
        <v>21.5</v>
      </c>
      <c r="H1818" s="2" t="s">
        <v>1736</v>
      </c>
      <c r="I1818" s="4">
        <f>[1]Sheet1!I1818</f>
        <v>289</v>
      </c>
      <c r="J1818" s="3" t="str">
        <f t="shared" si="57"/>
        <v>9233_A1C1.webp</v>
      </c>
      <c r="K1818" s="5">
        <f>Sheet4!E1818</f>
        <v>8</v>
      </c>
      <c r="L1818" s="5"/>
      <c r="M1818" s="4"/>
    </row>
    <row r="1819" spans="1:13" x14ac:dyDescent="0.25">
      <c r="A1819" t="s">
        <v>4961</v>
      </c>
      <c r="B1819" t="s">
        <v>5028</v>
      </c>
      <c r="C1819" s="25">
        <v>9240</v>
      </c>
      <c r="D1819" s="28">
        <v>9240</v>
      </c>
      <c r="E1819" s="2" t="str">
        <f t="shared" si="58"/>
        <v>Same</v>
      </c>
      <c r="F1819" s="6" t="s">
        <v>1882</v>
      </c>
      <c r="G1819" s="3">
        <v>24.95</v>
      </c>
      <c r="H1819" s="2" t="s">
        <v>1737</v>
      </c>
      <c r="I1819" s="4">
        <f>[1]Sheet1!I1819</f>
        <v>0</v>
      </c>
      <c r="J1819" s="3" t="str">
        <f t="shared" si="57"/>
        <v>9240_A1C1.webp</v>
      </c>
      <c r="K1819" s="5">
        <f>Sheet4!E1819</f>
        <v>12</v>
      </c>
      <c r="L1819" s="5"/>
      <c r="M1819" s="4"/>
    </row>
    <row r="1820" spans="1:13" x14ac:dyDescent="0.25">
      <c r="A1820" t="s">
        <v>4961</v>
      </c>
      <c r="B1820" t="s">
        <v>5028</v>
      </c>
      <c r="C1820" s="25">
        <v>9241</v>
      </c>
      <c r="D1820" s="28">
        <v>9241</v>
      </c>
      <c r="E1820" s="2" t="str">
        <f t="shared" si="58"/>
        <v>Same</v>
      </c>
      <c r="F1820" s="6" t="s">
        <v>1882</v>
      </c>
      <c r="G1820" s="3">
        <v>24.95</v>
      </c>
      <c r="H1820" s="2" t="s">
        <v>1738</v>
      </c>
      <c r="I1820" s="4">
        <f>[1]Sheet1!I1820</f>
        <v>436</v>
      </c>
      <c r="J1820" s="3" t="str">
        <f t="shared" si="57"/>
        <v>9241_A1C1.webp</v>
      </c>
      <c r="K1820" s="5">
        <f>Sheet4!E1820</f>
        <v>12</v>
      </c>
      <c r="L1820" s="5"/>
      <c r="M1820" s="4"/>
    </row>
    <row r="1821" spans="1:13" x14ac:dyDescent="0.25">
      <c r="A1821" t="s">
        <v>4961</v>
      </c>
      <c r="B1821" t="s">
        <v>5137</v>
      </c>
      <c r="C1821" s="25">
        <v>9250</v>
      </c>
      <c r="D1821" s="28">
        <v>9250</v>
      </c>
      <c r="E1821" s="2" t="str">
        <f t="shared" si="58"/>
        <v>Same</v>
      </c>
      <c r="F1821" s="6" t="s">
        <v>1910</v>
      </c>
      <c r="G1821" s="3">
        <v>57.95</v>
      </c>
      <c r="H1821" s="2" t="s">
        <v>1739</v>
      </c>
      <c r="I1821" s="4">
        <f>[1]Sheet1!I1821</f>
        <v>34</v>
      </c>
      <c r="J1821" s="3" t="str">
        <f t="shared" si="57"/>
        <v>9250_A1C1.webp</v>
      </c>
      <c r="K1821" s="5">
        <f>Sheet4!E1821</f>
        <v>12</v>
      </c>
      <c r="L1821" s="5"/>
      <c r="M1821" s="4"/>
    </row>
    <row r="1822" spans="1:13" x14ac:dyDescent="0.25">
      <c r="A1822" t="s">
        <v>4961</v>
      </c>
      <c r="B1822" t="s">
        <v>5137</v>
      </c>
      <c r="C1822" s="25">
        <v>9251</v>
      </c>
      <c r="D1822" s="28">
        <v>9251</v>
      </c>
      <c r="E1822" s="2" t="str">
        <f t="shared" si="58"/>
        <v>Same</v>
      </c>
      <c r="F1822" s="6" t="s">
        <v>1910</v>
      </c>
      <c r="G1822" s="3">
        <v>58.95</v>
      </c>
      <c r="H1822" s="2" t="s">
        <v>1740</v>
      </c>
      <c r="I1822" s="4">
        <f>[1]Sheet1!I1822</f>
        <v>398</v>
      </c>
      <c r="J1822" s="3" t="str">
        <f t="shared" si="57"/>
        <v>9251_A1C1.webp</v>
      </c>
      <c r="K1822" s="5">
        <f>Sheet4!E1822</f>
        <v>12</v>
      </c>
      <c r="L1822" s="5"/>
      <c r="M1822" s="4"/>
    </row>
    <row r="1823" spans="1:13" x14ac:dyDescent="0.25">
      <c r="A1823" t="s">
        <v>4961</v>
      </c>
      <c r="B1823" t="s">
        <v>5137</v>
      </c>
      <c r="C1823" s="25">
        <v>9252</v>
      </c>
      <c r="D1823" s="28">
        <v>9252</v>
      </c>
      <c r="E1823" s="2" t="str">
        <f t="shared" si="58"/>
        <v>Same</v>
      </c>
      <c r="F1823" s="6" t="s">
        <v>1895</v>
      </c>
      <c r="G1823" s="3">
        <v>39.950000000000003</v>
      </c>
      <c r="H1823" s="2" t="s">
        <v>1741</v>
      </c>
      <c r="I1823" s="4">
        <f>[1]Sheet1!I1823</f>
        <v>138</v>
      </c>
      <c r="J1823" s="3" t="str">
        <f t="shared" si="57"/>
        <v>9252_A1C1.webp</v>
      </c>
      <c r="K1823" s="5">
        <f>Sheet4!E1823</f>
        <v>12</v>
      </c>
      <c r="L1823" s="5"/>
      <c r="M1823" s="4"/>
    </row>
    <row r="1824" spans="1:13" x14ac:dyDescent="0.25">
      <c r="A1824" t="s">
        <v>4961</v>
      </c>
      <c r="B1824" t="s">
        <v>5137</v>
      </c>
      <c r="C1824" s="25">
        <v>9253</v>
      </c>
      <c r="D1824" s="28">
        <v>9253</v>
      </c>
      <c r="E1824" s="2" t="str">
        <f t="shared" si="58"/>
        <v>Same</v>
      </c>
      <c r="F1824" s="6" t="s">
        <v>1910</v>
      </c>
      <c r="G1824" s="3">
        <v>57.95</v>
      </c>
      <c r="H1824" s="2" t="s">
        <v>1742</v>
      </c>
      <c r="I1824" s="4">
        <f>[1]Sheet1!I1824</f>
        <v>101</v>
      </c>
      <c r="J1824" s="3" t="str">
        <f t="shared" si="57"/>
        <v>9253_A1C1.webp</v>
      </c>
      <c r="K1824" s="5">
        <f>Sheet4!E1824</f>
        <v>12</v>
      </c>
      <c r="L1824" s="5"/>
      <c r="M1824" s="4"/>
    </row>
    <row r="1825" spans="1:13" x14ac:dyDescent="0.25">
      <c r="A1825" t="s">
        <v>4949</v>
      </c>
      <c r="B1825" t="s">
        <v>5142</v>
      </c>
      <c r="C1825" s="25">
        <v>9257</v>
      </c>
      <c r="D1825" s="28">
        <v>9257</v>
      </c>
      <c r="E1825" s="2" t="str">
        <f t="shared" si="58"/>
        <v>Same</v>
      </c>
      <c r="F1825" s="6" t="s">
        <v>2086</v>
      </c>
      <c r="G1825" s="3">
        <v>43.95</v>
      </c>
      <c r="H1825" s="2" t="s">
        <v>1743</v>
      </c>
      <c r="I1825" s="4">
        <f>[1]Sheet1!I1825</f>
        <v>118</v>
      </c>
      <c r="J1825" s="3" t="str">
        <f t="shared" si="57"/>
        <v>9257_A1C1.webp</v>
      </c>
      <c r="K1825" s="5">
        <f>Sheet4!E1825</f>
        <v>12</v>
      </c>
      <c r="L1825" s="5"/>
      <c r="M1825" s="4"/>
    </row>
    <row r="1826" spans="1:13" x14ac:dyDescent="0.25">
      <c r="A1826" t="s">
        <v>4949</v>
      </c>
      <c r="B1826" t="s">
        <v>5145</v>
      </c>
      <c r="C1826" s="25">
        <v>9260</v>
      </c>
      <c r="D1826" s="28">
        <v>9268</v>
      </c>
      <c r="E1826" s="2" t="str">
        <f t="shared" si="58"/>
        <v>New</v>
      </c>
      <c r="F1826" s="6" t="s">
        <v>1918</v>
      </c>
      <c r="G1826" s="3">
        <v>42.95</v>
      </c>
      <c r="H1826" s="2" t="s">
        <v>1744</v>
      </c>
      <c r="I1826" s="4">
        <f>[1]Sheet1!I1826</f>
        <v>5916</v>
      </c>
      <c r="J1826" s="3" t="str">
        <f t="shared" si="57"/>
        <v>9260_A1C1.webp</v>
      </c>
      <c r="K1826" s="5">
        <f>Sheet4!E1826</f>
        <v>12</v>
      </c>
      <c r="L1826" s="5"/>
      <c r="M1826" s="4"/>
    </row>
    <row r="1827" spans="1:13" x14ac:dyDescent="0.25">
      <c r="A1827" t="s">
        <v>4949</v>
      </c>
      <c r="B1827" t="s">
        <v>5110</v>
      </c>
      <c r="C1827" s="25">
        <v>9268</v>
      </c>
      <c r="D1827" s="28">
        <v>9278</v>
      </c>
      <c r="E1827" s="2" t="str">
        <f t="shared" si="58"/>
        <v>New</v>
      </c>
      <c r="F1827" s="6" t="s">
        <v>1879</v>
      </c>
      <c r="G1827" s="3">
        <v>58.95</v>
      </c>
      <c r="H1827" s="2" t="s">
        <v>1745</v>
      </c>
      <c r="I1827" s="4">
        <f>[1]Sheet1!I1827</f>
        <v>21</v>
      </c>
      <c r="J1827" s="3" t="str">
        <f t="shared" si="57"/>
        <v>9268_A1C1.webp</v>
      </c>
      <c r="K1827" s="5">
        <f>Sheet4!E1827</f>
        <v>12</v>
      </c>
      <c r="L1827" s="5"/>
      <c r="M1827" s="4"/>
    </row>
    <row r="1828" spans="1:13" x14ac:dyDescent="0.25">
      <c r="A1828" t="s">
        <v>4961</v>
      </c>
      <c r="B1828" t="s">
        <v>5028</v>
      </c>
      <c r="C1828" s="25">
        <v>9278</v>
      </c>
      <c r="D1828" s="28">
        <v>9279</v>
      </c>
      <c r="E1828" s="2" t="str">
        <f t="shared" si="58"/>
        <v>New</v>
      </c>
      <c r="F1828" s="6" t="s">
        <v>1882</v>
      </c>
      <c r="G1828" s="3">
        <v>24.95</v>
      </c>
      <c r="H1828" s="2" t="s">
        <v>1746</v>
      </c>
      <c r="I1828" s="4">
        <f>[1]Sheet1!I1828</f>
        <v>178</v>
      </c>
      <c r="J1828" s="3" t="str">
        <f t="shared" si="57"/>
        <v>9278_A1C1.webp</v>
      </c>
      <c r="K1828" s="5">
        <f>Sheet4!E1828</f>
        <v>12</v>
      </c>
      <c r="L1828" s="5"/>
      <c r="M1828" s="4"/>
    </row>
    <row r="1829" spans="1:13" x14ac:dyDescent="0.25">
      <c r="A1829" t="s">
        <v>4961</v>
      </c>
      <c r="B1829" t="s">
        <v>5028</v>
      </c>
      <c r="C1829" s="25">
        <v>9279</v>
      </c>
      <c r="D1829" s="28">
        <v>9280</v>
      </c>
      <c r="E1829" s="2" t="str">
        <f t="shared" si="58"/>
        <v>New</v>
      </c>
      <c r="F1829" s="6" t="s">
        <v>1882</v>
      </c>
      <c r="G1829" s="3">
        <v>24.95</v>
      </c>
      <c r="H1829" s="2" t="s">
        <v>1747</v>
      </c>
      <c r="I1829" s="4">
        <f>[1]Sheet1!I1829</f>
        <v>180</v>
      </c>
      <c r="J1829" s="3" t="str">
        <f t="shared" si="57"/>
        <v>9279_A1C1.webp</v>
      </c>
      <c r="K1829" s="5">
        <f>Sheet4!E1829</f>
        <v>12</v>
      </c>
      <c r="L1829" s="5"/>
      <c r="M1829" s="4"/>
    </row>
    <row r="1830" spans="1:13" x14ac:dyDescent="0.25">
      <c r="A1830" t="s">
        <v>4961</v>
      </c>
      <c r="B1830" t="s">
        <v>5028</v>
      </c>
      <c r="C1830" s="25">
        <v>9280</v>
      </c>
      <c r="D1830" s="28">
        <v>9281</v>
      </c>
      <c r="E1830" s="2" t="str">
        <f t="shared" si="58"/>
        <v>New</v>
      </c>
      <c r="F1830" s="6" t="s">
        <v>1882</v>
      </c>
      <c r="G1830" s="3">
        <v>33.5</v>
      </c>
      <c r="H1830" s="2" t="s">
        <v>1748</v>
      </c>
      <c r="I1830" s="4">
        <f>[1]Sheet1!I1830</f>
        <v>48</v>
      </c>
      <c r="J1830" s="3" t="str">
        <f t="shared" si="57"/>
        <v>9280_A1C1.webp</v>
      </c>
      <c r="K1830" s="5">
        <f>Sheet4!E1830</f>
        <v>12</v>
      </c>
      <c r="L1830" s="5"/>
      <c r="M1830" s="4"/>
    </row>
    <row r="1831" spans="1:13" x14ac:dyDescent="0.25">
      <c r="A1831" t="s">
        <v>4961</v>
      </c>
      <c r="B1831" t="s">
        <v>5028</v>
      </c>
      <c r="C1831" s="25">
        <v>9281</v>
      </c>
      <c r="D1831" s="28">
        <v>9283</v>
      </c>
      <c r="E1831" s="2" t="str">
        <f t="shared" si="58"/>
        <v>New</v>
      </c>
      <c r="F1831" s="6" t="s">
        <v>1882</v>
      </c>
      <c r="G1831" s="3">
        <v>24.95</v>
      </c>
      <c r="H1831" s="2" t="s">
        <v>1749</v>
      </c>
      <c r="I1831" s="4">
        <f>[1]Sheet1!I1831</f>
        <v>4701</v>
      </c>
      <c r="J1831" s="3" t="str">
        <f t="shared" si="57"/>
        <v>9281_A1C1.webp</v>
      </c>
      <c r="K1831" s="5">
        <f>Sheet4!E1831</f>
        <v>12</v>
      </c>
      <c r="L1831" s="5"/>
      <c r="M1831" s="4"/>
    </row>
    <row r="1832" spans="1:13" x14ac:dyDescent="0.25">
      <c r="A1832" t="s">
        <v>4961</v>
      </c>
      <c r="B1832" t="s">
        <v>5153</v>
      </c>
      <c r="C1832" s="25">
        <v>9283</v>
      </c>
      <c r="D1832" s="28">
        <v>9284</v>
      </c>
      <c r="E1832" s="2" t="str">
        <f t="shared" si="58"/>
        <v>New</v>
      </c>
      <c r="F1832" s="6" t="s">
        <v>1849</v>
      </c>
      <c r="G1832" s="3">
        <v>33.5</v>
      </c>
      <c r="H1832" s="2" t="s">
        <v>1750</v>
      </c>
      <c r="I1832" s="4">
        <f>[1]Sheet1!I1832</f>
        <v>0</v>
      </c>
      <c r="J1832" s="3" t="str">
        <f t="shared" si="57"/>
        <v>9283_A1C1.webp</v>
      </c>
      <c r="K1832" s="5">
        <f>Sheet4!E1832</f>
        <v>12</v>
      </c>
      <c r="L1832" s="5"/>
      <c r="M1832" s="4"/>
    </row>
    <row r="1833" spans="1:13" x14ac:dyDescent="0.25">
      <c r="A1833" t="s">
        <v>4961</v>
      </c>
      <c r="B1833" t="s">
        <v>5028</v>
      </c>
      <c r="C1833" s="25">
        <v>9284</v>
      </c>
      <c r="D1833" s="28">
        <v>9285</v>
      </c>
      <c r="E1833" s="2" t="str">
        <f t="shared" si="58"/>
        <v>New</v>
      </c>
      <c r="F1833" s="6" t="s">
        <v>1882</v>
      </c>
      <c r="G1833" s="3">
        <v>42.5</v>
      </c>
      <c r="H1833" s="2" t="s">
        <v>1751</v>
      </c>
      <c r="I1833" s="4">
        <f>[1]Sheet1!I1833</f>
        <v>1129</v>
      </c>
      <c r="J1833" s="3" t="str">
        <f t="shared" si="57"/>
        <v>9284_A1C1.webp</v>
      </c>
      <c r="K1833" s="5">
        <f>Sheet4!E1833</f>
        <v>8</v>
      </c>
      <c r="L1833" s="5"/>
      <c r="M1833" s="4"/>
    </row>
    <row r="1834" spans="1:13" x14ac:dyDescent="0.25">
      <c r="A1834" t="s">
        <v>4949</v>
      </c>
      <c r="B1834" t="s">
        <v>5145</v>
      </c>
      <c r="C1834" s="25">
        <v>9285</v>
      </c>
      <c r="D1834" s="28">
        <v>9290</v>
      </c>
      <c r="E1834" s="2" t="str">
        <f t="shared" si="58"/>
        <v>New</v>
      </c>
      <c r="F1834" s="6" t="s">
        <v>1928</v>
      </c>
      <c r="G1834" s="3">
        <v>21.35</v>
      </c>
      <c r="H1834" s="2" t="s">
        <v>1752</v>
      </c>
      <c r="I1834" s="4">
        <f>[1]Sheet1!I1834</f>
        <v>83</v>
      </c>
      <c r="J1834" s="3" t="str">
        <f t="shared" si="57"/>
        <v>9285_A1C1.webp</v>
      </c>
      <c r="K1834" s="5">
        <f>Sheet4!E1834</f>
        <v>12</v>
      </c>
      <c r="L1834" s="5"/>
      <c r="M1834" s="4"/>
    </row>
    <row r="1835" spans="1:13" x14ac:dyDescent="0.25">
      <c r="A1835" t="s">
        <v>4949</v>
      </c>
      <c r="B1835" t="s">
        <v>5158</v>
      </c>
      <c r="C1835" s="25">
        <v>9290</v>
      </c>
      <c r="D1835" s="28">
        <v>9291</v>
      </c>
      <c r="E1835" s="2" t="str">
        <f t="shared" si="58"/>
        <v>New</v>
      </c>
      <c r="F1835" s="6" t="s">
        <v>1874</v>
      </c>
      <c r="G1835" s="3">
        <v>47.95</v>
      </c>
      <c r="H1835" s="2" t="s">
        <v>1753</v>
      </c>
      <c r="I1835" s="4">
        <f>[1]Sheet1!I1835</f>
        <v>131</v>
      </c>
      <c r="J1835" s="3" t="str">
        <f t="shared" si="57"/>
        <v>9290_A1C1.webp</v>
      </c>
      <c r="K1835" s="5">
        <f>Sheet4!E1835</f>
        <v>12</v>
      </c>
      <c r="L1835" s="5"/>
      <c r="M1835" s="4"/>
    </row>
    <row r="1836" spans="1:13" x14ac:dyDescent="0.25">
      <c r="A1836" t="s">
        <v>4949</v>
      </c>
      <c r="B1836" t="s">
        <v>5158</v>
      </c>
      <c r="C1836" s="25">
        <v>9291</v>
      </c>
      <c r="D1836" s="28">
        <v>9295</v>
      </c>
      <c r="E1836" s="2" t="str">
        <f t="shared" si="58"/>
        <v>New</v>
      </c>
      <c r="F1836" s="6" t="s">
        <v>1874</v>
      </c>
      <c r="G1836" s="3">
        <v>47.95</v>
      </c>
      <c r="H1836" s="2" t="s">
        <v>1754</v>
      </c>
      <c r="I1836" s="4">
        <f>[1]Sheet1!I1836</f>
        <v>1728</v>
      </c>
      <c r="J1836" s="3" t="str">
        <f t="shared" si="57"/>
        <v>9291_A1C1.webp</v>
      </c>
      <c r="K1836" s="5">
        <f>Sheet4!E1836</f>
        <v>12</v>
      </c>
      <c r="L1836" s="5"/>
      <c r="M1836" s="4"/>
    </row>
    <row r="1837" spans="1:13" x14ac:dyDescent="0.25">
      <c r="A1837" t="s">
        <v>4961</v>
      </c>
      <c r="B1837" t="s">
        <v>5153</v>
      </c>
      <c r="C1837" s="25">
        <v>9295</v>
      </c>
      <c r="D1837" s="28">
        <v>9296</v>
      </c>
      <c r="E1837" s="2" t="str">
        <f t="shared" si="58"/>
        <v>New</v>
      </c>
      <c r="F1837" s="6" t="s">
        <v>1849</v>
      </c>
      <c r="G1837" s="3">
        <v>33.700000000000003</v>
      </c>
      <c r="H1837" s="2" t="s">
        <v>1755</v>
      </c>
      <c r="I1837" s="4">
        <f>[1]Sheet1!I1837</f>
        <v>2160</v>
      </c>
      <c r="J1837" s="3" t="str">
        <f t="shared" si="57"/>
        <v>9295_A1C1.webp</v>
      </c>
      <c r="K1837" s="5">
        <f>Sheet4!E1837</f>
        <v>12</v>
      </c>
      <c r="L1837" s="5"/>
      <c r="M1837" s="4"/>
    </row>
    <row r="1838" spans="1:13" x14ac:dyDescent="0.25">
      <c r="A1838" t="s">
        <v>4961</v>
      </c>
      <c r="B1838" t="s">
        <v>5153</v>
      </c>
      <c r="C1838" s="25">
        <v>9296</v>
      </c>
      <c r="D1838" s="28">
        <v>9297</v>
      </c>
      <c r="E1838" s="2" t="str">
        <f t="shared" si="58"/>
        <v>New</v>
      </c>
      <c r="F1838" s="6" t="s">
        <v>1849</v>
      </c>
      <c r="G1838" s="3">
        <v>45.5</v>
      </c>
      <c r="H1838" s="2" t="s">
        <v>1756</v>
      </c>
      <c r="I1838" s="4">
        <f>[1]Sheet1!I1838</f>
        <v>671</v>
      </c>
      <c r="J1838" s="3" t="str">
        <f t="shared" si="57"/>
        <v>9296_A1C1.webp</v>
      </c>
      <c r="K1838" s="5">
        <f>Sheet4!E1838</f>
        <v>12</v>
      </c>
      <c r="L1838" s="5"/>
      <c r="M1838" s="4"/>
    </row>
    <row r="1839" spans="1:13" x14ac:dyDescent="0.25">
      <c r="A1839" t="s">
        <v>4961</v>
      </c>
      <c r="B1839" t="s">
        <v>5153</v>
      </c>
      <c r="C1839" s="25">
        <v>9297</v>
      </c>
      <c r="D1839" s="28">
        <v>9298</v>
      </c>
      <c r="E1839" s="2" t="str">
        <f t="shared" si="58"/>
        <v>New</v>
      </c>
      <c r="F1839" s="6" t="s">
        <v>1849</v>
      </c>
      <c r="G1839" s="3">
        <v>36.950000000000003</v>
      </c>
      <c r="H1839" s="2" t="s">
        <v>1757</v>
      </c>
      <c r="I1839" s="4">
        <f>[1]Sheet1!I1839</f>
        <v>154</v>
      </c>
      <c r="J1839" s="3" t="str">
        <f t="shared" si="57"/>
        <v>9297_A1C1.webp</v>
      </c>
      <c r="K1839" s="5">
        <f>Sheet4!E1839</f>
        <v>12</v>
      </c>
      <c r="L1839" s="5"/>
      <c r="M1839" s="4"/>
    </row>
    <row r="1840" spans="1:13" x14ac:dyDescent="0.25">
      <c r="A1840" t="s">
        <v>4949</v>
      </c>
      <c r="B1840" t="s">
        <v>5158</v>
      </c>
      <c r="C1840" s="25">
        <v>9298</v>
      </c>
      <c r="D1840" s="28">
        <v>9299</v>
      </c>
      <c r="E1840" s="2" t="str">
        <f t="shared" si="58"/>
        <v>New</v>
      </c>
      <c r="F1840" s="6" t="s">
        <v>1859</v>
      </c>
      <c r="G1840" s="3">
        <v>44.95</v>
      </c>
      <c r="H1840" s="2" t="s">
        <v>1758</v>
      </c>
      <c r="I1840" s="4">
        <f>[1]Sheet1!I1840</f>
        <v>43</v>
      </c>
      <c r="J1840" s="3" t="str">
        <f t="shared" si="57"/>
        <v>9298_A1C1.webp</v>
      </c>
      <c r="K1840" s="5">
        <f>Sheet4!E1840</f>
        <v>12</v>
      </c>
      <c r="L1840" s="5"/>
      <c r="M1840" s="4"/>
    </row>
    <row r="1841" spans="1:13" x14ac:dyDescent="0.25">
      <c r="A1841" t="s">
        <v>4949</v>
      </c>
      <c r="B1841" t="s">
        <v>5158</v>
      </c>
      <c r="C1841" s="25">
        <v>9299</v>
      </c>
      <c r="D1841" s="28">
        <v>9303</v>
      </c>
      <c r="E1841" s="2" t="str">
        <f t="shared" si="58"/>
        <v>New</v>
      </c>
      <c r="F1841" s="6" t="s">
        <v>1859</v>
      </c>
      <c r="G1841" s="3">
        <v>44.95</v>
      </c>
      <c r="H1841" s="2" t="s">
        <v>1759</v>
      </c>
      <c r="I1841" s="4">
        <f>[1]Sheet1!I1841</f>
        <v>16</v>
      </c>
      <c r="J1841" s="3" t="str">
        <f t="shared" si="57"/>
        <v>9299_A1C1.webp</v>
      </c>
      <c r="K1841" s="5">
        <f>Sheet4!E1841</f>
        <v>12</v>
      </c>
      <c r="L1841" s="5"/>
      <c r="M1841" s="4"/>
    </row>
    <row r="1842" spans="1:13" x14ac:dyDescent="0.25">
      <c r="A1842" t="s">
        <v>4949</v>
      </c>
      <c r="B1842" t="s">
        <v>4953</v>
      </c>
      <c r="C1842" s="25">
        <v>9303</v>
      </c>
      <c r="D1842" s="28">
        <v>9304</v>
      </c>
      <c r="E1842" s="2" t="str">
        <f t="shared" si="58"/>
        <v>New</v>
      </c>
      <c r="F1842" s="6" t="s">
        <v>1859</v>
      </c>
      <c r="G1842" s="3">
        <v>42.5</v>
      </c>
      <c r="H1842" s="2" t="s">
        <v>1760</v>
      </c>
      <c r="I1842" s="4">
        <f>[1]Sheet1!I1842</f>
        <v>91</v>
      </c>
      <c r="J1842" s="3" t="str">
        <f t="shared" si="57"/>
        <v>9303_A1C1.webp</v>
      </c>
      <c r="K1842" s="5">
        <f>Sheet4!E1842</f>
        <v>12</v>
      </c>
      <c r="L1842" s="5"/>
      <c r="M1842" s="4"/>
    </row>
    <row r="1843" spans="1:13" x14ac:dyDescent="0.25">
      <c r="A1843" t="s">
        <v>4949</v>
      </c>
      <c r="B1843" t="s">
        <v>4953</v>
      </c>
      <c r="C1843" s="25">
        <v>9304</v>
      </c>
      <c r="D1843" s="28">
        <v>9305</v>
      </c>
      <c r="E1843" s="2" t="str">
        <f t="shared" si="58"/>
        <v>New</v>
      </c>
      <c r="F1843" s="6" t="s">
        <v>1859</v>
      </c>
      <c r="G1843" s="3">
        <v>42.5</v>
      </c>
      <c r="H1843" s="2" t="s">
        <v>1761</v>
      </c>
      <c r="I1843" s="4">
        <f>[1]Sheet1!I1843</f>
        <v>40</v>
      </c>
      <c r="J1843" s="3" t="str">
        <f t="shared" si="57"/>
        <v>9304_A1C1.webp</v>
      </c>
      <c r="K1843" s="5">
        <f>Sheet4!E1843</f>
        <v>12</v>
      </c>
      <c r="L1843" s="5"/>
      <c r="M1843" s="4"/>
    </row>
    <row r="1844" spans="1:13" x14ac:dyDescent="0.25">
      <c r="A1844" t="s">
        <v>4949</v>
      </c>
      <c r="B1844" t="s">
        <v>4953</v>
      </c>
      <c r="C1844" s="25">
        <v>9305</v>
      </c>
      <c r="D1844" s="28">
        <v>9311</v>
      </c>
      <c r="E1844" s="2" t="str">
        <f t="shared" si="58"/>
        <v>New</v>
      </c>
      <c r="F1844" s="6" t="s">
        <v>1859</v>
      </c>
      <c r="G1844" s="3">
        <v>42.5</v>
      </c>
      <c r="H1844" s="2" t="s">
        <v>1762</v>
      </c>
      <c r="I1844" s="4">
        <f>[1]Sheet1!I1844</f>
        <v>213</v>
      </c>
      <c r="J1844" s="3" t="str">
        <f t="shared" si="57"/>
        <v>9305_A1C1.webp</v>
      </c>
      <c r="K1844" s="5">
        <f>Sheet4!E1844</f>
        <v>24</v>
      </c>
      <c r="L1844" s="5"/>
      <c r="M1844" s="4"/>
    </row>
    <row r="1845" spans="1:13" x14ac:dyDescent="0.25">
      <c r="A1845" t="s">
        <v>4949</v>
      </c>
      <c r="B1845" t="s">
        <v>5172</v>
      </c>
      <c r="C1845" s="25">
        <v>9310</v>
      </c>
      <c r="D1845" s="28">
        <v>9313</v>
      </c>
      <c r="E1845" s="2" t="str">
        <f t="shared" si="58"/>
        <v>New</v>
      </c>
      <c r="F1845" s="6" t="s">
        <v>1882</v>
      </c>
      <c r="G1845" s="3">
        <v>38.950000000000003</v>
      </c>
      <c r="H1845" s="2" t="s">
        <v>1763</v>
      </c>
      <c r="I1845" s="4">
        <f>[1]Sheet1!I1845</f>
        <v>32</v>
      </c>
      <c r="J1845" s="3" t="str">
        <f t="shared" si="57"/>
        <v>9310_A1C1.webp</v>
      </c>
      <c r="K1845" s="5">
        <f>Sheet4!E1845</f>
        <v>12</v>
      </c>
      <c r="L1845" s="5"/>
      <c r="M1845" s="4"/>
    </row>
    <row r="1846" spans="1:13" x14ac:dyDescent="0.25">
      <c r="A1846" t="s">
        <v>4316</v>
      </c>
      <c r="B1846" t="s">
        <v>2678</v>
      </c>
      <c r="C1846" s="25">
        <v>9311</v>
      </c>
      <c r="D1846" s="28">
        <v>9314</v>
      </c>
      <c r="E1846" s="2" t="str">
        <f t="shared" si="58"/>
        <v>New</v>
      </c>
      <c r="F1846" s="6" t="s">
        <v>1839</v>
      </c>
      <c r="G1846" s="3">
        <v>24.95</v>
      </c>
      <c r="H1846" s="2" t="s">
        <v>1764</v>
      </c>
      <c r="I1846" s="4">
        <f>[1]Sheet1!I1846</f>
        <v>110</v>
      </c>
      <c r="J1846" s="3" t="str">
        <f t="shared" si="57"/>
        <v>9311_A1C1.webp</v>
      </c>
      <c r="K1846" s="5">
        <f>Sheet4!E1846</f>
        <v>12</v>
      </c>
      <c r="L1846" s="5"/>
      <c r="M1846" s="4"/>
    </row>
    <row r="1847" spans="1:13" x14ac:dyDescent="0.25">
      <c r="A1847" t="s">
        <v>4949</v>
      </c>
      <c r="B1847" t="s">
        <v>4953</v>
      </c>
      <c r="C1847" s="25">
        <v>9313</v>
      </c>
      <c r="D1847" s="28">
        <v>9332</v>
      </c>
      <c r="E1847" s="2" t="str">
        <f t="shared" si="58"/>
        <v>New</v>
      </c>
      <c r="F1847" s="6" t="s">
        <v>1859</v>
      </c>
      <c r="G1847" s="3">
        <v>33.5</v>
      </c>
      <c r="H1847" s="2" t="s">
        <v>1765</v>
      </c>
      <c r="I1847" s="4">
        <f>[1]Sheet1!I1847</f>
        <v>0</v>
      </c>
      <c r="J1847" s="3" t="str">
        <f t="shared" si="57"/>
        <v>9313_A1C1.webp</v>
      </c>
      <c r="K1847" s="5">
        <f>Sheet4!E1847</f>
        <v>12</v>
      </c>
      <c r="L1847" s="5"/>
      <c r="M1847" s="4"/>
    </row>
    <row r="1848" spans="1:13" x14ac:dyDescent="0.25">
      <c r="A1848" t="s">
        <v>4949</v>
      </c>
      <c r="B1848" t="s">
        <v>4953</v>
      </c>
      <c r="C1848" s="25">
        <v>9314</v>
      </c>
      <c r="D1848" s="28">
        <v>9336</v>
      </c>
      <c r="E1848" s="2" t="str">
        <f t="shared" si="58"/>
        <v>New</v>
      </c>
      <c r="F1848" s="6" t="s">
        <v>1859</v>
      </c>
      <c r="G1848" s="3">
        <v>33.5</v>
      </c>
      <c r="H1848" s="2" t="s">
        <v>1766</v>
      </c>
      <c r="I1848" s="4">
        <f>[1]Sheet1!I1848</f>
        <v>37</v>
      </c>
      <c r="J1848" s="3" t="str">
        <f t="shared" si="57"/>
        <v>9314_A1C1.webp</v>
      </c>
      <c r="K1848" s="5">
        <f>Sheet4!E1848</f>
        <v>12</v>
      </c>
      <c r="L1848" s="5"/>
      <c r="M1848" s="4"/>
    </row>
    <row r="1849" spans="1:13" x14ac:dyDescent="0.25">
      <c r="A1849" t="s">
        <v>4949</v>
      </c>
      <c r="B1849" t="s">
        <v>4989</v>
      </c>
      <c r="C1849" s="25">
        <v>9332</v>
      </c>
      <c r="D1849" s="28">
        <v>9337</v>
      </c>
      <c r="E1849" s="2" t="str">
        <f t="shared" si="58"/>
        <v>New</v>
      </c>
      <c r="F1849" s="6" t="s">
        <v>1875</v>
      </c>
      <c r="G1849" s="3">
        <v>37.5</v>
      </c>
      <c r="H1849" s="2" t="s">
        <v>1767</v>
      </c>
      <c r="I1849" s="4">
        <f>[1]Sheet1!I1849</f>
        <v>65</v>
      </c>
      <c r="J1849" s="3" t="str">
        <f t="shared" si="57"/>
        <v>9332_A1C1.webp</v>
      </c>
      <c r="K1849" s="5">
        <f>Sheet4!E1849</f>
        <v>12</v>
      </c>
      <c r="L1849" s="5"/>
      <c r="M1849" s="4"/>
    </row>
    <row r="1850" spans="1:13" x14ac:dyDescent="0.25">
      <c r="A1850" t="s">
        <v>4961</v>
      </c>
      <c r="B1850" t="s">
        <v>4992</v>
      </c>
      <c r="C1850" s="25">
        <v>9336</v>
      </c>
      <c r="D1850" s="28">
        <v>9339</v>
      </c>
      <c r="E1850" s="2" t="str">
        <f t="shared" si="58"/>
        <v>New</v>
      </c>
      <c r="F1850" s="6" t="s">
        <v>1849</v>
      </c>
      <c r="G1850" s="3">
        <v>48.5</v>
      </c>
      <c r="H1850" s="2" t="s">
        <v>1768</v>
      </c>
      <c r="I1850" s="4">
        <f>[1]Sheet1!I1850</f>
        <v>26</v>
      </c>
      <c r="J1850" s="3" t="str">
        <f t="shared" si="57"/>
        <v>9336_A1C1.webp</v>
      </c>
      <c r="K1850" s="5">
        <f>Sheet4!E1850</f>
        <v>12</v>
      </c>
      <c r="L1850" s="5"/>
      <c r="M1850" s="4"/>
    </row>
    <row r="1851" spans="1:13" x14ac:dyDescent="0.25">
      <c r="A1851" t="s">
        <v>4961</v>
      </c>
      <c r="B1851" t="s">
        <v>4992</v>
      </c>
      <c r="C1851" s="25">
        <v>9337</v>
      </c>
      <c r="D1851" s="28">
        <v>9340</v>
      </c>
      <c r="E1851" s="2" t="str">
        <f t="shared" si="58"/>
        <v>New</v>
      </c>
      <c r="F1851" s="6" t="s">
        <v>1849</v>
      </c>
      <c r="G1851" s="3">
        <v>45.95</v>
      </c>
      <c r="H1851" s="2" t="s">
        <v>1769</v>
      </c>
      <c r="I1851" s="4">
        <f>[1]Sheet1!I1851</f>
        <v>745</v>
      </c>
      <c r="J1851" s="3" t="str">
        <f t="shared" si="57"/>
        <v>9337_A1C1.webp</v>
      </c>
      <c r="K1851" s="5">
        <f>Sheet4!E1851</f>
        <v>12</v>
      </c>
      <c r="L1851" s="5"/>
      <c r="M1851" s="4"/>
    </row>
    <row r="1852" spans="1:13" x14ac:dyDescent="0.25">
      <c r="A1852" t="s">
        <v>4961</v>
      </c>
      <c r="B1852" t="s">
        <v>4992</v>
      </c>
      <c r="C1852" s="25">
        <v>9339</v>
      </c>
      <c r="D1852" s="28">
        <v>9344</v>
      </c>
      <c r="E1852" s="2" t="str">
        <f t="shared" si="58"/>
        <v>New</v>
      </c>
      <c r="F1852" s="6" t="s">
        <v>1874</v>
      </c>
      <c r="G1852" s="3">
        <v>40.5</v>
      </c>
      <c r="H1852" s="2" t="s">
        <v>1770</v>
      </c>
      <c r="I1852" s="4">
        <f>[1]Sheet1!I1852</f>
        <v>691</v>
      </c>
      <c r="J1852" s="3" t="str">
        <f t="shared" si="57"/>
        <v>9339_A1C1.webp</v>
      </c>
      <c r="K1852" s="5">
        <f>Sheet4!E1852</f>
        <v>12</v>
      </c>
      <c r="L1852" s="5"/>
      <c r="M1852" s="4"/>
    </row>
    <row r="1853" spans="1:13" x14ac:dyDescent="0.25">
      <c r="A1853" t="s">
        <v>4961</v>
      </c>
      <c r="B1853" t="s">
        <v>5005</v>
      </c>
      <c r="C1853" s="25">
        <v>9340</v>
      </c>
      <c r="D1853" s="28">
        <v>9349</v>
      </c>
      <c r="E1853" s="2" t="str">
        <f t="shared" si="58"/>
        <v>New</v>
      </c>
      <c r="F1853" s="6" t="s">
        <v>1874</v>
      </c>
      <c r="G1853" s="3">
        <v>21.75</v>
      </c>
      <c r="H1853" s="2" t="s">
        <v>1771</v>
      </c>
      <c r="I1853" s="4">
        <f>[1]Sheet1!I1853</f>
        <v>36</v>
      </c>
      <c r="J1853" s="3" t="str">
        <f t="shared" si="57"/>
        <v>9340_A1C1.webp</v>
      </c>
      <c r="K1853" s="5">
        <f>Sheet4!E1853</f>
        <v>20</v>
      </c>
      <c r="L1853" s="5"/>
      <c r="M1853" s="4"/>
    </row>
    <row r="1854" spans="1:13" x14ac:dyDescent="0.25">
      <c r="A1854" t="s">
        <v>4961</v>
      </c>
      <c r="B1854" t="s">
        <v>5005</v>
      </c>
      <c r="C1854" s="25">
        <v>9344</v>
      </c>
      <c r="D1854" s="28">
        <v>9350</v>
      </c>
      <c r="E1854" s="2" t="str">
        <f t="shared" si="58"/>
        <v>New</v>
      </c>
      <c r="F1854" s="6" t="s">
        <v>1874</v>
      </c>
      <c r="G1854" s="3">
        <v>21.75</v>
      </c>
      <c r="H1854" s="2" t="s">
        <v>1772</v>
      </c>
      <c r="I1854" s="4">
        <f>[1]Sheet1!I1854</f>
        <v>72</v>
      </c>
      <c r="J1854" s="3" t="str">
        <f t="shared" si="57"/>
        <v>9344_A1C1.webp</v>
      </c>
      <c r="K1854" s="5">
        <f>Sheet4!E1854</f>
        <v>24</v>
      </c>
      <c r="L1854" s="5"/>
      <c r="M1854" s="4"/>
    </row>
    <row r="1855" spans="1:13" x14ac:dyDescent="0.25">
      <c r="A1855" t="s">
        <v>4949</v>
      </c>
      <c r="B1855" t="s">
        <v>5185</v>
      </c>
      <c r="C1855" s="25">
        <v>9349</v>
      </c>
      <c r="D1855" s="28">
        <v>9357</v>
      </c>
      <c r="E1855" s="2" t="str">
        <f t="shared" si="58"/>
        <v>New</v>
      </c>
      <c r="F1855" s="6" t="s">
        <v>1849</v>
      </c>
      <c r="G1855" s="3">
        <v>65.95</v>
      </c>
      <c r="H1855" s="2" t="s">
        <v>1773</v>
      </c>
      <c r="I1855" s="4">
        <f>[1]Sheet1!I1855</f>
        <v>102</v>
      </c>
      <c r="J1855" s="3" t="str">
        <f t="shared" si="57"/>
        <v>9349_A1C1.webp</v>
      </c>
      <c r="K1855" s="5">
        <f>Sheet4!E1855</f>
        <v>12</v>
      </c>
      <c r="L1855" s="5"/>
      <c r="M1855" s="4"/>
    </row>
    <row r="1856" spans="1:13" x14ac:dyDescent="0.25">
      <c r="A1856" t="s">
        <v>4961</v>
      </c>
      <c r="B1856" t="s">
        <v>5010</v>
      </c>
      <c r="C1856" s="25">
        <v>9350</v>
      </c>
      <c r="D1856" s="28">
        <v>9359</v>
      </c>
      <c r="E1856" s="2" t="str">
        <f t="shared" si="58"/>
        <v>New</v>
      </c>
      <c r="F1856" s="6" t="s">
        <v>1882</v>
      </c>
      <c r="G1856" s="3">
        <v>43.5</v>
      </c>
      <c r="H1856" s="2" t="s">
        <v>1774</v>
      </c>
      <c r="I1856" s="4">
        <f>[1]Sheet1!I1856</f>
        <v>60</v>
      </c>
      <c r="J1856" s="3" t="str">
        <f t="shared" si="57"/>
        <v>9350_A1C1.webp</v>
      </c>
      <c r="K1856" s="5">
        <f>Sheet4!E1856</f>
        <v>12</v>
      </c>
      <c r="L1856" s="5"/>
      <c r="M1856" s="4"/>
    </row>
    <row r="1857" spans="1:13" x14ac:dyDescent="0.25">
      <c r="A1857" t="s">
        <v>4949</v>
      </c>
      <c r="B1857" t="s">
        <v>5018</v>
      </c>
      <c r="C1857" s="25">
        <v>9357</v>
      </c>
      <c r="D1857" s="28">
        <v>9360</v>
      </c>
      <c r="E1857" s="2" t="str">
        <f t="shared" si="58"/>
        <v>New</v>
      </c>
      <c r="F1857" s="6" t="s">
        <v>1915</v>
      </c>
      <c r="G1857" s="3">
        <v>38.950000000000003</v>
      </c>
      <c r="H1857" s="2" t="s">
        <v>1775</v>
      </c>
      <c r="I1857" s="4">
        <f>[1]Sheet1!I1857</f>
        <v>58</v>
      </c>
      <c r="J1857" s="3" t="str">
        <f t="shared" si="57"/>
        <v>9357_A1C1.webp</v>
      </c>
      <c r="K1857" s="5">
        <f>Sheet4!E1857</f>
        <v>24</v>
      </c>
      <c r="L1857" s="5"/>
      <c r="M1857" s="4"/>
    </row>
    <row r="1858" spans="1:13" x14ac:dyDescent="0.25">
      <c r="A1858" t="s">
        <v>4949</v>
      </c>
      <c r="B1858" t="s">
        <v>5018</v>
      </c>
      <c r="C1858" s="25">
        <v>9359</v>
      </c>
      <c r="D1858" s="28">
        <v>9361</v>
      </c>
      <c r="E1858" s="2" t="str">
        <f t="shared" si="58"/>
        <v>New</v>
      </c>
      <c r="F1858" s="6" t="s">
        <v>1915</v>
      </c>
      <c r="G1858" s="3">
        <v>34.950000000000003</v>
      </c>
      <c r="H1858" s="2" t="s">
        <v>1776</v>
      </c>
      <c r="I1858" s="4">
        <f>[1]Sheet1!I1858</f>
        <v>9</v>
      </c>
      <c r="J1858" s="3" t="str">
        <f t="shared" ref="J1858:J1921" si="59">C1858 &amp; "_A1C1.webp"</f>
        <v>9359_A1C1.webp</v>
      </c>
      <c r="K1858" s="5">
        <f>Sheet4!E1858</f>
        <v>24</v>
      </c>
      <c r="L1858" s="5"/>
      <c r="M1858" s="4"/>
    </row>
    <row r="1859" spans="1:13" x14ac:dyDescent="0.25">
      <c r="A1859" t="s">
        <v>4961</v>
      </c>
      <c r="B1859" t="s">
        <v>5010</v>
      </c>
      <c r="C1859" s="25">
        <v>9360</v>
      </c>
      <c r="D1859" s="28">
        <v>9362</v>
      </c>
      <c r="E1859" s="2" t="str">
        <f t="shared" si="58"/>
        <v>New</v>
      </c>
      <c r="F1859" s="6" t="s">
        <v>1849</v>
      </c>
      <c r="G1859" s="3">
        <v>46.5</v>
      </c>
      <c r="H1859" s="2" t="s">
        <v>1777</v>
      </c>
      <c r="I1859" s="4">
        <f>[1]Sheet1!I1859</f>
        <v>0</v>
      </c>
      <c r="J1859" s="3" t="str">
        <f t="shared" si="59"/>
        <v>9360_A1C1.webp</v>
      </c>
      <c r="K1859" s="5">
        <f>Sheet4!E1859</f>
        <v>6</v>
      </c>
      <c r="L1859" s="5"/>
      <c r="M1859" s="4"/>
    </row>
    <row r="1860" spans="1:13" x14ac:dyDescent="0.25">
      <c r="A1860" t="s">
        <v>4961</v>
      </c>
      <c r="B1860" t="s">
        <v>5010</v>
      </c>
      <c r="C1860" s="25">
        <v>9361</v>
      </c>
      <c r="D1860" s="28">
        <v>9363</v>
      </c>
      <c r="E1860" s="2" t="str">
        <f t="shared" si="58"/>
        <v>New</v>
      </c>
      <c r="F1860" s="6" t="s">
        <v>1849</v>
      </c>
      <c r="G1860" s="3">
        <v>46.5</v>
      </c>
      <c r="H1860" s="2" t="s">
        <v>1778</v>
      </c>
      <c r="I1860" s="4">
        <f>[1]Sheet1!I1860</f>
        <v>0</v>
      </c>
      <c r="J1860" s="3" t="str">
        <f t="shared" si="59"/>
        <v>9361_A1C1.webp</v>
      </c>
      <c r="K1860" s="5">
        <f>Sheet4!E1860</f>
        <v>6</v>
      </c>
      <c r="L1860" s="5"/>
      <c r="M1860" s="4"/>
    </row>
    <row r="1861" spans="1:13" x14ac:dyDescent="0.25">
      <c r="A1861" t="s">
        <v>4949</v>
      </c>
      <c r="B1861" t="s">
        <v>4953</v>
      </c>
      <c r="C1861" s="25">
        <v>9371</v>
      </c>
      <c r="D1861" s="28">
        <v>9371</v>
      </c>
      <c r="E1861" s="2" t="str">
        <f t="shared" si="58"/>
        <v>Same</v>
      </c>
      <c r="F1861" s="6" t="s">
        <v>1868</v>
      </c>
      <c r="G1861" s="3">
        <v>44.95</v>
      </c>
      <c r="H1861" s="2" t="s">
        <v>1779</v>
      </c>
      <c r="I1861" s="4">
        <f>[1]Sheet1!I1861</f>
        <v>40</v>
      </c>
      <c r="J1861" s="3" t="str">
        <f t="shared" si="59"/>
        <v>9371_A1C1.webp</v>
      </c>
      <c r="K1861" s="5">
        <f>Sheet4!E1861</f>
        <v>12</v>
      </c>
      <c r="L1861" s="5"/>
      <c r="M1861" s="4"/>
    </row>
    <row r="1862" spans="1:13" x14ac:dyDescent="0.25">
      <c r="A1862" t="s">
        <v>4949</v>
      </c>
      <c r="B1862" t="s">
        <v>4953</v>
      </c>
      <c r="C1862" s="25">
        <v>9373</v>
      </c>
      <c r="D1862" s="28">
        <v>9373</v>
      </c>
      <c r="E1862" s="2" t="str">
        <f t="shared" si="58"/>
        <v>Same</v>
      </c>
      <c r="F1862" s="6" t="s">
        <v>1868</v>
      </c>
      <c r="G1862" s="3">
        <v>44.95</v>
      </c>
      <c r="H1862" s="2" t="s">
        <v>1780</v>
      </c>
      <c r="I1862" s="4">
        <f>[1]Sheet1!I1862</f>
        <v>0</v>
      </c>
      <c r="J1862" s="3" t="str">
        <f t="shared" si="59"/>
        <v>9373_A1C1.webp</v>
      </c>
      <c r="K1862" s="5">
        <f>Sheet4!E1862</f>
        <v>12</v>
      </c>
      <c r="L1862" s="5"/>
      <c r="M1862" s="4"/>
    </row>
    <row r="1863" spans="1:13" x14ac:dyDescent="0.25">
      <c r="A1863" t="s">
        <v>4949</v>
      </c>
      <c r="B1863" t="s">
        <v>4989</v>
      </c>
      <c r="C1863" s="25">
        <v>9392</v>
      </c>
      <c r="D1863" s="28">
        <v>9392</v>
      </c>
      <c r="E1863" s="2" t="str">
        <f t="shared" si="58"/>
        <v>Same</v>
      </c>
      <c r="F1863" s="6" t="s">
        <v>1910</v>
      </c>
      <c r="G1863" s="3">
        <v>71.95</v>
      </c>
      <c r="H1863" s="2" t="s">
        <v>1781</v>
      </c>
      <c r="I1863" s="4">
        <f>[1]Sheet1!I1863</f>
        <v>262</v>
      </c>
      <c r="J1863" s="3" t="str">
        <f t="shared" si="59"/>
        <v>9392_A1C1.webp</v>
      </c>
      <c r="K1863" s="5">
        <f>Sheet4!E1863</f>
        <v>10</v>
      </c>
      <c r="L1863" s="5"/>
      <c r="M1863" s="4"/>
    </row>
    <row r="1864" spans="1:13" x14ac:dyDescent="0.25">
      <c r="A1864" t="s">
        <v>4949</v>
      </c>
      <c r="B1864" t="s">
        <v>4989</v>
      </c>
      <c r="C1864" s="25">
        <v>9393</v>
      </c>
      <c r="D1864" s="28">
        <v>9393</v>
      </c>
      <c r="E1864" s="2" t="str">
        <f t="shared" si="58"/>
        <v>Same</v>
      </c>
      <c r="F1864" s="6" t="s">
        <v>1849</v>
      </c>
      <c r="G1864" s="3">
        <v>55.5</v>
      </c>
      <c r="H1864" s="2" t="s">
        <v>1782</v>
      </c>
      <c r="I1864" s="4">
        <f>[1]Sheet1!I1864</f>
        <v>12</v>
      </c>
      <c r="J1864" s="3" t="str">
        <f t="shared" si="59"/>
        <v>9393_A1C1.webp</v>
      </c>
      <c r="K1864" s="5">
        <f>Sheet4!E1864</f>
        <v>20</v>
      </c>
      <c r="L1864" s="5"/>
      <c r="M1864" s="4"/>
    </row>
    <row r="1865" spans="1:13" x14ac:dyDescent="0.25">
      <c r="A1865" t="s">
        <v>4949</v>
      </c>
      <c r="B1865" t="s">
        <v>5203</v>
      </c>
      <c r="C1865" s="25">
        <v>9394</v>
      </c>
      <c r="D1865" s="28">
        <v>9394</v>
      </c>
      <c r="E1865" s="2" t="str">
        <f t="shared" ref="E1865:E1929" si="60">IF(C1865=D1865, "Same","New")</f>
        <v>Same</v>
      </c>
      <c r="F1865" s="6" t="s">
        <v>1855</v>
      </c>
      <c r="G1865" s="3">
        <v>39.950000000000003</v>
      </c>
      <c r="H1865" s="2" t="s">
        <v>1783</v>
      </c>
      <c r="I1865" s="4">
        <f>[1]Sheet1!I1865</f>
        <v>9192</v>
      </c>
      <c r="J1865" s="3" t="str">
        <f t="shared" si="59"/>
        <v>9394_A1C1.webp</v>
      </c>
      <c r="K1865" s="5">
        <f>Sheet4!E1865</f>
        <v>12</v>
      </c>
      <c r="L1865" s="5"/>
      <c r="M1865" s="4"/>
    </row>
    <row r="1866" spans="1:13" x14ac:dyDescent="0.25">
      <c r="A1866" t="s">
        <v>4961</v>
      </c>
      <c r="B1866" t="s">
        <v>5020</v>
      </c>
      <c r="C1866" s="25">
        <v>9398</v>
      </c>
      <c r="D1866" s="28">
        <v>9398</v>
      </c>
      <c r="E1866" s="2" t="str">
        <f t="shared" si="60"/>
        <v>Same</v>
      </c>
      <c r="F1866" s="6" t="s">
        <v>1882</v>
      </c>
      <c r="G1866" s="3">
        <v>27.95</v>
      </c>
      <c r="H1866" s="2" t="s">
        <v>1784</v>
      </c>
      <c r="I1866" s="4">
        <f>[1]Sheet1!I1866</f>
        <v>315</v>
      </c>
      <c r="J1866" s="3" t="str">
        <f t="shared" si="59"/>
        <v>9398_A1C1.webp</v>
      </c>
      <c r="K1866" s="5">
        <f>Sheet4!E1866</f>
        <v>12</v>
      </c>
      <c r="L1866" s="5"/>
      <c r="M1866" s="4"/>
    </row>
    <row r="1867" spans="1:13" x14ac:dyDescent="0.25">
      <c r="A1867" t="s">
        <v>4316</v>
      </c>
      <c r="B1867" t="s">
        <v>2678</v>
      </c>
      <c r="C1867" s="25">
        <v>9399</v>
      </c>
      <c r="D1867" s="28">
        <v>9399</v>
      </c>
      <c r="E1867" s="2" t="str">
        <f t="shared" si="60"/>
        <v>Same</v>
      </c>
      <c r="F1867" s="6" t="s">
        <v>1839</v>
      </c>
      <c r="G1867" s="3">
        <v>24.95</v>
      </c>
      <c r="H1867" s="2" t="s">
        <v>1785</v>
      </c>
      <c r="I1867" s="4">
        <f>[1]Sheet1!I1867</f>
        <v>423</v>
      </c>
      <c r="J1867" s="3" t="str">
        <f t="shared" si="59"/>
        <v>9399_A1C1.webp</v>
      </c>
      <c r="K1867" s="5">
        <f>Sheet4!E1867</f>
        <v>24</v>
      </c>
      <c r="L1867" s="5"/>
      <c r="M1867" s="4"/>
    </row>
    <row r="1868" spans="1:13" x14ac:dyDescent="0.25">
      <c r="A1868" t="s">
        <v>5280</v>
      </c>
      <c r="B1868" t="s">
        <v>4989</v>
      </c>
      <c r="C1868" s="25">
        <v>9411</v>
      </c>
      <c r="D1868" s="28">
        <v>9411</v>
      </c>
      <c r="E1868" s="2" t="str">
        <f t="shared" si="60"/>
        <v>Same</v>
      </c>
      <c r="F1868" s="6" t="s">
        <v>2074</v>
      </c>
      <c r="G1868" s="3">
        <v>38.950000000000003</v>
      </c>
      <c r="H1868" s="2" t="s">
        <v>1786</v>
      </c>
      <c r="I1868" s="4">
        <f>[1]Sheet1!I1868</f>
        <v>330</v>
      </c>
      <c r="J1868" s="3" t="str">
        <f t="shared" si="59"/>
        <v>9411_A1C1.webp</v>
      </c>
      <c r="K1868" s="5">
        <f>Sheet4!E1868</f>
        <v>6</v>
      </c>
      <c r="L1868" s="5" t="s">
        <v>5278</v>
      </c>
      <c r="M1868" s="4"/>
    </row>
    <row r="1869" spans="1:13" x14ac:dyDescent="0.25">
      <c r="A1869" t="s">
        <v>4961</v>
      </c>
      <c r="B1869" t="s">
        <v>5208</v>
      </c>
      <c r="C1869" s="25">
        <v>9425</v>
      </c>
      <c r="D1869" s="28">
        <v>9425</v>
      </c>
      <c r="E1869" s="2" t="str">
        <f t="shared" si="60"/>
        <v>Same</v>
      </c>
      <c r="F1869" s="6" t="s">
        <v>1849</v>
      </c>
      <c r="G1869" s="3">
        <v>55.5</v>
      </c>
      <c r="H1869" s="2" t="s">
        <v>1787</v>
      </c>
      <c r="I1869" s="4">
        <f>[1]Sheet1!I1869</f>
        <v>252</v>
      </c>
      <c r="J1869" s="3" t="str">
        <f t="shared" si="59"/>
        <v>9425_A1C1.webp</v>
      </c>
      <c r="K1869" s="5">
        <f>Sheet4!E1869</f>
        <v>20</v>
      </c>
      <c r="L1869" s="5"/>
      <c r="M1869" s="4"/>
    </row>
    <row r="1870" spans="1:13" x14ac:dyDescent="0.25">
      <c r="A1870" t="s">
        <v>4969</v>
      </c>
      <c r="B1870" t="s">
        <v>4975</v>
      </c>
      <c r="C1870" s="25">
        <v>9430</v>
      </c>
      <c r="D1870" s="28">
        <v>9430</v>
      </c>
      <c r="E1870" s="2" t="str">
        <f t="shared" si="60"/>
        <v>Same</v>
      </c>
      <c r="F1870" s="6" t="s">
        <v>2087</v>
      </c>
      <c r="G1870" s="3">
        <v>30.5</v>
      </c>
      <c r="H1870" s="2" t="s">
        <v>1788</v>
      </c>
      <c r="I1870" s="4">
        <f>[1]Sheet1!I1870</f>
        <v>78</v>
      </c>
      <c r="J1870" s="3" t="str">
        <f t="shared" si="59"/>
        <v>9430_A1C1.webp</v>
      </c>
      <c r="K1870" s="5">
        <f>Sheet4!E1870</f>
        <v>16</v>
      </c>
      <c r="L1870" s="5"/>
      <c r="M1870" s="4"/>
    </row>
    <row r="1871" spans="1:13" x14ac:dyDescent="0.25">
      <c r="A1871" t="s">
        <v>4949</v>
      </c>
      <c r="B1871" t="s">
        <v>5110</v>
      </c>
      <c r="C1871" s="25">
        <v>9444</v>
      </c>
      <c r="D1871" s="28">
        <v>9444</v>
      </c>
      <c r="E1871" s="2" t="str">
        <f t="shared" si="60"/>
        <v>Same</v>
      </c>
      <c r="F1871" s="6" t="s">
        <v>1876</v>
      </c>
      <c r="G1871" s="3">
        <v>50.5</v>
      </c>
      <c r="H1871" s="2" t="s">
        <v>1789</v>
      </c>
      <c r="I1871" s="4">
        <f>[1]Sheet1!I1871</f>
        <v>386</v>
      </c>
      <c r="J1871" s="3" t="str">
        <f t="shared" si="59"/>
        <v>9444_A1C1.webp</v>
      </c>
      <c r="K1871" s="5">
        <f>Sheet4!E1871</f>
        <v>12</v>
      </c>
      <c r="L1871" s="5"/>
      <c r="M1871" s="4"/>
    </row>
    <row r="1872" spans="1:13" x14ac:dyDescent="0.25">
      <c r="A1872" t="s">
        <v>4961</v>
      </c>
      <c r="B1872" t="s">
        <v>5153</v>
      </c>
      <c r="C1872" s="25">
        <v>9450</v>
      </c>
      <c r="D1872" s="28">
        <v>9450</v>
      </c>
      <c r="E1872" s="2" t="str">
        <f t="shared" si="60"/>
        <v>Same</v>
      </c>
      <c r="F1872" s="6" t="s">
        <v>1849</v>
      </c>
      <c r="G1872" s="3">
        <v>37.950000000000003</v>
      </c>
      <c r="H1872" s="2" t="s">
        <v>1790</v>
      </c>
      <c r="I1872" s="4">
        <f>[1]Sheet1!I1872</f>
        <v>115</v>
      </c>
      <c r="J1872" s="3" t="str">
        <f t="shared" si="59"/>
        <v>9450_A1C1.webp</v>
      </c>
      <c r="K1872" s="5">
        <f>Sheet4!E1872</f>
        <v>12</v>
      </c>
      <c r="L1872" s="5"/>
      <c r="M1872" s="4"/>
    </row>
    <row r="1873" spans="1:13" x14ac:dyDescent="0.25">
      <c r="A1873" t="s">
        <v>4961</v>
      </c>
      <c r="B1873" t="s">
        <v>5153</v>
      </c>
      <c r="C1873" s="25">
        <v>9455</v>
      </c>
      <c r="D1873" s="28">
        <v>9455</v>
      </c>
      <c r="E1873" s="2" t="str">
        <f t="shared" si="60"/>
        <v>Same</v>
      </c>
      <c r="F1873" s="6" t="s">
        <v>1849</v>
      </c>
      <c r="G1873" s="3">
        <v>37.950000000000003</v>
      </c>
      <c r="H1873" s="2" t="s">
        <v>1791</v>
      </c>
      <c r="I1873" s="4">
        <f>[1]Sheet1!I1873</f>
        <v>124</v>
      </c>
      <c r="J1873" s="3" t="str">
        <f t="shared" si="59"/>
        <v>9455_A1C1.webp</v>
      </c>
      <c r="K1873" s="5">
        <f>Sheet4!E1873</f>
        <v>12</v>
      </c>
      <c r="L1873" s="5"/>
      <c r="M1873" s="4"/>
    </row>
    <row r="1874" spans="1:13" x14ac:dyDescent="0.25">
      <c r="A1874" t="s">
        <v>4949</v>
      </c>
      <c r="B1874" t="s">
        <v>5386</v>
      </c>
      <c r="C1874" s="2">
        <v>9456</v>
      </c>
      <c r="D1874" s="28">
        <v>9456</v>
      </c>
      <c r="E1874" s="2" t="str">
        <f t="shared" si="60"/>
        <v>Same</v>
      </c>
      <c r="F1874" s="2" t="s">
        <v>1927</v>
      </c>
      <c r="G1874" s="2"/>
      <c r="H1874" s="2" t="s">
        <v>5383</v>
      </c>
      <c r="I1874" s="4">
        <f>[1]Sheet1!I1874</f>
        <v>259</v>
      </c>
      <c r="J1874" s="3" t="str">
        <f t="shared" si="59"/>
        <v>9456_A1C1.webp</v>
      </c>
      <c r="K1874" s="5">
        <f>Sheet4!E1874</f>
        <v>6</v>
      </c>
      <c r="L1874" s="5" t="s">
        <v>5278</v>
      </c>
      <c r="M1874" s="4"/>
    </row>
    <row r="1875" spans="1:13" x14ac:dyDescent="0.25">
      <c r="A1875" t="s">
        <v>4961</v>
      </c>
      <c r="B1875" t="s">
        <v>5153</v>
      </c>
      <c r="C1875" s="25">
        <v>9458</v>
      </c>
      <c r="D1875" s="28">
        <v>9458</v>
      </c>
      <c r="E1875" s="2" t="str">
        <f t="shared" si="60"/>
        <v>Same</v>
      </c>
      <c r="F1875" s="6" t="s">
        <v>1849</v>
      </c>
      <c r="G1875" s="3">
        <v>33.700000000000003</v>
      </c>
      <c r="H1875" s="2" t="s">
        <v>1792</v>
      </c>
      <c r="I1875" s="4">
        <f>[1]Sheet1!I1875</f>
        <v>877</v>
      </c>
      <c r="J1875" s="3" t="str">
        <f t="shared" si="59"/>
        <v>9458_A1C1.webp</v>
      </c>
      <c r="K1875" s="5">
        <f>Sheet4!E1875</f>
        <v>12</v>
      </c>
      <c r="L1875" s="5"/>
      <c r="M1875" s="4"/>
    </row>
    <row r="1876" spans="1:13" x14ac:dyDescent="0.25">
      <c r="A1876" t="s">
        <v>4949</v>
      </c>
      <c r="B1876" t="s">
        <v>5386</v>
      </c>
      <c r="C1876" s="2">
        <v>9464</v>
      </c>
      <c r="D1876" s="28">
        <v>9464</v>
      </c>
      <c r="E1876" s="2" t="str">
        <f t="shared" si="60"/>
        <v>Same</v>
      </c>
      <c r="F1876" s="2" t="s">
        <v>5384</v>
      </c>
      <c r="G1876" s="2"/>
      <c r="H1876" s="2" t="s">
        <v>5385</v>
      </c>
      <c r="I1876" s="4">
        <f>[1]Sheet1!I1876</f>
        <v>379</v>
      </c>
      <c r="J1876" s="3" t="str">
        <f t="shared" si="59"/>
        <v>9464_A1C1.webp</v>
      </c>
      <c r="K1876" s="5">
        <f>Sheet4!E1876</f>
        <v>6</v>
      </c>
      <c r="L1876" s="5" t="s">
        <v>5278</v>
      </c>
      <c r="M1876" s="4"/>
    </row>
    <row r="1877" spans="1:13" x14ac:dyDescent="0.25">
      <c r="A1877" t="s">
        <v>4949</v>
      </c>
      <c r="B1877" t="s">
        <v>5386</v>
      </c>
      <c r="C1877" s="2">
        <v>9465</v>
      </c>
      <c r="D1877" s="28">
        <v>9465</v>
      </c>
      <c r="E1877" s="2" t="str">
        <f t="shared" si="60"/>
        <v>Same</v>
      </c>
      <c r="F1877" s="2" t="s">
        <v>5384</v>
      </c>
      <c r="G1877" s="2"/>
      <c r="H1877" s="2" t="s">
        <v>5401</v>
      </c>
      <c r="I1877" s="4">
        <f>[1]Sheet1!I1877</f>
        <v>151</v>
      </c>
      <c r="J1877" s="3" t="str">
        <f t="shared" si="59"/>
        <v>9465_A1C1.webp</v>
      </c>
      <c r="K1877" s="5">
        <f>Sheet4!E1877</f>
        <v>6</v>
      </c>
      <c r="L1877" s="5" t="s">
        <v>5278</v>
      </c>
      <c r="M1877" s="4"/>
    </row>
    <row r="1878" spans="1:13" x14ac:dyDescent="0.25">
      <c r="A1878" t="s">
        <v>4949</v>
      </c>
      <c r="B1878" t="s">
        <v>5014</v>
      </c>
      <c r="C1878" s="25">
        <v>9466</v>
      </c>
      <c r="D1878" s="28">
        <v>9466</v>
      </c>
      <c r="E1878" s="2" t="str">
        <f t="shared" si="60"/>
        <v>Same</v>
      </c>
      <c r="F1878" s="6" t="s">
        <v>1874</v>
      </c>
      <c r="G1878" s="3">
        <v>49.95</v>
      </c>
      <c r="H1878" s="2" t="s">
        <v>1793</v>
      </c>
      <c r="I1878" s="4">
        <f>[1]Sheet1!I1878</f>
        <v>49</v>
      </c>
      <c r="J1878" s="3" t="str">
        <f t="shared" si="59"/>
        <v>9466_A1C1.webp</v>
      </c>
      <c r="K1878" s="5">
        <f>Sheet4!E1878</f>
        <v>12</v>
      </c>
      <c r="L1878" s="5"/>
      <c r="M1878" s="4"/>
    </row>
    <row r="1879" spans="1:13" x14ac:dyDescent="0.25">
      <c r="A1879" t="s">
        <v>4949</v>
      </c>
      <c r="B1879" t="s">
        <v>4979</v>
      </c>
      <c r="C1879" s="25">
        <v>9477</v>
      </c>
      <c r="D1879" s="28">
        <v>9477</v>
      </c>
      <c r="E1879" s="2" t="str">
        <f t="shared" si="60"/>
        <v>Same</v>
      </c>
      <c r="F1879" s="6" t="s">
        <v>1849</v>
      </c>
      <c r="G1879" s="3">
        <v>62.75</v>
      </c>
      <c r="H1879" s="2" t="s">
        <v>1794</v>
      </c>
      <c r="I1879" s="4">
        <f>[1]Sheet1!I1879</f>
        <v>53</v>
      </c>
      <c r="J1879" s="3" t="str">
        <f t="shared" si="59"/>
        <v>9477_A1C1.webp</v>
      </c>
      <c r="K1879" s="5">
        <f>Sheet4!E1879</f>
        <v>13</v>
      </c>
      <c r="L1879" s="5"/>
      <c r="M1879" s="4"/>
    </row>
    <row r="1880" spans="1:13" x14ac:dyDescent="0.25">
      <c r="A1880" t="s">
        <v>4949</v>
      </c>
      <c r="B1880" t="s">
        <v>5014</v>
      </c>
      <c r="C1880" s="25">
        <v>9478</v>
      </c>
      <c r="D1880" s="28">
        <v>9478</v>
      </c>
      <c r="E1880" s="2" t="str">
        <f t="shared" si="60"/>
        <v>Same</v>
      </c>
      <c r="F1880" s="6" t="s">
        <v>1849</v>
      </c>
      <c r="G1880" s="3">
        <v>62.75</v>
      </c>
      <c r="H1880" s="2" t="s">
        <v>1795</v>
      </c>
      <c r="I1880" s="4">
        <f>[1]Sheet1!I1880</f>
        <v>43</v>
      </c>
      <c r="J1880" s="3" t="str">
        <f t="shared" si="59"/>
        <v>9478_A1C1.webp</v>
      </c>
      <c r="K1880" s="5">
        <f>Sheet4!E1880</f>
        <v>13</v>
      </c>
      <c r="L1880" s="5"/>
      <c r="M1880" s="4"/>
    </row>
    <row r="1881" spans="1:13" x14ac:dyDescent="0.25">
      <c r="A1881" t="s">
        <v>4949</v>
      </c>
      <c r="B1881" t="s">
        <v>5230</v>
      </c>
      <c r="C1881" s="25">
        <v>9491</v>
      </c>
      <c r="D1881" s="28">
        <v>9491</v>
      </c>
      <c r="E1881" s="2" t="str">
        <f t="shared" si="60"/>
        <v>Same</v>
      </c>
      <c r="F1881" s="6" t="s">
        <v>2088</v>
      </c>
      <c r="G1881" s="3">
        <v>50.5</v>
      </c>
      <c r="H1881" s="2" t="s">
        <v>1796</v>
      </c>
      <c r="I1881" s="4">
        <f>[1]Sheet1!I1881</f>
        <v>35</v>
      </c>
      <c r="J1881" s="3" t="str">
        <f t="shared" si="59"/>
        <v>9491_A1C1.webp</v>
      </c>
      <c r="K1881" s="5">
        <f>Sheet4!E1881</f>
        <v>12</v>
      </c>
      <c r="L1881" s="5"/>
      <c r="M1881" s="4"/>
    </row>
    <row r="1882" spans="1:13" x14ac:dyDescent="0.25">
      <c r="A1882" t="s">
        <v>4949</v>
      </c>
      <c r="B1882" t="s">
        <v>5230</v>
      </c>
      <c r="C1882" s="25">
        <v>9492</v>
      </c>
      <c r="D1882" s="28">
        <v>9492</v>
      </c>
      <c r="E1882" s="2" t="str">
        <f t="shared" si="60"/>
        <v>Same</v>
      </c>
      <c r="F1882" s="6" t="s">
        <v>2022</v>
      </c>
      <c r="G1882" s="3">
        <v>50.5</v>
      </c>
      <c r="H1882" s="2" t="s">
        <v>1797</v>
      </c>
      <c r="I1882" s="4">
        <f>[1]Sheet1!I1882</f>
        <v>1224</v>
      </c>
      <c r="J1882" s="3" t="str">
        <f t="shared" si="59"/>
        <v>9492_A1C1.webp</v>
      </c>
      <c r="K1882" s="5">
        <f>Sheet4!E1882</f>
        <v>12</v>
      </c>
      <c r="L1882" s="5"/>
      <c r="M1882" s="4"/>
    </row>
    <row r="1883" spans="1:13" x14ac:dyDescent="0.25">
      <c r="A1883" t="s">
        <v>4949</v>
      </c>
      <c r="B1883" t="s">
        <v>5230</v>
      </c>
      <c r="C1883" s="25">
        <v>9493</v>
      </c>
      <c r="D1883" s="28">
        <v>9493</v>
      </c>
      <c r="E1883" s="2" t="str">
        <f t="shared" si="60"/>
        <v>Same</v>
      </c>
      <c r="F1883" s="6" t="s">
        <v>2022</v>
      </c>
      <c r="G1883" s="3">
        <v>50.5</v>
      </c>
      <c r="H1883" s="2" t="s">
        <v>1798</v>
      </c>
      <c r="I1883" s="4">
        <f>[1]Sheet1!I1883</f>
        <v>374</v>
      </c>
      <c r="J1883" s="3" t="str">
        <f t="shared" si="59"/>
        <v>9493_A1C1.webp</v>
      </c>
      <c r="K1883" s="5">
        <f>Sheet4!E1883</f>
        <v>12</v>
      </c>
      <c r="L1883" s="5"/>
      <c r="M1883" s="4"/>
    </row>
    <row r="1884" spans="1:13" x14ac:dyDescent="0.25">
      <c r="A1884" t="s">
        <v>4961</v>
      </c>
      <c r="B1884" t="s">
        <v>5153</v>
      </c>
      <c r="C1884" s="25">
        <v>9494</v>
      </c>
      <c r="D1884" s="28">
        <v>9494</v>
      </c>
      <c r="E1884" s="2" t="str">
        <f t="shared" si="60"/>
        <v>Same</v>
      </c>
      <c r="F1884" s="6" t="s">
        <v>1849</v>
      </c>
      <c r="G1884" s="3">
        <v>47.95</v>
      </c>
      <c r="H1884" s="2" t="s">
        <v>1799</v>
      </c>
      <c r="I1884" s="4">
        <f>[1]Sheet1!I1884</f>
        <v>0</v>
      </c>
      <c r="J1884" s="3" t="str">
        <f t="shared" si="59"/>
        <v>9494_A1C1.webp</v>
      </c>
      <c r="K1884" s="5">
        <f>Sheet4!E1884</f>
        <v>10</v>
      </c>
      <c r="L1884" s="5"/>
      <c r="M1884" s="4"/>
    </row>
    <row r="1885" spans="1:13" x14ac:dyDescent="0.25">
      <c r="A1885" t="s">
        <v>4961</v>
      </c>
      <c r="B1885" t="s">
        <v>5238</v>
      </c>
      <c r="C1885" s="25">
        <v>9501</v>
      </c>
      <c r="D1885" s="28">
        <v>9501</v>
      </c>
      <c r="E1885" s="2" t="str">
        <f t="shared" si="60"/>
        <v>Same</v>
      </c>
      <c r="F1885" s="6" t="s">
        <v>1849</v>
      </c>
      <c r="G1885" s="3">
        <v>45.95</v>
      </c>
      <c r="H1885" s="2" t="s">
        <v>1800</v>
      </c>
      <c r="I1885" s="4">
        <f>[1]Sheet1!I1885</f>
        <v>3</v>
      </c>
      <c r="J1885" s="3" t="str">
        <f t="shared" si="59"/>
        <v>9501_A1C1.webp</v>
      </c>
      <c r="K1885" s="5">
        <f>Sheet4!E1885</f>
        <v>15</v>
      </c>
      <c r="L1885" s="5"/>
      <c r="M1885" s="4"/>
    </row>
    <row r="1886" spans="1:13" x14ac:dyDescent="0.25">
      <c r="A1886" t="s">
        <v>4949</v>
      </c>
      <c r="B1886" t="s">
        <v>5203</v>
      </c>
      <c r="C1886" s="25">
        <v>9505</v>
      </c>
      <c r="D1886" s="28">
        <v>9505</v>
      </c>
      <c r="E1886" s="2" t="str">
        <f t="shared" si="60"/>
        <v>Same</v>
      </c>
      <c r="F1886" s="6" t="s">
        <v>1855</v>
      </c>
      <c r="G1886" s="3">
        <v>33.5</v>
      </c>
      <c r="H1886" s="2" t="s">
        <v>1801</v>
      </c>
      <c r="I1886" s="4">
        <f>[1]Sheet1!I1886</f>
        <v>141</v>
      </c>
      <c r="J1886" s="3" t="str">
        <f t="shared" si="59"/>
        <v>9505_A1C1.webp</v>
      </c>
      <c r="K1886" s="5">
        <f>Sheet4!E1886</f>
        <v>12</v>
      </c>
      <c r="L1886" s="5" t="s">
        <v>5278</v>
      </c>
      <c r="M1886" s="4"/>
    </row>
    <row r="1887" spans="1:13" x14ac:dyDescent="0.25">
      <c r="A1887" t="s">
        <v>4316</v>
      </c>
      <c r="B1887" t="s">
        <v>2678</v>
      </c>
      <c r="C1887" s="25">
        <v>9514</v>
      </c>
      <c r="D1887" s="28">
        <v>9514</v>
      </c>
      <c r="E1887" s="2" t="str">
        <f t="shared" si="60"/>
        <v>Same</v>
      </c>
      <c r="F1887" s="6" t="s">
        <v>1839</v>
      </c>
      <c r="G1887" s="3">
        <v>24.95</v>
      </c>
      <c r="H1887" s="2" t="s">
        <v>1802</v>
      </c>
      <c r="I1887" s="4">
        <f>[1]Sheet1!I1887</f>
        <v>229</v>
      </c>
      <c r="J1887" s="3" t="str">
        <f t="shared" si="59"/>
        <v>9514_A1C1.webp</v>
      </c>
      <c r="K1887" s="5">
        <f>Sheet4!E1887</f>
        <v>24</v>
      </c>
      <c r="L1887" s="5" t="s">
        <v>5278</v>
      </c>
      <c r="M1887" s="4"/>
    </row>
    <row r="1888" spans="1:13" x14ac:dyDescent="0.25">
      <c r="A1888" t="s">
        <v>4949</v>
      </c>
      <c r="B1888" t="s">
        <v>4950</v>
      </c>
      <c r="C1888" s="25">
        <v>9518</v>
      </c>
      <c r="D1888" s="28">
        <v>9518</v>
      </c>
      <c r="E1888" s="2" t="str">
        <f t="shared" si="60"/>
        <v>Same</v>
      </c>
      <c r="F1888" s="2" t="s">
        <v>1855</v>
      </c>
      <c r="G1888" s="3"/>
      <c r="H1888" s="2" t="s">
        <v>5360</v>
      </c>
      <c r="I1888" s="4">
        <f>[1]Sheet1!I1888</f>
        <v>0</v>
      </c>
      <c r="J1888" s="3" t="str">
        <f t="shared" si="59"/>
        <v>9518_A1C1.webp</v>
      </c>
      <c r="K1888" s="5">
        <f>Sheet4!E1888</f>
        <v>8</v>
      </c>
      <c r="L1888" s="5" t="s">
        <v>5278</v>
      </c>
      <c r="M1888" s="4"/>
    </row>
    <row r="1889" spans="1:13" x14ac:dyDescent="0.25">
      <c r="A1889" t="s">
        <v>4961</v>
      </c>
      <c r="B1889" t="s">
        <v>5020</v>
      </c>
      <c r="C1889" s="2">
        <v>9528</v>
      </c>
      <c r="D1889" s="28">
        <v>9528</v>
      </c>
      <c r="E1889" s="2" t="str">
        <f t="shared" si="60"/>
        <v>Same</v>
      </c>
      <c r="F1889" s="2" t="s">
        <v>1882</v>
      </c>
      <c r="G1889" s="2"/>
      <c r="H1889" s="2" t="s">
        <v>5387</v>
      </c>
      <c r="I1889" s="4">
        <f>[1]Sheet1!I1889</f>
        <v>284</v>
      </c>
      <c r="J1889" s="3" t="str">
        <f t="shared" si="59"/>
        <v>9528_A1C1.webp</v>
      </c>
      <c r="K1889" s="5">
        <f>Sheet4!E1889</f>
        <v>12</v>
      </c>
      <c r="L1889" s="5" t="s">
        <v>5278</v>
      </c>
      <c r="M1889" s="4"/>
    </row>
    <row r="1890" spans="1:13" x14ac:dyDescent="0.25">
      <c r="A1890" t="s">
        <v>4961</v>
      </c>
      <c r="B1890" t="s">
        <v>5242</v>
      </c>
      <c r="C1890" s="25">
        <v>9535</v>
      </c>
      <c r="D1890" s="28">
        <v>9535</v>
      </c>
      <c r="E1890" s="2" t="str">
        <f t="shared" si="60"/>
        <v>Same</v>
      </c>
      <c r="F1890" s="6" t="s">
        <v>1849</v>
      </c>
      <c r="G1890" s="3">
        <v>65.95</v>
      </c>
      <c r="H1890" s="2" t="s">
        <v>1803</v>
      </c>
      <c r="I1890" s="4">
        <f>[1]Sheet1!I1890</f>
        <v>1806</v>
      </c>
      <c r="J1890" s="3" t="str">
        <f t="shared" si="59"/>
        <v>9535_A1C1.webp</v>
      </c>
      <c r="K1890" s="5">
        <f>Sheet4!E1890</f>
        <v>10</v>
      </c>
      <c r="L1890" s="5"/>
      <c r="M1890" s="4"/>
    </row>
    <row r="1891" spans="1:13" x14ac:dyDescent="0.25">
      <c r="A1891" t="s">
        <v>4961</v>
      </c>
      <c r="B1891" t="s">
        <v>5242</v>
      </c>
      <c r="C1891" s="25">
        <v>9536</v>
      </c>
      <c r="D1891" s="28">
        <v>9536</v>
      </c>
      <c r="E1891" s="2" t="str">
        <f t="shared" si="60"/>
        <v>Same</v>
      </c>
      <c r="F1891" s="6" t="s">
        <v>1849</v>
      </c>
      <c r="G1891" s="3">
        <v>62.5</v>
      </c>
      <c r="H1891" s="2" t="s">
        <v>1804</v>
      </c>
      <c r="I1891" s="4">
        <f>[1]Sheet1!I1891</f>
        <v>1237</v>
      </c>
      <c r="J1891" s="3" t="str">
        <f t="shared" si="59"/>
        <v>9536_A1C1.webp</v>
      </c>
      <c r="K1891" s="5">
        <f>Sheet4!E1891</f>
        <v>10</v>
      </c>
      <c r="L1891" s="5"/>
      <c r="M1891" s="4"/>
    </row>
    <row r="1892" spans="1:13" x14ac:dyDescent="0.25">
      <c r="A1892" t="s">
        <v>4961</v>
      </c>
      <c r="B1892" t="s">
        <v>5242</v>
      </c>
      <c r="C1892" s="25">
        <v>9537</v>
      </c>
      <c r="D1892" s="28">
        <v>9537</v>
      </c>
      <c r="E1892" s="2" t="str">
        <f t="shared" si="60"/>
        <v>Same</v>
      </c>
      <c r="F1892" s="6" t="s">
        <v>1849</v>
      </c>
      <c r="G1892" s="3">
        <v>81.95</v>
      </c>
      <c r="H1892" s="2" t="s">
        <v>1805</v>
      </c>
      <c r="I1892" s="4">
        <f>[1]Sheet1!I1892</f>
        <v>2104</v>
      </c>
      <c r="J1892" s="3" t="str">
        <f t="shared" si="59"/>
        <v>9537_A1C1.webp</v>
      </c>
      <c r="K1892" s="5">
        <f>Sheet4!E1892</f>
        <v>10</v>
      </c>
      <c r="L1892" s="5"/>
      <c r="M1892" s="4"/>
    </row>
    <row r="1893" spans="1:13" x14ac:dyDescent="0.25">
      <c r="A1893" t="s">
        <v>4961</v>
      </c>
      <c r="B1893" t="s">
        <v>5242</v>
      </c>
      <c r="C1893" s="25">
        <v>9538</v>
      </c>
      <c r="D1893" s="28">
        <v>9538</v>
      </c>
      <c r="E1893" s="2" t="str">
        <f t="shared" si="60"/>
        <v>Same</v>
      </c>
      <c r="F1893" s="6" t="s">
        <v>1849</v>
      </c>
      <c r="G1893" s="3">
        <v>78.95</v>
      </c>
      <c r="H1893" s="2" t="s">
        <v>1806</v>
      </c>
      <c r="I1893" s="4">
        <f>[1]Sheet1!I1893</f>
        <v>1400</v>
      </c>
      <c r="J1893" s="3" t="str">
        <f t="shared" si="59"/>
        <v>9538_A1C1.webp</v>
      </c>
      <c r="K1893" s="5">
        <f>Sheet4!E1893</f>
        <v>10</v>
      </c>
      <c r="L1893" s="5"/>
      <c r="M1893" s="4"/>
    </row>
    <row r="1894" spans="1:13" x14ac:dyDescent="0.25">
      <c r="A1894" t="s">
        <v>4961</v>
      </c>
      <c r="B1894" t="s">
        <v>5242</v>
      </c>
      <c r="C1894" s="25">
        <v>9539</v>
      </c>
      <c r="D1894" s="28">
        <v>9539</v>
      </c>
      <c r="E1894" s="2" t="str">
        <f t="shared" si="60"/>
        <v>Same</v>
      </c>
      <c r="F1894" s="6" t="s">
        <v>1849</v>
      </c>
      <c r="G1894" s="3">
        <v>78.95</v>
      </c>
      <c r="H1894" s="2" t="s">
        <v>1807</v>
      </c>
      <c r="I1894" s="4">
        <f>[1]Sheet1!I1894</f>
        <v>146</v>
      </c>
      <c r="J1894" s="3" t="str">
        <f t="shared" si="59"/>
        <v>9539_A1C1.webp</v>
      </c>
      <c r="K1894" s="5">
        <f>Sheet4!E1894</f>
        <v>10</v>
      </c>
      <c r="L1894" s="5"/>
      <c r="M1894" s="4"/>
    </row>
    <row r="1895" spans="1:13" x14ac:dyDescent="0.25">
      <c r="A1895" t="s">
        <v>4961</v>
      </c>
      <c r="B1895" t="s">
        <v>5242</v>
      </c>
      <c r="C1895" s="25">
        <v>9540</v>
      </c>
      <c r="D1895" s="28">
        <v>9540</v>
      </c>
      <c r="E1895" s="2" t="str">
        <f t="shared" si="60"/>
        <v>Same</v>
      </c>
      <c r="F1895" s="6" t="s">
        <v>1849</v>
      </c>
      <c r="G1895" s="3">
        <v>78.95</v>
      </c>
      <c r="H1895" s="2" t="s">
        <v>1808</v>
      </c>
      <c r="I1895" s="4">
        <f>[1]Sheet1!I1895</f>
        <v>0</v>
      </c>
      <c r="J1895" s="3" t="str">
        <f t="shared" si="59"/>
        <v>9540_A1C1.webp</v>
      </c>
      <c r="K1895" s="5">
        <f>Sheet4!E1895</f>
        <v>10</v>
      </c>
      <c r="L1895" s="5"/>
      <c r="M1895" s="4"/>
    </row>
    <row r="1896" spans="1:13" x14ac:dyDescent="0.25">
      <c r="A1896" t="s">
        <v>4961</v>
      </c>
      <c r="B1896" t="s">
        <v>5242</v>
      </c>
      <c r="C1896" s="25">
        <v>9541</v>
      </c>
      <c r="D1896" s="28">
        <v>9541</v>
      </c>
      <c r="E1896" s="2" t="str">
        <f t="shared" si="60"/>
        <v>Same</v>
      </c>
      <c r="F1896" s="6" t="s">
        <v>1849</v>
      </c>
      <c r="G1896" s="3">
        <v>37.5</v>
      </c>
      <c r="H1896" s="2" t="s">
        <v>1809</v>
      </c>
      <c r="I1896" s="4">
        <f>[1]Sheet1!I1896</f>
        <v>273</v>
      </c>
      <c r="J1896" s="3" t="str">
        <f t="shared" si="59"/>
        <v>9541_A1C1.webp</v>
      </c>
      <c r="K1896" s="5">
        <f>Sheet4!E1896</f>
        <v>10</v>
      </c>
      <c r="L1896" s="5"/>
      <c r="M1896" s="4"/>
    </row>
    <row r="1897" spans="1:13" x14ac:dyDescent="0.25">
      <c r="A1897" t="s">
        <v>4961</v>
      </c>
      <c r="B1897" t="s">
        <v>5242</v>
      </c>
      <c r="C1897" s="25">
        <v>9542</v>
      </c>
      <c r="D1897" s="28">
        <v>9542</v>
      </c>
      <c r="E1897" s="2" t="str">
        <f t="shared" si="60"/>
        <v>Same</v>
      </c>
      <c r="F1897" s="6" t="s">
        <v>1849</v>
      </c>
      <c r="G1897" s="3">
        <v>38.950000000000003</v>
      </c>
      <c r="H1897" s="2" t="s">
        <v>1810</v>
      </c>
      <c r="I1897" s="4">
        <f>[1]Sheet1!I1897</f>
        <v>450</v>
      </c>
      <c r="J1897" s="3" t="str">
        <f t="shared" si="59"/>
        <v>9542_A1C1.webp</v>
      </c>
      <c r="K1897" s="5">
        <f>Sheet4!E1897</f>
        <v>10</v>
      </c>
      <c r="L1897" s="5"/>
      <c r="M1897" s="4"/>
    </row>
    <row r="1898" spans="1:13" x14ac:dyDescent="0.25">
      <c r="A1898" t="s">
        <v>4961</v>
      </c>
      <c r="B1898" t="s">
        <v>5242</v>
      </c>
      <c r="C1898" s="25">
        <v>9543</v>
      </c>
      <c r="D1898" s="28">
        <v>9543</v>
      </c>
      <c r="E1898" s="2" t="str">
        <f t="shared" si="60"/>
        <v>Same</v>
      </c>
      <c r="F1898" s="6" t="s">
        <v>1849</v>
      </c>
      <c r="G1898" s="3">
        <v>81.5</v>
      </c>
      <c r="H1898" s="2" t="s">
        <v>1811</v>
      </c>
      <c r="I1898" s="4">
        <f>[1]Sheet1!I1898</f>
        <v>49</v>
      </c>
      <c r="J1898" s="3" t="str">
        <f t="shared" si="59"/>
        <v>9543_A1C1.webp</v>
      </c>
      <c r="K1898" s="5">
        <f>Sheet4!E1898</f>
        <v>10</v>
      </c>
      <c r="M1898" s="5" t="s">
        <v>5278</v>
      </c>
    </row>
    <row r="1899" spans="1:13" x14ac:dyDescent="0.25">
      <c r="A1899" t="s">
        <v>4961</v>
      </c>
      <c r="B1899" t="s">
        <v>5242</v>
      </c>
      <c r="C1899" s="25">
        <v>9544</v>
      </c>
      <c r="D1899" s="28">
        <v>9544</v>
      </c>
      <c r="E1899" s="2" t="str">
        <f t="shared" si="60"/>
        <v>Same</v>
      </c>
      <c r="F1899" s="6" t="s">
        <v>1849</v>
      </c>
      <c r="G1899" s="3">
        <v>49.95</v>
      </c>
      <c r="H1899" s="2" t="s">
        <v>1812</v>
      </c>
      <c r="I1899" s="4">
        <f>[1]Sheet1!I1899</f>
        <v>170</v>
      </c>
      <c r="J1899" s="3" t="str">
        <f t="shared" si="59"/>
        <v>9544_A1C1.webp</v>
      </c>
      <c r="K1899" s="5">
        <f>Sheet4!E1899</f>
        <v>10</v>
      </c>
      <c r="M1899" s="5" t="s">
        <v>5278</v>
      </c>
    </row>
    <row r="1900" spans="1:13" x14ac:dyDescent="0.25">
      <c r="A1900" t="s">
        <v>4961</v>
      </c>
      <c r="B1900" t="s">
        <v>5242</v>
      </c>
      <c r="C1900" s="25">
        <v>9545</v>
      </c>
      <c r="D1900" s="28">
        <v>9545</v>
      </c>
      <c r="E1900" s="2" t="str">
        <f t="shared" si="60"/>
        <v>Same</v>
      </c>
      <c r="F1900" s="6" t="s">
        <v>1849</v>
      </c>
      <c r="G1900" s="3">
        <v>49.95</v>
      </c>
      <c r="H1900" s="2" t="s">
        <v>1813</v>
      </c>
      <c r="I1900" s="4">
        <f>[1]Sheet1!I1900</f>
        <v>0</v>
      </c>
      <c r="J1900" s="3" t="str">
        <f t="shared" si="59"/>
        <v>9545_A1C1.webp</v>
      </c>
      <c r="K1900" s="5">
        <f>Sheet4!E1900</f>
        <v>10</v>
      </c>
      <c r="M1900" s="5" t="s">
        <v>5278</v>
      </c>
    </row>
    <row r="1901" spans="1:13" x14ac:dyDescent="0.25">
      <c r="A1901" t="s">
        <v>4949</v>
      </c>
      <c r="B1901" t="s">
        <v>5014</v>
      </c>
      <c r="C1901" s="25">
        <v>9549</v>
      </c>
      <c r="D1901" s="28">
        <v>9549</v>
      </c>
      <c r="E1901" s="2" t="str">
        <f t="shared" si="60"/>
        <v>Same</v>
      </c>
      <c r="F1901" s="2" t="s">
        <v>5402</v>
      </c>
      <c r="H1901" s="2" t="s">
        <v>5403</v>
      </c>
      <c r="I1901" s="4">
        <f>[1]Sheet1!I1901</f>
        <v>73</v>
      </c>
      <c r="J1901" s="3" t="str">
        <f t="shared" si="59"/>
        <v>9549_A1C1.webp</v>
      </c>
      <c r="K1901" s="5">
        <f>Sheet4!E1901</f>
        <v>10</v>
      </c>
      <c r="M1901" s="5" t="s">
        <v>5278</v>
      </c>
    </row>
    <row r="1902" spans="1:13" x14ac:dyDescent="0.25">
      <c r="A1902" t="s">
        <v>4961</v>
      </c>
      <c r="B1902" t="s">
        <v>4992</v>
      </c>
      <c r="C1902" s="25">
        <v>9573</v>
      </c>
      <c r="D1902" s="28">
        <v>9573</v>
      </c>
      <c r="E1902" s="2" t="str">
        <f t="shared" si="60"/>
        <v>Same</v>
      </c>
      <c r="F1902" s="2" t="s">
        <v>1907</v>
      </c>
      <c r="H1902" s="2" t="s">
        <v>5404</v>
      </c>
      <c r="I1902" s="4">
        <f>[1]Sheet1!I1902</f>
        <v>0</v>
      </c>
      <c r="J1902" s="3" t="str">
        <f t="shared" si="59"/>
        <v>9573_A1C1.webp</v>
      </c>
      <c r="K1902" s="5">
        <f>Sheet4!E1902</f>
        <v>6</v>
      </c>
      <c r="M1902" s="5" t="s">
        <v>5278</v>
      </c>
    </row>
    <row r="1903" spans="1:13" x14ac:dyDescent="0.25">
      <c r="A1903" t="s">
        <v>5267</v>
      </c>
      <c r="B1903" t="s">
        <v>7511</v>
      </c>
      <c r="C1903" s="28">
        <v>9740</v>
      </c>
      <c r="D1903" s="28">
        <v>9740</v>
      </c>
      <c r="E1903" s="2" t="str">
        <f t="shared" si="60"/>
        <v>Same</v>
      </c>
      <c r="F1903" s="2">
        <f>Sheet4!F1903</f>
        <v>0</v>
      </c>
      <c r="G1903" s="2"/>
      <c r="H1903" s="2" t="str">
        <f>Sheet4!H1903</f>
        <v>GOYA 90 CLASSIC CAP</v>
      </c>
      <c r="I1903" s="4">
        <f>[1]Sheet1!I1903</f>
        <v>0</v>
      </c>
      <c r="J1903" s="3" t="str">
        <f t="shared" si="59"/>
        <v>9740_A1C1.webp</v>
      </c>
      <c r="K1903" s="5">
        <f>Sheet4!E1903</f>
        <v>100</v>
      </c>
      <c r="M1903" s="5" t="s">
        <v>5278</v>
      </c>
    </row>
    <row r="1904" spans="1:13" x14ac:dyDescent="0.25">
      <c r="A1904" t="s">
        <v>5267</v>
      </c>
      <c r="B1904" t="s">
        <v>7511</v>
      </c>
      <c r="C1904" s="28">
        <v>9742</v>
      </c>
      <c r="D1904" s="28">
        <v>9742</v>
      </c>
      <c r="E1904" s="2" t="str">
        <f t="shared" si="60"/>
        <v>Same</v>
      </c>
      <c r="F1904" s="2">
        <f>Sheet4!F1904</f>
        <v>0</v>
      </c>
      <c r="H1904" s="2" t="str">
        <f>Sheet4!H1904</f>
        <v>GOYA FRIJOL THE BODEGA CAT CAP</v>
      </c>
      <c r="I1904" s="4">
        <f>[1]Sheet1!I1904</f>
        <v>0</v>
      </c>
      <c r="J1904" s="3" t="str">
        <f t="shared" si="59"/>
        <v>9742_A1C1.webp</v>
      </c>
      <c r="K1904" s="5">
        <f>Sheet4!E1904</f>
        <v>100</v>
      </c>
      <c r="M1904" s="5" t="s">
        <v>5278</v>
      </c>
    </row>
    <row r="1905" spans="1:13" x14ac:dyDescent="0.25">
      <c r="A1905" t="s">
        <v>5267</v>
      </c>
      <c r="B1905" t="s">
        <v>7511</v>
      </c>
      <c r="C1905" s="28">
        <v>9746</v>
      </c>
      <c r="D1905" s="28">
        <v>9746</v>
      </c>
      <c r="E1905" s="2" t="str">
        <f t="shared" si="60"/>
        <v>Same</v>
      </c>
      <c r="F1905" s="2">
        <f>Sheet4!F1905</f>
        <v>0</v>
      </c>
      <c r="H1905" s="2" t="str">
        <f>Sheet4!H1905</f>
        <v>GOYA ACEITE DE OLIVA TEE SM</v>
      </c>
      <c r="I1905" s="4">
        <f>[1]Sheet1!I1905</f>
        <v>0</v>
      </c>
      <c r="J1905" s="3" t="str">
        <f t="shared" si="59"/>
        <v>9746_A1C1.webp</v>
      </c>
      <c r="K1905" s="5">
        <f>Sheet4!E1905</f>
        <v>75</v>
      </c>
      <c r="M1905" s="5" t="s">
        <v>5278</v>
      </c>
    </row>
    <row r="1906" spans="1:13" x14ac:dyDescent="0.25">
      <c r="A1906" t="s">
        <v>5267</v>
      </c>
      <c r="B1906" t="s">
        <v>7511</v>
      </c>
      <c r="C1906" s="28">
        <v>9747</v>
      </c>
      <c r="D1906" s="28">
        <v>9747</v>
      </c>
      <c r="E1906" s="2" t="str">
        <f t="shared" si="60"/>
        <v>Same</v>
      </c>
      <c r="F1906" s="2">
        <f>Sheet4!F1906</f>
        <v>0</v>
      </c>
      <c r="H1906" s="2" t="str">
        <f>Sheet4!H1906</f>
        <v>GOYA ACEITE DE OLIVA TEE MD</v>
      </c>
      <c r="I1906" s="4">
        <f>[1]Sheet1!I1906</f>
        <v>0</v>
      </c>
      <c r="J1906" s="3" t="str">
        <f t="shared" si="59"/>
        <v>9747_A1C1.webp</v>
      </c>
      <c r="K1906" s="5">
        <f>Sheet4!E1906</f>
        <v>84</v>
      </c>
      <c r="M1906" s="5" t="s">
        <v>5278</v>
      </c>
    </row>
    <row r="1907" spans="1:13" x14ac:dyDescent="0.25">
      <c r="A1907" t="s">
        <v>5267</v>
      </c>
      <c r="B1907" t="s">
        <v>7511</v>
      </c>
      <c r="C1907" s="28">
        <v>9748</v>
      </c>
      <c r="D1907" s="28">
        <v>9748</v>
      </c>
      <c r="E1907" s="2" t="str">
        <f t="shared" si="60"/>
        <v>Same</v>
      </c>
      <c r="F1907" s="2">
        <f>Sheet4!F1907</f>
        <v>0</v>
      </c>
      <c r="H1907" s="2" t="str">
        <f>Sheet4!H1907</f>
        <v>GOYA ACEITE DE OLIVA TEE LG</v>
      </c>
      <c r="I1907" s="4">
        <f>[1]Sheet1!I1907</f>
        <v>0</v>
      </c>
      <c r="J1907" s="3" t="str">
        <f t="shared" si="59"/>
        <v>9748_A1C1.webp</v>
      </c>
      <c r="K1907" s="5">
        <f>Sheet4!E1907</f>
        <v>80</v>
      </c>
      <c r="M1907" s="5" t="s">
        <v>5278</v>
      </c>
    </row>
    <row r="1908" spans="1:13" x14ac:dyDescent="0.25">
      <c r="A1908" t="s">
        <v>5267</v>
      </c>
      <c r="B1908" t="s">
        <v>7511</v>
      </c>
      <c r="C1908" s="28">
        <v>9749</v>
      </c>
      <c r="D1908" s="28">
        <v>9749</v>
      </c>
      <c r="E1908" s="2" t="str">
        <f t="shared" si="60"/>
        <v>Same</v>
      </c>
      <c r="F1908" s="2">
        <f>Sheet4!F1908</f>
        <v>0</v>
      </c>
      <c r="H1908" s="2" t="str">
        <f>Sheet4!H1908</f>
        <v>GOYA ACEITE DE OLIVA TEE XL</v>
      </c>
      <c r="I1908" s="4">
        <f>[1]Sheet1!I1908</f>
        <v>0</v>
      </c>
      <c r="J1908" s="3" t="str">
        <f t="shared" si="59"/>
        <v>9749_A1C1.webp</v>
      </c>
      <c r="K1908" s="5">
        <f>Sheet4!E1908</f>
        <v>50</v>
      </c>
      <c r="M1908" s="5" t="s">
        <v>5278</v>
      </c>
    </row>
    <row r="1909" spans="1:13" x14ac:dyDescent="0.25">
      <c r="A1909" t="s">
        <v>5267</v>
      </c>
      <c r="B1909" t="s">
        <v>7511</v>
      </c>
      <c r="C1909" s="28">
        <v>9750</v>
      </c>
      <c r="D1909" s="28">
        <v>9750</v>
      </c>
      <c r="E1909" s="2" t="str">
        <f t="shared" si="60"/>
        <v>Same</v>
      </c>
      <c r="F1909" s="2">
        <f>Sheet4!F1909</f>
        <v>0</v>
      </c>
      <c r="H1909" s="2" t="str">
        <f>Sheet4!H1909</f>
        <v>GOYA ACEITE DE OLIVA TEE 2XL</v>
      </c>
      <c r="I1909" s="4">
        <f>[1]Sheet1!I1909</f>
        <v>0</v>
      </c>
      <c r="J1909" s="3" t="str">
        <f t="shared" si="59"/>
        <v>9750_A1C1.webp</v>
      </c>
      <c r="K1909" s="5">
        <f>Sheet4!E1909</f>
        <v>50</v>
      </c>
      <c r="M1909" s="5" t="s">
        <v>5278</v>
      </c>
    </row>
    <row r="1910" spans="1:13" x14ac:dyDescent="0.25">
      <c r="A1910" t="s">
        <v>5267</v>
      </c>
      <c r="B1910" t="s">
        <v>7511</v>
      </c>
      <c r="C1910" s="28">
        <v>9753</v>
      </c>
      <c r="D1910" s="28">
        <v>9753</v>
      </c>
      <c r="E1910" s="2" t="str">
        <f t="shared" si="60"/>
        <v>Same</v>
      </c>
      <c r="F1910" s="2">
        <f>Sheet4!F1910</f>
        <v>0</v>
      </c>
      <c r="H1910" s="2" t="str">
        <f>Sheet4!H1910</f>
        <v>GOYA STICKER SHEET</v>
      </c>
      <c r="I1910" s="4">
        <f>[1]Sheet1!I1910</f>
        <v>0</v>
      </c>
      <c r="J1910" s="3" t="str">
        <f t="shared" si="59"/>
        <v>9753_A1C1.webp</v>
      </c>
      <c r="K1910" s="5">
        <f>Sheet4!E1910</f>
        <v>800</v>
      </c>
      <c r="M1910" s="5" t="s">
        <v>5278</v>
      </c>
    </row>
    <row r="1911" spans="1:13" x14ac:dyDescent="0.25">
      <c r="A1911" t="s">
        <v>5267</v>
      </c>
      <c r="B1911" t="s">
        <v>7511</v>
      </c>
      <c r="C1911" s="28">
        <v>9760</v>
      </c>
      <c r="D1911" s="28">
        <v>9760</v>
      </c>
      <c r="E1911" s="2" t="str">
        <f t="shared" si="60"/>
        <v>Same</v>
      </c>
      <c r="F1911" s="2">
        <f>Sheet4!F1911</f>
        <v>0</v>
      </c>
      <c r="H1911" s="2" t="str">
        <f>Sheet4!H1911</f>
        <v>GOYA FRIJOL BODEGA CAT TEE SM</v>
      </c>
      <c r="I1911" s="4">
        <f>[1]Sheet1!I1911</f>
        <v>0</v>
      </c>
      <c r="J1911" s="3" t="str">
        <f t="shared" si="59"/>
        <v>9760_A1C1.webp</v>
      </c>
      <c r="K1911" s="5">
        <f>Sheet4!E1911</f>
        <v>72</v>
      </c>
      <c r="M1911" s="5" t="s">
        <v>5278</v>
      </c>
    </row>
    <row r="1912" spans="1:13" x14ac:dyDescent="0.25">
      <c r="A1912" t="s">
        <v>5267</v>
      </c>
      <c r="B1912" t="s">
        <v>7511</v>
      </c>
      <c r="C1912" s="28">
        <v>9761</v>
      </c>
      <c r="D1912" s="28">
        <v>9761</v>
      </c>
      <c r="E1912" s="2" t="str">
        <f t="shared" si="60"/>
        <v>Same</v>
      </c>
      <c r="F1912" s="2">
        <f>Sheet4!F1912</f>
        <v>0</v>
      </c>
      <c r="H1912" s="2" t="str">
        <f>Sheet4!H1912</f>
        <v>GOYA FRIJOL BODEGA CAT TEE MD</v>
      </c>
      <c r="I1912" s="4">
        <f>[1]Sheet1!I1912</f>
        <v>0</v>
      </c>
      <c r="J1912" s="3" t="str">
        <f t="shared" si="59"/>
        <v>9761_A1C1.webp</v>
      </c>
      <c r="K1912" s="5">
        <f>Sheet4!E1912</f>
        <v>84</v>
      </c>
      <c r="M1912" s="5" t="s">
        <v>5278</v>
      </c>
    </row>
    <row r="1913" spans="1:13" x14ac:dyDescent="0.25">
      <c r="A1913" t="s">
        <v>5267</v>
      </c>
      <c r="B1913" t="s">
        <v>7511</v>
      </c>
      <c r="C1913" s="28">
        <v>9762</v>
      </c>
      <c r="D1913" s="28">
        <v>9762</v>
      </c>
      <c r="E1913" s="2" t="str">
        <f t="shared" si="60"/>
        <v>Same</v>
      </c>
      <c r="F1913" s="2">
        <f>Sheet4!F1913</f>
        <v>0</v>
      </c>
      <c r="H1913" s="2" t="str">
        <f>Sheet4!H1913</f>
        <v>GOYA FRIJOL BODEGA CAT TEE LG</v>
      </c>
      <c r="I1913" s="4">
        <f>[1]Sheet1!I1913</f>
        <v>0</v>
      </c>
      <c r="J1913" s="3" t="str">
        <f t="shared" si="59"/>
        <v>9762_A1C1.webp</v>
      </c>
      <c r="K1913" s="5">
        <f>Sheet4!E1913</f>
        <v>80</v>
      </c>
      <c r="M1913" s="5" t="s">
        <v>5278</v>
      </c>
    </row>
    <row r="1914" spans="1:13" x14ac:dyDescent="0.25">
      <c r="A1914" t="s">
        <v>5267</v>
      </c>
      <c r="B1914" t="s">
        <v>7511</v>
      </c>
      <c r="C1914" s="28">
        <v>9763</v>
      </c>
      <c r="D1914" s="28">
        <v>9763</v>
      </c>
      <c r="E1914" s="2" t="str">
        <f t="shared" si="60"/>
        <v>Same</v>
      </c>
      <c r="F1914" s="2">
        <f>Sheet4!F1914</f>
        <v>0</v>
      </c>
      <c r="H1914" s="2" t="str">
        <f>Sheet4!H1914</f>
        <v>GOYA FRIJOL BODEGA CAT TEE XL</v>
      </c>
      <c r="I1914" s="4">
        <f>[1]Sheet1!I1914</f>
        <v>0</v>
      </c>
      <c r="J1914" s="3" t="str">
        <f t="shared" si="59"/>
        <v>9763_A1C1.webp</v>
      </c>
      <c r="K1914" s="5">
        <f>Sheet4!E1914</f>
        <v>50</v>
      </c>
      <c r="M1914" s="5" t="s">
        <v>5278</v>
      </c>
    </row>
    <row r="1915" spans="1:13" x14ac:dyDescent="0.25">
      <c r="A1915" t="s">
        <v>5267</v>
      </c>
      <c r="B1915" t="s">
        <v>7511</v>
      </c>
      <c r="C1915" s="28">
        <v>9766</v>
      </c>
      <c r="D1915" s="28">
        <v>9766</v>
      </c>
      <c r="E1915" s="2" t="str">
        <f t="shared" si="60"/>
        <v>Same</v>
      </c>
      <c r="F1915" s="2">
        <f>Sheet4!F1915</f>
        <v>0</v>
      </c>
      <c r="H1915" s="2" t="str">
        <f>Sheet4!H1915</f>
        <v>GOYA PLATANOS TEE SM</v>
      </c>
      <c r="I1915" s="4">
        <f>[1]Sheet1!I1915</f>
        <v>0</v>
      </c>
      <c r="J1915" s="3" t="str">
        <f t="shared" si="59"/>
        <v>9766_A1C1.webp</v>
      </c>
      <c r="K1915" s="5">
        <f>Sheet4!E1915</f>
        <v>75</v>
      </c>
      <c r="M1915" s="5" t="s">
        <v>5278</v>
      </c>
    </row>
    <row r="1916" spans="1:13" x14ac:dyDescent="0.25">
      <c r="A1916" t="s">
        <v>5267</v>
      </c>
      <c r="B1916" t="s">
        <v>7511</v>
      </c>
      <c r="C1916" s="28">
        <v>9767</v>
      </c>
      <c r="D1916" s="28">
        <v>9767</v>
      </c>
      <c r="E1916" s="2" t="str">
        <f t="shared" si="60"/>
        <v>Same</v>
      </c>
      <c r="F1916" s="2">
        <f>Sheet4!F1916</f>
        <v>0</v>
      </c>
      <c r="H1916" s="2" t="str">
        <f>Sheet4!H1916</f>
        <v>GOYA PLATANOS TEE MD</v>
      </c>
      <c r="I1916" s="4">
        <f>[1]Sheet1!I1916</f>
        <v>0</v>
      </c>
      <c r="J1916" s="3" t="str">
        <f t="shared" si="59"/>
        <v>9767_A1C1.webp</v>
      </c>
      <c r="K1916" s="5">
        <f>Sheet4!E1916</f>
        <v>84</v>
      </c>
      <c r="M1916" s="5" t="s">
        <v>5278</v>
      </c>
    </row>
    <row r="1917" spans="1:13" x14ac:dyDescent="0.25">
      <c r="A1917" t="s">
        <v>5267</v>
      </c>
      <c r="B1917" t="s">
        <v>7511</v>
      </c>
      <c r="C1917" s="28">
        <v>9768</v>
      </c>
      <c r="D1917" s="28">
        <v>9768</v>
      </c>
      <c r="E1917" s="2" t="str">
        <f t="shared" si="60"/>
        <v>Same</v>
      </c>
      <c r="F1917" s="2">
        <f>Sheet4!F1917</f>
        <v>0</v>
      </c>
      <c r="H1917" s="2" t="str">
        <f>Sheet4!H1917</f>
        <v>GOYA PLATANOS TEE LG</v>
      </c>
      <c r="I1917" s="4">
        <f>[1]Sheet1!I1917</f>
        <v>0</v>
      </c>
      <c r="J1917" s="3" t="str">
        <f t="shared" si="59"/>
        <v>9768_A1C1.webp</v>
      </c>
      <c r="K1917" s="5">
        <f>Sheet4!E1917</f>
        <v>80</v>
      </c>
      <c r="M1917" s="5" t="s">
        <v>5278</v>
      </c>
    </row>
    <row r="1918" spans="1:13" x14ac:dyDescent="0.25">
      <c r="A1918" t="s">
        <v>5267</v>
      </c>
      <c r="B1918" t="s">
        <v>7511</v>
      </c>
      <c r="C1918" s="28">
        <v>9769</v>
      </c>
      <c r="D1918" s="28">
        <v>9769</v>
      </c>
      <c r="E1918" s="2" t="str">
        <f t="shared" si="60"/>
        <v>Same</v>
      </c>
      <c r="F1918" s="2">
        <f>Sheet4!F1918</f>
        <v>0</v>
      </c>
      <c r="H1918" s="2" t="str">
        <f>Sheet4!H1918</f>
        <v>GOYA PLATANOS TEE XL</v>
      </c>
      <c r="I1918" s="4">
        <f>[1]Sheet1!I1918</f>
        <v>0</v>
      </c>
      <c r="J1918" s="3" t="str">
        <f t="shared" si="59"/>
        <v>9769_A1C1.webp</v>
      </c>
      <c r="K1918" s="5">
        <f>Sheet4!E1918</f>
        <v>50</v>
      </c>
      <c r="M1918" s="5" t="s">
        <v>5278</v>
      </c>
    </row>
    <row r="1919" spans="1:13" x14ac:dyDescent="0.25">
      <c r="A1919" t="s">
        <v>5267</v>
      </c>
      <c r="B1919" t="s">
        <v>7511</v>
      </c>
      <c r="C1919" s="28">
        <v>9770</v>
      </c>
      <c r="D1919" s="28">
        <v>9770</v>
      </c>
      <c r="E1919" s="2" t="str">
        <f t="shared" si="60"/>
        <v>Same</v>
      </c>
      <c r="F1919" s="2">
        <f>Sheet4!F1919</f>
        <v>0</v>
      </c>
      <c r="H1919" s="2" t="str">
        <f>Sheet4!H1919</f>
        <v>GOYA PLATANOS TEE 2XL</v>
      </c>
      <c r="I1919" s="4">
        <f>[1]Sheet1!I1919</f>
        <v>0</v>
      </c>
      <c r="J1919" s="3" t="str">
        <f t="shared" si="59"/>
        <v>9770_A1C1.webp</v>
      </c>
      <c r="K1919" s="5">
        <f>Sheet4!E1919</f>
        <v>50</v>
      </c>
      <c r="M1919" s="5" t="s">
        <v>5278</v>
      </c>
    </row>
    <row r="1920" spans="1:13" x14ac:dyDescent="0.25">
      <c r="A1920" t="s">
        <v>5267</v>
      </c>
      <c r="B1920" t="s">
        <v>7511</v>
      </c>
      <c r="C1920" s="28">
        <v>9772</v>
      </c>
      <c r="D1920" s="28">
        <v>9772</v>
      </c>
      <c r="E1920" s="2" t="str">
        <f t="shared" si="60"/>
        <v>Same</v>
      </c>
      <c r="F1920" s="2">
        <f>Sheet4!F1920</f>
        <v>0</v>
      </c>
      <c r="H1920" s="2" t="str">
        <f>Sheet4!H1920</f>
        <v>GOYA BEAN CHARM</v>
      </c>
      <c r="I1920" s="4">
        <f>[1]Sheet1!I1920</f>
        <v>0</v>
      </c>
      <c r="J1920" s="3" t="str">
        <f t="shared" si="59"/>
        <v>9772_A1C1.webp</v>
      </c>
      <c r="K1920" s="5">
        <f>Sheet4!E1920</f>
        <v>250</v>
      </c>
      <c r="M1920" s="5" t="s">
        <v>5278</v>
      </c>
    </row>
    <row r="1921" spans="1:13" x14ac:dyDescent="0.25">
      <c r="A1921" t="s">
        <v>5267</v>
      </c>
      <c r="B1921" t="s">
        <v>7511</v>
      </c>
      <c r="C1921" s="28">
        <v>9773</v>
      </c>
      <c r="D1921" s="28">
        <v>9773</v>
      </c>
      <c r="E1921" s="2" t="str">
        <f t="shared" si="60"/>
        <v>Same</v>
      </c>
      <c r="F1921" s="2">
        <f>Sheet4!F1921</f>
        <v>0</v>
      </c>
      <c r="H1921" s="2" t="str">
        <f>Sheet4!H1921</f>
        <v>GOYA MARIA COOKIE CHARM</v>
      </c>
      <c r="I1921" s="4">
        <f>[1]Sheet1!I1921</f>
        <v>0</v>
      </c>
      <c r="J1921" s="3" t="str">
        <f t="shared" si="59"/>
        <v>9773_A1C1.webp</v>
      </c>
      <c r="K1921" s="5">
        <f>Sheet4!E1921</f>
        <v>250</v>
      </c>
      <c r="M1921" s="5" t="s">
        <v>5278</v>
      </c>
    </row>
    <row r="1922" spans="1:13" x14ac:dyDescent="0.25">
      <c r="A1922" t="s">
        <v>5267</v>
      </c>
      <c r="B1922" t="s">
        <v>7511</v>
      </c>
      <c r="C1922" s="28">
        <v>9774</v>
      </c>
      <c r="D1922" s="28">
        <v>9774</v>
      </c>
      <c r="E1922" s="2" t="str">
        <f t="shared" si="60"/>
        <v>Same</v>
      </c>
      <c r="F1922" s="2">
        <f>Sheet4!F1922</f>
        <v>0</v>
      </c>
      <c r="H1922" s="2" t="str">
        <f>Sheet4!H1922</f>
        <v>GOYA COCONUT DRINK CHARM</v>
      </c>
      <c r="I1922" s="4">
        <f>[1]Sheet1!I1922</f>
        <v>0</v>
      </c>
      <c r="J1922" s="3" t="str">
        <f t="shared" ref="J1922:J1983" si="61">C1922 &amp; "_A1C1.webp"</f>
        <v>9774_A1C1.webp</v>
      </c>
      <c r="K1922" s="5">
        <f>Sheet4!E1922</f>
        <v>250</v>
      </c>
      <c r="M1922" s="5" t="s">
        <v>5278</v>
      </c>
    </row>
    <row r="1923" spans="1:13" x14ac:dyDescent="0.25">
      <c r="A1923" t="s">
        <v>5267</v>
      </c>
      <c r="B1923" t="s">
        <v>7511</v>
      </c>
      <c r="C1923" s="28">
        <v>9775</v>
      </c>
      <c r="D1923" s="28">
        <v>9775</v>
      </c>
      <c r="E1923" s="2" t="str">
        <f t="shared" si="60"/>
        <v>Same</v>
      </c>
      <c r="F1923" s="2">
        <f>Sheet4!F1923</f>
        <v>0</v>
      </c>
      <c r="H1923" s="2" t="str">
        <f>Sheet4!H1923</f>
        <v>GOYA ADOBO BOTTLE CHARM</v>
      </c>
      <c r="I1923" s="4">
        <f>[1]Sheet1!I1923</f>
        <v>0</v>
      </c>
      <c r="J1923" s="3" t="str">
        <f t="shared" si="61"/>
        <v>9775_A1C1.webp</v>
      </c>
      <c r="K1923" s="5">
        <f>Sheet4!E1923</f>
        <v>250</v>
      </c>
      <c r="M1923" s="5" t="s">
        <v>5278</v>
      </c>
    </row>
    <row r="1924" spans="1:13" x14ac:dyDescent="0.25">
      <c r="A1924" t="s">
        <v>5267</v>
      </c>
      <c r="B1924" t="s">
        <v>7511</v>
      </c>
      <c r="C1924" s="28">
        <v>9776</v>
      </c>
      <c r="D1924" s="28">
        <v>9776</v>
      </c>
      <c r="E1924" s="2" t="str">
        <f t="shared" si="60"/>
        <v>Same</v>
      </c>
      <c r="F1924" s="2">
        <f>Sheet4!F1924</f>
        <v>0</v>
      </c>
      <c r="H1924" s="2" t="str">
        <f>Sheet4!H1924</f>
        <v>GOYA FRIJOL BODEGA HOODIE SM</v>
      </c>
      <c r="I1924" s="4">
        <f>[1]Sheet1!I1924</f>
        <v>0</v>
      </c>
      <c r="J1924" s="3" t="str">
        <f t="shared" si="61"/>
        <v>9776_A1C1.webp</v>
      </c>
      <c r="K1924" s="5">
        <f>Sheet4!E1924</f>
        <v>20</v>
      </c>
      <c r="M1924" s="5" t="s">
        <v>5278</v>
      </c>
    </row>
    <row r="1925" spans="1:13" x14ac:dyDescent="0.25">
      <c r="A1925" t="s">
        <v>5267</v>
      </c>
      <c r="B1925" t="s">
        <v>7511</v>
      </c>
      <c r="C1925" s="28">
        <v>9777</v>
      </c>
      <c r="D1925" s="28">
        <v>9777</v>
      </c>
      <c r="E1925" s="2" t="str">
        <f t="shared" si="60"/>
        <v>Same</v>
      </c>
      <c r="F1925" s="2">
        <f>Sheet4!F1925</f>
        <v>0</v>
      </c>
      <c r="H1925" s="2" t="str">
        <f>Sheet4!H1925</f>
        <v>GOYA FRIJOL BODEGA HOODIE MD</v>
      </c>
      <c r="I1925" s="4">
        <f>[1]Sheet1!I1925</f>
        <v>0</v>
      </c>
      <c r="J1925" s="3" t="str">
        <f t="shared" si="61"/>
        <v>9777_A1C1.webp</v>
      </c>
      <c r="K1925" s="5">
        <f>Sheet4!E1925</f>
        <v>20</v>
      </c>
      <c r="M1925" s="5" t="s">
        <v>5278</v>
      </c>
    </row>
    <row r="1926" spans="1:13" x14ac:dyDescent="0.25">
      <c r="A1926" t="s">
        <v>5267</v>
      </c>
      <c r="B1926" t="s">
        <v>7511</v>
      </c>
      <c r="C1926" s="28">
        <v>9778</v>
      </c>
      <c r="D1926" s="28">
        <v>9778</v>
      </c>
      <c r="E1926" s="2" t="str">
        <f t="shared" si="60"/>
        <v>Same</v>
      </c>
      <c r="F1926" s="2">
        <f>Sheet4!F1926</f>
        <v>0</v>
      </c>
      <c r="H1926" s="2" t="str">
        <f>Sheet4!H1926</f>
        <v>GOYA FRIJOL BODEGA HOODIE LG</v>
      </c>
      <c r="I1926" s="4">
        <f>[1]Sheet1!I1926</f>
        <v>0</v>
      </c>
      <c r="J1926" s="3" t="str">
        <f t="shared" si="61"/>
        <v>9778_A1C1.webp</v>
      </c>
      <c r="K1926" s="5">
        <f>Sheet4!E1926</f>
        <v>15</v>
      </c>
      <c r="M1926" s="5" t="s">
        <v>5278</v>
      </c>
    </row>
    <row r="1927" spans="1:13" x14ac:dyDescent="0.25">
      <c r="A1927" t="s">
        <v>5267</v>
      </c>
      <c r="B1927" t="s">
        <v>7511</v>
      </c>
      <c r="C1927" s="28">
        <v>9779</v>
      </c>
      <c r="D1927" s="28">
        <v>9779</v>
      </c>
      <c r="E1927" s="2" t="str">
        <f t="shared" si="60"/>
        <v>Same</v>
      </c>
      <c r="F1927" s="2">
        <f>Sheet4!F1927</f>
        <v>0</v>
      </c>
      <c r="H1927" s="2" t="str">
        <f>Sheet4!H1927</f>
        <v>GOYA FRIJOL BODEGA HOODIE XL</v>
      </c>
      <c r="I1927" s="4">
        <f>[1]Sheet1!I1927</f>
        <v>0</v>
      </c>
      <c r="J1927" s="3" t="str">
        <f t="shared" si="61"/>
        <v>9779_A1C1.webp</v>
      </c>
      <c r="K1927" s="5">
        <f>Sheet4!E1927</f>
        <v>15</v>
      </c>
      <c r="M1927" s="5" t="s">
        <v>5278</v>
      </c>
    </row>
    <row r="1928" spans="1:13" x14ac:dyDescent="0.25">
      <c r="A1928" t="s">
        <v>5267</v>
      </c>
      <c r="B1928" t="s">
        <v>7511</v>
      </c>
      <c r="C1928" s="28">
        <v>9781</v>
      </c>
      <c r="D1928" s="28">
        <v>9781</v>
      </c>
      <c r="E1928" s="2" t="str">
        <f t="shared" si="60"/>
        <v>Same</v>
      </c>
      <c r="F1928" s="2">
        <f>Sheet4!F1928</f>
        <v>0</v>
      </c>
      <c r="H1928" s="2" t="str">
        <f>Sheet4!H1928</f>
        <v>GOYA BEAN SOCK</v>
      </c>
      <c r="I1928" s="4">
        <f>[1]Sheet1!I1928</f>
        <v>0</v>
      </c>
      <c r="J1928" s="3" t="str">
        <f t="shared" si="61"/>
        <v>9781_A1C1.webp</v>
      </c>
      <c r="K1928" s="5">
        <f>Sheet4!E1928</f>
        <v>200</v>
      </c>
      <c r="M1928" s="5" t="s">
        <v>5278</v>
      </c>
    </row>
    <row r="1929" spans="1:13" x14ac:dyDescent="0.25">
      <c r="A1929" t="s">
        <v>5267</v>
      </c>
      <c r="B1929" t="s">
        <v>7511</v>
      </c>
      <c r="C1929" s="28">
        <v>9782</v>
      </c>
      <c r="D1929" s="28">
        <v>9782</v>
      </c>
      <c r="E1929" s="2" t="str">
        <f t="shared" si="60"/>
        <v>Same</v>
      </c>
      <c r="F1929" s="2">
        <f>Sheet4!F1929</f>
        <v>0</v>
      </c>
      <c r="H1929" s="2" t="str">
        <f>Sheet4!H1929</f>
        <v>GOYA ADOBO SOCK</v>
      </c>
      <c r="I1929" s="4">
        <f>[1]Sheet1!I1929</f>
        <v>0</v>
      </c>
      <c r="J1929" s="3" t="str">
        <f t="shared" si="61"/>
        <v>9782_A1C1.webp</v>
      </c>
      <c r="K1929" s="5">
        <f>Sheet4!E1929</f>
        <v>200</v>
      </c>
      <c r="M1929" s="5" t="s">
        <v>5278</v>
      </c>
    </row>
    <row r="1930" spans="1:13" x14ac:dyDescent="0.25">
      <c r="A1930" t="s">
        <v>5267</v>
      </c>
      <c r="B1930" t="s">
        <v>7511</v>
      </c>
      <c r="C1930" s="28">
        <v>9783</v>
      </c>
      <c r="D1930" s="28">
        <v>9783</v>
      </c>
      <c r="E1930" s="2" t="str">
        <f t="shared" ref="E1930:E1935" si="62">IF(C1930=D1930, "Same","New")</f>
        <v>Same</v>
      </c>
      <c r="F1930" s="2">
        <f>Sheet4!F1930</f>
        <v>0</v>
      </c>
      <c r="H1930" s="2" t="str">
        <f>Sheet4!H1930</f>
        <v>GOYA TOTE BAG</v>
      </c>
      <c r="I1930" s="4">
        <f>[1]Sheet1!I1930</f>
        <v>0</v>
      </c>
      <c r="J1930" s="3" t="str">
        <f t="shared" si="61"/>
        <v>9783_A1C1.webp</v>
      </c>
      <c r="K1930" s="5">
        <f>Sheet4!E1930</f>
        <v>70</v>
      </c>
      <c r="M1930" s="5" t="s">
        <v>5278</v>
      </c>
    </row>
    <row r="1931" spans="1:13" x14ac:dyDescent="0.25">
      <c r="A1931" t="s">
        <v>5267</v>
      </c>
      <c r="B1931" t="s">
        <v>7511</v>
      </c>
      <c r="C1931" s="28">
        <v>9784</v>
      </c>
      <c r="D1931" s="28">
        <v>9784</v>
      </c>
      <c r="E1931" s="2" t="str">
        <f t="shared" si="62"/>
        <v>Same</v>
      </c>
      <c r="F1931" s="2">
        <f>Sheet4!F1931</f>
        <v>0</v>
      </c>
      <c r="H1931" s="2" t="str">
        <f>Sheet4!H1931</f>
        <v>GOYA BEAN STRESS RELIEVER</v>
      </c>
      <c r="I1931" s="4">
        <f>[1]Sheet1!I1931</f>
        <v>0</v>
      </c>
      <c r="J1931" s="3" t="str">
        <f t="shared" si="61"/>
        <v>9784_A1C1.webp</v>
      </c>
      <c r="K1931" s="5">
        <f>Sheet4!E1931</f>
        <v>72</v>
      </c>
      <c r="M1931" s="5" t="s">
        <v>5278</v>
      </c>
    </row>
    <row r="1932" spans="1:13" x14ac:dyDescent="0.25">
      <c r="A1932" t="s">
        <v>5267</v>
      </c>
      <c r="B1932" t="s">
        <v>7511</v>
      </c>
      <c r="C1932" s="28">
        <v>9785</v>
      </c>
      <c r="D1932" s="28">
        <v>9785</v>
      </c>
      <c r="E1932" s="2" t="str">
        <f t="shared" si="62"/>
        <v>Same</v>
      </c>
      <c r="F1932" s="2">
        <f>Sheet4!F1932</f>
        <v>0</v>
      </c>
      <c r="H1932" s="2" t="str">
        <f>Sheet4!H1932</f>
        <v>GOYA ADOBO STRESS RELIEVER</v>
      </c>
      <c r="I1932" s="4">
        <f>[1]Sheet1!I1932</f>
        <v>0</v>
      </c>
      <c r="J1932" s="3" t="str">
        <f t="shared" si="61"/>
        <v>9785_A1C1.webp</v>
      </c>
      <c r="K1932" s="5">
        <f>Sheet4!E1932</f>
        <v>72</v>
      </c>
      <c r="M1932" s="5" t="s">
        <v>5278</v>
      </c>
    </row>
    <row r="1933" spans="1:13" x14ac:dyDescent="0.25">
      <c r="A1933" t="s">
        <v>5267</v>
      </c>
      <c r="B1933" t="s">
        <v>7511</v>
      </c>
      <c r="C1933" s="28">
        <v>9786</v>
      </c>
      <c r="D1933" s="28">
        <v>9786</v>
      </c>
      <c r="E1933" s="2" t="str">
        <f t="shared" si="62"/>
        <v>Same</v>
      </c>
      <c r="F1933" s="2">
        <f>Sheet4!F1933</f>
        <v>0</v>
      </c>
      <c r="H1933" s="2" t="str">
        <f>Sheet4!H1933</f>
        <v>GOYA COCONUT WTR PLUSH DOG TOY</v>
      </c>
      <c r="I1933" s="4">
        <f>[1]Sheet1!I1933</f>
        <v>0</v>
      </c>
      <c r="J1933" s="3" t="str">
        <f t="shared" si="61"/>
        <v>9786_A1C1.webp</v>
      </c>
      <c r="K1933" s="5">
        <f>Sheet4!E1933</f>
        <v>72</v>
      </c>
      <c r="M1933" s="5" t="s">
        <v>5278</v>
      </c>
    </row>
    <row r="1934" spans="1:13" x14ac:dyDescent="0.25">
      <c r="A1934" t="s">
        <v>5267</v>
      </c>
      <c r="B1934" t="s">
        <v>7511</v>
      </c>
      <c r="C1934" s="28">
        <v>9788</v>
      </c>
      <c r="D1934" s="28">
        <v>9788</v>
      </c>
      <c r="E1934" s="2" t="str">
        <f t="shared" si="62"/>
        <v>Same</v>
      </c>
      <c r="F1934" s="2">
        <f>Sheet4!F1934</f>
        <v>0</v>
      </c>
      <c r="H1934" s="2" t="str">
        <f>Sheet4!H1934</f>
        <v>GOYA BRACELET CHAIN</v>
      </c>
      <c r="I1934" s="4">
        <f>[1]Sheet1!I1934</f>
        <v>0</v>
      </c>
      <c r="J1934" s="3" t="str">
        <f t="shared" si="61"/>
        <v>9788_A1C1.webp</v>
      </c>
      <c r="K1934" s="5">
        <f>Sheet4!E1934</f>
        <v>500</v>
      </c>
      <c r="M1934" s="5" t="s">
        <v>5278</v>
      </c>
    </row>
    <row r="1935" spans="1:13" x14ac:dyDescent="0.25">
      <c r="A1935" t="s">
        <v>5267</v>
      </c>
      <c r="B1935" t="s">
        <v>7511</v>
      </c>
      <c r="C1935" s="28">
        <v>9790</v>
      </c>
      <c r="D1935" s="28">
        <v>9790</v>
      </c>
      <c r="E1935" s="2" t="str">
        <f t="shared" si="62"/>
        <v>Same</v>
      </c>
      <c r="F1935" s="2">
        <f>Sheet4!F1935</f>
        <v>0</v>
      </c>
      <c r="H1935" s="2" t="str">
        <f>Sheet4!H1935</f>
        <v>GOYA CLOG CHARM</v>
      </c>
      <c r="I1935" s="4">
        <f>[1]Sheet1!I1935</f>
        <v>0</v>
      </c>
      <c r="J1935" s="3" t="str">
        <f t="shared" si="61"/>
        <v>9790_A1C1.webp</v>
      </c>
      <c r="K1935" s="5">
        <f>Sheet4!E1935</f>
        <v>600</v>
      </c>
      <c r="M1935" s="5" t="s">
        <v>5278</v>
      </c>
    </row>
    <row r="1936" spans="1:13" x14ac:dyDescent="0.25">
      <c r="A1936" t="s">
        <v>2671</v>
      </c>
      <c r="B1936" t="s">
        <v>5259</v>
      </c>
      <c r="C1936" s="25">
        <v>9795</v>
      </c>
      <c r="D1936" s="28">
        <v>9795</v>
      </c>
      <c r="E1936" s="2" t="str">
        <f t="shared" ref="E1936:E1961" si="63">IF(C1936=D1936, "Same","New")</f>
        <v>Same</v>
      </c>
      <c r="F1936" s="6" t="s">
        <v>1862</v>
      </c>
      <c r="H1936" s="2" t="s">
        <v>1814</v>
      </c>
      <c r="I1936" s="4">
        <f>[1]Sheet1!I1936</f>
        <v>25</v>
      </c>
      <c r="J1936" s="3" t="str">
        <f t="shared" si="61"/>
        <v>9795_A1C1.webp</v>
      </c>
      <c r="K1936" s="5">
        <f>Sheet4!E1936</f>
        <v>1</v>
      </c>
      <c r="L1936" s="5"/>
    </row>
    <row r="1937" spans="1:12" x14ac:dyDescent="0.25">
      <c r="A1937" t="s">
        <v>2671</v>
      </c>
      <c r="B1937" t="s">
        <v>5259</v>
      </c>
      <c r="C1937" s="25">
        <v>9796</v>
      </c>
      <c r="D1937" s="28">
        <v>9796</v>
      </c>
      <c r="E1937" s="2" t="str">
        <f t="shared" si="63"/>
        <v>Same</v>
      </c>
      <c r="F1937" s="6" t="s">
        <v>1849</v>
      </c>
      <c r="H1937" s="2" t="s">
        <v>1815</v>
      </c>
      <c r="I1937" s="4">
        <f>[1]Sheet1!I1937</f>
        <v>191</v>
      </c>
      <c r="J1937" s="3" t="str">
        <f t="shared" si="61"/>
        <v>9796_A1C1.webp</v>
      </c>
      <c r="K1937" s="5">
        <f>Sheet4!E1937</f>
        <v>1</v>
      </c>
      <c r="L1937" s="5"/>
    </row>
    <row r="1938" spans="1:12" x14ac:dyDescent="0.25">
      <c r="A1938" t="s">
        <v>2671</v>
      </c>
      <c r="B1938" t="s">
        <v>5259</v>
      </c>
      <c r="C1938" s="25">
        <v>9797</v>
      </c>
      <c r="D1938" s="28">
        <v>9797</v>
      </c>
      <c r="E1938" s="2" t="str">
        <f t="shared" si="63"/>
        <v>Same</v>
      </c>
      <c r="F1938" s="6" t="s">
        <v>1862</v>
      </c>
      <c r="H1938" s="2" t="s">
        <v>1816</v>
      </c>
      <c r="I1938" s="4">
        <f>[1]Sheet1!I1938</f>
        <v>300</v>
      </c>
      <c r="J1938" s="3" t="str">
        <f t="shared" si="61"/>
        <v>9797_A1C1.webp</v>
      </c>
      <c r="K1938" s="5">
        <f>Sheet4!E1938</f>
        <v>1</v>
      </c>
      <c r="L1938" s="5"/>
    </row>
    <row r="1939" spans="1:12" x14ac:dyDescent="0.25">
      <c r="A1939" t="s">
        <v>2671</v>
      </c>
      <c r="B1939" t="s">
        <v>5259</v>
      </c>
      <c r="C1939" s="25">
        <v>9798</v>
      </c>
      <c r="D1939" s="28">
        <v>9798</v>
      </c>
      <c r="E1939" s="2" t="str">
        <f t="shared" si="63"/>
        <v>Same</v>
      </c>
      <c r="F1939" s="6" t="s">
        <v>2089</v>
      </c>
      <c r="H1939" s="2" t="s">
        <v>1817</v>
      </c>
      <c r="I1939" s="4">
        <f>[1]Sheet1!I1939</f>
        <v>203</v>
      </c>
      <c r="J1939" s="3" t="str">
        <f t="shared" si="61"/>
        <v>9798_A1C1.webp</v>
      </c>
      <c r="K1939" s="5">
        <f>Sheet4!E1939</f>
        <v>1</v>
      </c>
      <c r="L1939" s="5"/>
    </row>
    <row r="1940" spans="1:12" x14ac:dyDescent="0.25">
      <c r="A1940" t="s">
        <v>2671</v>
      </c>
      <c r="B1940" t="s">
        <v>5259</v>
      </c>
      <c r="C1940" s="25">
        <v>9799</v>
      </c>
      <c r="D1940" s="28">
        <v>9799</v>
      </c>
      <c r="E1940" s="2" t="str">
        <f t="shared" si="63"/>
        <v>Same</v>
      </c>
      <c r="H1940" s="2" t="s">
        <v>1818</v>
      </c>
      <c r="I1940" s="4">
        <f>[1]Sheet1!I1940</f>
        <v>0</v>
      </c>
      <c r="J1940" s="3" t="str">
        <f t="shared" si="61"/>
        <v>9799_A1C1.webp</v>
      </c>
      <c r="K1940" s="5">
        <f>Sheet4!E1940</f>
        <v>1</v>
      </c>
      <c r="L1940" s="5"/>
    </row>
    <row r="1941" spans="1:12" x14ac:dyDescent="0.25">
      <c r="A1941" t="s">
        <v>2671</v>
      </c>
      <c r="B1941" t="s">
        <v>5259</v>
      </c>
      <c r="C1941" s="25">
        <v>9803</v>
      </c>
      <c r="D1941" s="28">
        <v>9803</v>
      </c>
      <c r="E1941" s="2" t="str">
        <f t="shared" si="63"/>
        <v>Same</v>
      </c>
      <c r="F1941" s="6" t="s">
        <v>2090</v>
      </c>
      <c r="G1941">
        <v>0.01</v>
      </c>
      <c r="H1941" s="2" t="s">
        <v>1819</v>
      </c>
      <c r="I1941" s="4">
        <f>[1]Sheet1!I1941</f>
        <v>349</v>
      </c>
      <c r="J1941" s="3" t="str">
        <f t="shared" si="61"/>
        <v>9803_A1C1.webp</v>
      </c>
      <c r="K1941" s="5">
        <f>Sheet4!E1941</f>
        <v>1</v>
      </c>
      <c r="L1941" s="5"/>
    </row>
    <row r="1942" spans="1:12" x14ac:dyDescent="0.25">
      <c r="A1942" t="s">
        <v>2671</v>
      </c>
      <c r="B1942" t="s">
        <v>5259</v>
      </c>
      <c r="C1942" s="25">
        <v>9807</v>
      </c>
      <c r="D1942" s="28">
        <v>9807</v>
      </c>
      <c r="E1942" s="2" t="str">
        <f t="shared" si="63"/>
        <v>Same</v>
      </c>
      <c r="F1942" s="6" t="s">
        <v>2090</v>
      </c>
      <c r="H1942" s="2" t="s">
        <v>1820</v>
      </c>
      <c r="I1942" s="4">
        <f>[1]Sheet1!I1942</f>
        <v>0</v>
      </c>
      <c r="J1942" s="3" t="str">
        <f t="shared" si="61"/>
        <v>9807_A1C1.webp</v>
      </c>
      <c r="K1942" s="5">
        <f>Sheet4!E1942</f>
        <v>1</v>
      </c>
      <c r="L1942" s="5"/>
    </row>
    <row r="1943" spans="1:12" x14ac:dyDescent="0.25">
      <c r="A1943" t="s">
        <v>2671</v>
      </c>
      <c r="B1943" t="s">
        <v>5259</v>
      </c>
      <c r="C1943" s="25">
        <v>9813</v>
      </c>
      <c r="D1943" s="28">
        <v>9813</v>
      </c>
      <c r="E1943" s="2" t="str">
        <f t="shared" si="63"/>
        <v>Same</v>
      </c>
      <c r="H1943" s="2" t="s">
        <v>1821</v>
      </c>
      <c r="I1943" s="4">
        <f>[1]Sheet1!I1943</f>
        <v>2</v>
      </c>
      <c r="J1943" s="3" t="str">
        <f t="shared" si="61"/>
        <v>9813_A1C1.webp</v>
      </c>
      <c r="K1943" s="5">
        <f>Sheet4!E1943</f>
        <v>1</v>
      </c>
      <c r="L1943" s="5"/>
    </row>
    <row r="1944" spans="1:12" x14ac:dyDescent="0.25">
      <c r="A1944" t="s">
        <v>2671</v>
      </c>
      <c r="B1944" t="s">
        <v>5259</v>
      </c>
      <c r="C1944" s="25">
        <v>9821</v>
      </c>
      <c r="D1944" s="28">
        <v>9821</v>
      </c>
      <c r="E1944" s="2" t="str">
        <f t="shared" si="63"/>
        <v>Same</v>
      </c>
      <c r="F1944" s="6" t="s">
        <v>1895</v>
      </c>
      <c r="H1944" s="2" t="s">
        <v>1822</v>
      </c>
      <c r="I1944" s="4">
        <f>[1]Sheet1!I1944</f>
        <v>0</v>
      </c>
      <c r="J1944" s="3" t="str">
        <f t="shared" si="61"/>
        <v>9821_A1C1.webp</v>
      </c>
      <c r="K1944" s="5">
        <f>Sheet4!E1944</f>
        <v>10</v>
      </c>
      <c r="L1944" s="5"/>
    </row>
    <row r="1945" spans="1:12" x14ac:dyDescent="0.25">
      <c r="A1945" t="s">
        <v>2671</v>
      </c>
      <c r="B1945" t="s">
        <v>5259</v>
      </c>
      <c r="C1945" s="25">
        <v>9838</v>
      </c>
      <c r="D1945" s="28">
        <v>9838</v>
      </c>
      <c r="E1945" s="2" t="str">
        <f t="shared" si="63"/>
        <v>Same</v>
      </c>
      <c r="F1945" s="6" t="s">
        <v>2091</v>
      </c>
      <c r="H1945" s="2" t="s">
        <v>1823</v>
      </c>
      <c r="I1945" s="4">
        <f>[1]Sheet1!I1945</f>
        <v>0</v>
      </c>
      <c r="J1945" s="3" t="str">
        <f t="shared" si="61"/>
        <v>9838_A1C1.webp</v>
      </c>
      <c r="K1945" s="5">
        <f>Sheet4!E1945</f>
        <v>1</v>
      </c>
      <c r="L1945" s="5"/>
    </row>
    <row r="1946" spans="1:12" x14ac:dyDescent="0.25">
      <c r="A1946" t="s">
        <v>2671</v>
      </c>
      <c r="B1946" t="s">
        <v>5259</v>
      </c>
      <c r="C1946" s="25">
        <v>9840</v>
      </c>
      <c r="D1946" s="28">
        <v>9840</v>
      </c>
      <c r="E1946" s="2" t="str">
        <f t="shared" si="63"/>
        <v>Same</v>
      </c>
      <c r="F1946" s="6" t="s">
        <v>2092</v>
      </c>
      <c r="H1946" s="2" t="s">
        <v>1824</v>
      </c>
      <c r="I1946" s="4">
        <f>[1]Sheet1!I1946</f>
        <v>0</v>
      </c>
      <c r="J1946" s="3" t="str">
        <f t="shared" si="61"/>
        <v>9840_A1C1.webp</v>
      </c>
      <c r="K1946" s="5">
        <f>Sheet4!E1946</f>
        <v>1</v>
      </c>
      <c r="L1946" s="5"/>
    </row>
    <row r="1947" spans="1:12" x14ac:dyDescent="0.25">
      <c r="A1947" t="s">
        <v>5265</v>
      </c>
      <c r="B1947" t="s">
        <v>5265</v>
      </c>
      <c r="C1947" s="25">
        <v>9841</v>
      </c>
      <c r="D1947" s="28">
        <v>9841</v>
      </c>
      <c r="E1947" s="2" t="str">
        <f t="shared" si="63"/>
        <v>Same</v>
      </c>
      <c r="H1947" s="2" t="s">
        <v>1825</v>
      </c>
      <c r="I1947" s="4">
        <f>[1]Sheet1!I1947</f>
        <v>0</v>
      </c>
      <c r="J1947" s="3" t="str">
        <f t="shared" si="61"/>
        <v>9841_A1C1.webp</v>
      </c>
      <c r="K1947" s="5">
        <f>Sheet4!E1947</f>
        <v>1</v>
      </c>
      <c r="L1947" s="5"/>
    </row>
    <row r="1948" spans="1:12" x14ac:dyDescent="0.25">
      <c r="A1948" t="s">
        <v>5265</v>
      </c>
      <c r="B1948" t="s">
        <v>5265</v>
      </c>
      <c r="C1948" s="25">
        <v>9842</v>
      </c>
      <c r="D1948" s="28">
        <v>9842</v>
      </c>
      <c r="E1948" s="2" t="str">
        <f t="shared" si="63"/>
        <v>Same</v>
      </c>
      <c r="H1948" s="2" t="s">
        <v>1826</v>
      </c>
      <c r="I1948" s="4">
        <f>[1]Sheet1!I1948</f>
        <v>0</v>
      </c>
      <c r="J1948" s="3" t="str">
        <f t="shared" si="61"/>
        <v>9842_A1C1.webp</v>
      </c>
      <c r="K1948" s="5">
        <f>Sheet4!E1948</f>
        <v>1</v>
      </c>
      <c r="L1948" s="5"/>
    </row>
    <row r="1949" spans="1:12" x14ac:dyDescent="0.25">
      <c r="A1949" t="s">
        <v>2671</v>
      </c>
      <c r="B1949" t="s">
        <v>5259</v>
      </c>
      <c r="C1949" s="25">
        <v>9846</v>
      </c>
      <c r="D1949" s="28">
        <v>9846</v>
      </c>
      <c r="E1949" s="2" t="str">
        <f t="shared" si="63"/>
        <v>Same</v>
      </c>
      <c r="H1949" s="2" t="s">
        <v>1827</v>
      </c>
      <c r="I1949" s="4">
        <f>[1]Sheet1!I1949</f>
        <v>0</v>
      </c>
      <c r="J1949" s="3" t="str">
        <f t="shared" si="61"/>
        <v>9846_A1C1.webp</v>
      </c>
      <c r="K1949" s="5">
        <f>Sheet4!E1949</f>
        <v>1</v>
      </c>
      <c r="L1949" s="5"/>
    </row>
    <row r="1950" spans="1:12" x14ac:dyDescent="0.25">
      <c r="A1950" t="s">
        <v>2671</v>
      </c>
      <c r="B1950" t="s">
        <v>5259</v>
      </c>
      <c r="C1950" s="25">
        <v>9859</v>
      </c>
      <c r="D1950" s="28">
        <v>9859</v>
      </c>
      <c r="E1950" s="2" t="str">
        <f t="shared" si="63"/>
        <v>Same</v>
      </c>
      <c r="H1950" s="2" t="s">
        <v>1828</v>
      </c>
      <c r="I1950" s="4">
        <f>[1]Sheet1!I1950</f>
        <v>0</v>
      </c>
      <c r="J1950" s="3" t="str">
        <f t="shared" si="61"/>
        <v>9859_A1C1.webp</v>
      </c>
      <c r="K1950" s="5">
        <f>Sheet4!E1950</f>
        <v>1</v>
      </c>
      <c r="L1950" s="5"/>
    </row>
    <row r="1951" spans="1:12" x14ac:dyDescent="0.25">
      <c r="A1951" t="s">
        <v>5267</v>
      </c>
      <c r="B1951" t="s">
        <v>5267</v>
      </c>
      <c r="C1951" s="28">
        <v>9861</v>
      </c>
      <c r="D1951" s="28">
        <v>9861</v>
      </c>
      <c r="E1951" s="2" t="str">
        <f t="shared" si="63"/>
        <v>Same</v>
      </c>
      <c r="F1951" s="2" t="s">
        <v>5405</v>
      </c>
      <c r="H1951" s="2" t="s">
        <v>5406</v>
      </c>
      <c r="I1951" s="4">
        <f>[1]Sheet1!I1951</f>
        <v>27</v>
      </c>
      <c r="J1951" s="3" t="str">
        <f t="shared" si="61"/>
        <v>9861_A1C1.webp</v>
      </c>
      <c r="K1951" s="5">
        <f>Sheet4!E1951</f>
        <v>300</v>
      </c>
      <c r="L1951" s="5" t="s">
        <v>5278</v>
      </c>
    </row>
    <row r="1952" spans="1:12" x14ac:dyDescent="0.25">
      <c r="A1952" t="s">
        <v>5267</v>
      </c>
      <c r="B1952" t="s">
        <v>5267</v>
      </c>
      <c r="C1952" s="28">
        <v>9862</v>
      </c>
      <c r="D1952" s="28">
        <v>9862</v>
      </c>
      <c r="E1952" s="2" t="str">
        <f t="shared" si="63"/>
        <v>Same</v>
      </c>
      <c r="F1952" s="2" t="s">
        <v>5405</v>
      </c>
      <c r="H1952" s="2" t="s">
        <v>5406</v>
      </c>
      <c r="I1952" s="4">
        <f>[1]Sheet1!I1952</f>
        <v>0</v>
      </c>
      <c r="J1952" s="3" t="str">
        <f t="shared" si="61"/>
        <v>9862_A1C1.webp</v>
      </c>
      <c r="K1952" s="5">
        <f>Sheet4!E1952</f>
        <v>300</v>
      </c>
      <c r="L1952" s="5" t="s">
        <v>5278</v>
      </c>
    </row>
    <row r="1953" spans="1:13" x14ac:dyDescent="0.25">
      <c r="A1953" t="s">
        <v>5267</v>
      </c>
      <c r="B1953" t="s">
        <v>5267</v>
      </c>
      <c r="C1953" s="25">
        <v>9868</v>
      </c>
      <c r="D1953" s="28">
        <v>9868</v>
      </c>
      <c r="E1953" s="2" t="str">
        <f t="shared" si="63"/>
        <v>Same</v>
      </c>
      <c r="F1953" s="6" t="s">
        <v>2093</v>
      </c>
      <c r="H1953" s="2" t="s">
        <v>1829</v>
      </c>
      <c r="I1953" s="4">
        <f>[1]Sheet1!I1953</f>
        <v>0</v>
      </c>
      <c r="J1953" s="3" t="str">
        <f t="shared" si="61"/>
        <v>9868_A1C1.webp</v>
      </c>
      <c r="K1953" s="5">
        <f>Sheet4!E1953</f>
        <v>50</v>
      </c>
      <c r="L1953" s="5"/>
    </row>
    <row r="1954" spans="1:13" x14ac:dyDescent="0.25">
      <c r="A1954" t="s">
        <v>2671</v>
      </c>
      <c r="B1954" t="s">
        <v>4838</v>
      </c>
      <c r="C1954" s="2">
        <v>9869</v>
      </c>
      <c r="D1954" s="28">
        <v>9869</v>
      </c>
      <c r="E1954" s="2" t="str">
        <f t="shared" si="63"/>
        <v>Same</v>
      </c>
      <c r="F1954" s="2" t="s">
        <v>2094</v>
      </c>
      <c r="H1954" s="2" t="s">
        <v>5388</v>
      </c>
      <c r="I1954" s="4">
        <f>[1]Sheet1!I1954</f>
        <v>3088</v>
      </c>
      <c r="J1954" s="3" t="str">
        <f t="shared" si="61"/>
        <v>9869_A1C1.webp</v>
      </c>
      <c r="K1954" s="5">
        <f>Sheet4!E1954</f>
        <v>144</v>
      </c>
      <c r="L1954" s="5" t="s">
        <v>5278</v>
      </c>
    </row>
    <row r="1955" spans="1:13" x14ac:dyDescent="0.25">
      <c r="A1955" t="s">
        <v>5267</v>
      </c>
      <c r="B1955" t="s">
        <v>5267</v>
      </c>
      <c r="C1955" s="25">
        <v>9870</v>
      </c>
      <c r="D1955" s="28">
        <v>9870</v>
      </c>
      <c r="E1955" s="2" t="str">
        <f t="shared" si="63"/>
        <v>Same</v>
      </c>
      <c r="F1955" s="6" t="s">
        <v>2094</v>
      </c>
      <c r="H1955" s="2" t="s">
        <v>1830</v>
      </c>
      <c r="I1955" s="4">
        <f>[1]Sheet1!I1955</f>
        <v>393</v>
      </c>
      <c r="J1955" s="3" t="str">
        <f t="shared" si="61"/>
        <v>9870_A1C1.webp</v>
      </c>
      <c r="K1955" s="5">
        <f>Sheet4!E1955</f>
        <v>80</v>
      </c>
      <c r="L1955" s="5"/>
    </row>
    <row r="1956" spans="1:13" x14ac:dyDescent="0.25">
      <c r="A1956" t="s">
        <v>5267</v>
      </c>
      <c r="B1956" t="s">
        <v>5267</v>
      </c>
      <c r="C1956" s="25">
        <v>9872</v>
      </c>
      <c r="D1956" s="28">
        <v>9872</v>
      </c>
      <c r="E1956" s="2" t="str">
        <f t="shared" si="63"/>
        <v>Same</v>
      </c>
      <c r="H1956" s="2" t="s">
        <v>1831</v>
      </c>
      <c r="I1956" s="4">
        <f>[1]Sheet1!I1956</f>
        <v>1625</v>
      </c>
      <c r="J1956" s="3" t="str">
        <f t="shared" si="61"/>
        <v>9872_A1C1.webp</v>
      </c>
      <c r="K1956" s="5">
        <f>Sheet4!E1956</f>
        <v>144</v>
      </c>
      <c r="L1956" s="5"/>
    </row>
    <row r="1957" spans="1:13" x14ac:dyDescent="0.25">
      <c r="A1957" t="s">
        <v>5267</v>
      </c>
      <c r="B1957" t="s">
        <v>5267</v>
      </c>
      <c r="C1957" s="25">
        <v>9874</v>
      </c>
      <c r="D1957" s="28">
        <v>9874</v>
      </c>
      <c r="E1957" s="2" t="str">
        <f t="shared" si="63"/>
        <v>Same</v>
      </c>
      <c r="F1957" s="6" t="s">
        <v>2095</v>
      </c>
      <c r="H1957" s="2" t="s">
        <v>1832</v>
      </c>
      <c r="I1957" s="4">
        <f>[1]Sheet1!I1957</f>
        <v>46</v>
      </c>
      <c r="J1957" s="3" t="str">
        <f t="shared" si="61"/>
        <v>9874_A1C1.webp</v>
      </c>
      <c r="K1957" s="5">
        <f>Sheet4!E1957</f>
        <v>300</v>
      </c>
      <c r="L1957" s="5"/>
    </row>
    <row r="1958" spans="1:13" x14ac:dyDescent="0.25">
      <c r="A1958" t="s">
        <v>2671</v>
      </c>
      <c r="B1958" t="s">
        <v>5259</v>
      </c>
      <c r="C1958" s="25">
        <v>9883</v>
      </c>
      <c r="D1958" s="28">
        <v>9883</v>
      </c>
      <c r="E1958" s="2" t="str">
        <f t="shared" si="63"/>
        <v>Same</v>
      </c>
      <c r="F1958" s="6" t="s">
        <v>2096</v>
      </c>
      <c r="G1958">
        <v>0</v>
      </c>
      <c r="H1958" s="2" t="s">
        <v>1833</v>
      </c>
      <c r="I1958" s="4">
        <f>[1]Sheet1!I1958</f>
        <v>15</v>
      </c>
      <c r="J1958" s="3" t="str">
        <f t="shared" si="61"/>
        <v>9883_A1C1.webp</v>
      </c>
      <c r="K1958" s="5">
        <f>Sheet4!E1958</f>
        <v>1</v>
      </c>
      <c r="L1958" s="5"/>
    </row>
    <row r="1959" spans="1:13" x14ac:dyDescent="0.25">
      <c r="A1959" t="s">
        <v>2671</v>
      </c>
      <c r="B1959" t="s">
        <v>5259</v>
      </c>
      <c r="C1959" s="25">
        <v>9884</v>
      </c>
      <c r="D1959" s="28">
        <v>9884</v>
      </c>
      <c r="E1959" s="2" t="str">
        <f t="shared" si="63"/>
        <v>Same</v>
      </c>
      <c r="F1959" s="6" t="s">
        <v>2097</v>
      </c>
      <c r="G1959">
        <v>0.01</v>
      </c>
      <c r="H1959" s="2" t="s">
        <v>1834</v>
      </c>
      <c r="I1959" s="4">
        <f>[1]Sheet1!I1959</f>
        <v>59</v>
      </c>
      <c r="J1959" s="3" t="str">
        <f t="shared" si="61"/>
        <v>9884_A1C1.webp</v>
      </c>
      <c r="K1959" s="5">
        <f>Sheet4!E1959</f>
        <v>1</v>
      </c>
      <c r="L1959" s="5"/>
    </row>
    <row r="1960" spans="1:13" x14ac:dyDescent="0.25">
      <c r="A1960" t="s">
        <v>2671</v>
      </c>
      <c r="B1960" t="s">
        <v>5259</v>
      </c>
      <c r="C1960" s="25">
        <v>9895</v>
      </c>
      <c r="D1960" s="28">
        <v>9895</v>
      </c>
      <c r="E1960" s="2" t="str">
        <f t="shared" si="63"/>
        <v>Same</v>
      </c>
      <c r="F1960" s="6" t="s">
        <v>2098</v>
      </c>
      <c r="H1960" s="2" t="s">
        <v>1835</v>
      </c>
      <c r="I1960" s="4">
        <f>[1]Sheet1!I1960</f>
        <v>0</v>
      </c>
      <c r="J1960" s="3" t="str">
        <f t="shared" si="61"/>
        <v>9895_A1C1.webp</v>
      </c>
      <c r="K1960" s="5">
        <f>Sheet4!E1960</f>
        <v>1</v>
      </c>
      <c r="L1960" s="5"/>
    </row>
    <row r="1961" spans="1:13" x14ac:dyDescent="0.25">
      <c r="A1961" t="s">
        <v>2671</v>
      </c>
      <c r="B1961" t="s">
        <v>5259</v>
      </c>
      <c r="C1961" s="25">
        <v>9902</v>
      </c>
      <c r="D1961" s="28">
        <v>9902</v>
      </c>
      <c r="E1961" s="2" t="str">
        <f t="shared" si="63"/>
        <v>Same</v>
      </c>
      <c r="H1961" s="2" t="s">
        <v>1836</v>
      </c>
      <c r="I1961" s="4">
        <f>[1]Sheet1!I1961</f>
        <v>0</v>
      </c>
      <c r="J1961" s="3" t="str">
        <f t="shared" si="61"/>
        <v>9902_A1C1.webp</v>
      </c>
      <c r="K1961" s="5">
        <f>Sheet4!E1961</f>
        <v>1</v>
      </c>
      <c r="L1961" s="5"/>
    </row>
    <row r="1962" spans="1:13" x14ac:dyDescent="0.25">
      <c r="A1962" t="s">
        <v>2671</v>
      </c>
      <c r="B1962" t="s">
        <v>5259</v>
      </c>
      <c r="C1962" s="25">
        <v>9948</v>
      </c>
      <c r="D1962" s="28">
        <v>9948</v>
      </c>
      <c r="E1962" s="2" t="str">
        <f t="shared" ref="E1962:E1983" si="64">IF(C1962=D1962, "Same","New")</f>
        <v>Same</v>
      </c>
      <c r="F1962" s="6" t="s">
        <v>2099</v>
      </c>
      <c r="H1962" s="2" t="s">
        <v>1837</v>
      </c>
      <c r="I1962" s="4">
        <f>[1]Sheet1!I1962</f>
        <v>0</v>
      </c>
      <c r="J1962" s="3" t="str">
        <f t="shared" si="61"/>
        <v>9948_A1C1.webp</v>
      </c>
      <c r="K1962" s="5">
        <f>Sheet4!E1962</f>
        <v>1</v>
      </c>
      <c r="L1962" s="5"/>
    </row>
    <row r="1963" spans="1:13" x14ac:dyDescent="0.25">
      <c r="A1963" t="s">
        <v>5267</v>
      </c>
      <c r="B1963" t="s">
        <v>7511</v>
      </c>
      <c r="C1963" s="28">
        <v>9951</v>
      </c>
      <c r="D1963" s="28">
        <v>9951</v>
      </c>
      <c r="E1963" s="2" t="str">
        <f t="shared" si="64"/>
        <v>Same</v>
      </c>
      <c r="F1963">
        <f>Sheet4!F1963</f>
        <v>0</v>
      </c>
      <c r="H1963" t="str">
        <f>Sheet4!H1963</f>
        <v>GOYA 90 POP ART TEE SM</v>
      </c>
      <c r="I1963" s="4">
        <f>[1]Sheet1!I1963</f>
        <v>0</v>
      </c>
      <c r="J1963" s="3" t="str">
        <f t="shared" si="61"/>
        <v>9951_A1C1.webp</v>
      </c>
      <c r="K1963" s="5">
        <f>Sheet4!E1963</f>
        <v>70</v>
      </c>
      <c r="M1963" t="s">
        <v>5278</v>
      </c>
    </row>
    <row r="1964" spans="1:13" x14ac:dyDescent="0.25">
      <c r="A1964" t="s">
        <v>5267</v>
      </c>
      <c r="B1964" t="s">
        <v>7511</v>
      </c>
      <c r="C1964" s="28">
        <v>9952</v>
      </c>
      <c r="D1964" s="28">
        <v>9952</v>
      </c>
      <c r="E1964" s="2" t="str">
        <f t="shared" si="64"/>
        <v>Same</v>
      </c>
      <c r="F1964">
        <f>Sheet4!F1964</f>
        <v>0</v>
      </c>
      <c r="H1964" t="str">
        <f>Sheet4!H1964</f>
        <v>GOYA 90 POP ART TEE MD</v>
      </c>
      <c r="I1964" s="4">
        <f>[1]Sheet1!I1964</f>
        <v>0</v>
      </c>
      <c r="J1964" s="3" t="str">
        <f t="shared" si="61"/>
        <v>9952_A1C1.webp</v>
      </c>
      <c r="K1964" s="5">
        <f>Sheet4!E1964</f>
        <v>72</v>
      </c>
      <c r="M1964" t="s">
        <v>5278</v>
      </c>
    </row>
    <row r="1965" spans="1:13" x14ac:dyDescent="0.25">
      <c r="A1965" t="s">
        <v>5267</v>
      </c>
      <c r="B1965" t="s">
        <v>7511</v>
      </c>
      <c r="C1965" s="28">
        <v>9953</v>
      </c>
      <c r="D1965" s="28">
        <v>9953</v>
      </c>
      <c r="E1965" s="2" t="str">
        <f t="shared" si="64"/>
        <v>Same</v>
      </c>
      <c r="F1965">
        <f>Sheet4!F1965</f>
        <v>0</v>
      </c>
      <c r="H1965" t="str">
        <f>Sheet4!H1965</f>
        <v>GOYA 90 POP ART TEE LG</v>
      </c>
      <c r="I1965" s="4">
        <f>[1]Sheet1!I1965</f>
        <v>0</v>
      </c>
      <c r="J1965" s="3" t="str">
        <f t="shared" si="61"/>
        <v>9953_A1C1.webp</v>
      </c>
      <c r="K1965" s="5">
        <f>Sheet4!E1965</f>
        <v>72</v>
      </c>
      <c r="M1965" t="s">
        <v>5278</v>
      </c>
    </row>
    <row r="1966" spans="1:13" x14ac:dyDescent="0.25">
      <c r="A1966" t="s">
        <v>5267</v>
      </c>
      <c r="B1966" t="s">
        <v>7511</v>
      </c>
      <c r="C1966" s="28">
        <v>9954</v>
      </c>
      <c r="D1966" s="28">
        <v>9954</v>
      </c>
      <c r="E1966" s="2" t="str">
        <f t="shared" si="64"/>
        <v>Same</v>
      </c>
      <c r="F1966">
        <f>Sheet4!F1966</f>
        <v>0</v>
      </c>
      <c r="H1966" t="str">
        <f>Sheet4!H1966</f>
        <v>GOYA 90 POP ART TEE XL</v>
      </c>
      <c r="I1966" s="4">
        <f>[1]Sheet1!I1966</f>
        <v>0</v>
      </c>
      <c r="J1966" s="3" t="str">
        <f t="shared" si="61"/>
        <v>9954_A1C1.webp</v>
      </c>
      <c r="K1966" s="5">
        <f>Sheet4!E1966</f>
        <v>75</v>
      </c>
      <c r="M1966" t="s">
        <v>5278</v>
      </c>
    </row>
    <row r="1967" spans="1:13" x14ac:dyDescent="0.25">
      <c r="A1967" t="s">
        <v>5267</v>
      </c>
      <c r="B1967" t="s">
        <v>7511</v>
      </c>
      <c r="C1967" s="28">
        <v>9955</v>
      </c>
      <c r="D1967" s="28">
        <v>9955</v>
      </c>
      <c r="E1967" s="2" t="str">
        <f t="shared" si="64"/>
        <v>Same</v>
      </c>
      <c r="F1967">
        <f>Sheet4!F1967</f>
        <v>0</v>
      </c>
      <c r="H1967" t="str">
        <f>Sheet4!H1967</f>
        <v>GOYA 90 POP ART TEE 2XL</v>
      </c>
      <c r="I1967" s="4">
        <f>[1]Sheet1!I1967</f>
        <v>0</v>
      </c>
      <c r="J1967" s="3" t="str">
        <f t="shared" si="61"/>
        <v>9955_A1C1.webp</v>
      </c>
      <c r="K1967" s="5">
        <f>Sheet4!E1967</f>
        <v>50</v>
      </c>
      <c r="M1967" t="s">
        <v>5278</v>
      </c>
    </row>
    <row r="1968" spans="1:13" x14ac:dyDescent="0.25">
      <c r="A1968" t="s">
        <v>5267</v>
      </c>
      <c r="B1968" t="s">
        <v>7511</v>
      </c>
      <c r="C1968" s="28">
        <v>9957</v>
      </c>
      <c r="D1968" s="28">
        <v>9957</v>
      </c>
      <c r="E1968" s="2" t="str">
        <f t="shared" si="64"/>
        <v>Same</v>
      </c>
      <c r="F1968">
        <f>Sheet4!F1968</f>
        <v>0</v>
      </c>
      <c r="H1968" t="str">
        <f>Sheet4!H1968</f>
        <v>GOYA 90 SABOR TEE SM</v>
      </c>
      <c r="I1968" s="4">
        <f>[1]Sheet1!I1968</f>
        <v>0</v>
      </c>
      <c r="J1968" s="3" t="str">
        <f t="shared" si="61"/>
        <v>9957_A1C1.webp</v>
      </c>
      <c r="K1968" s="5">
        <f>Sheet4!E1968</f>
        <v>70</v>
      </c>
      <c r="M1968" t="s">
        <v>5278</v>
      </c>
    </row>
    <row r="1969" spans="1:13" x14ac:dyDescent="0.25">
      <c r="A1969" t="s">
        <v>5267</v>
      </c>
      <c r="B1969" t="s">
        <v>7511</v>
      </c>
      <c r="C1969" s="28">
        <v>9958</v>
      </c>
      <c r="D1969" s="28">
        <v>9958</v>
      </c>
      <c r="E1969" s="2" t="str">
        <f t="shared" si="64"/>
        <v>Same</v>
      </c>
      <c r="F1969">
        <f>Sheet4!F1969</f>
        <v>0</v>
      </c>
      <c r="H1969" t="str">
        <f>Sheet4!H1969</f>
        <v>GOYA 90 SABOR TEE MD</v>
      </c>
      <c r="I1969" s="4">
        <f>[1]Sheet1!I1969</f>
        <v>0</v>
      </c>
      <c r="J1969" s="3" t="str">
        <f t="shared" si="61"/>
        <v>9958_A1C1.webp</v>
      </c>
      <c r="K1969" s="5">
        <f>Sheet4!E1969</f>
        <v>72</v>
      </c>
      <c r="M1969" t="s">
        <v>5278</v>
      </c>
    </row>
    <row r="1970" spans="1:13" x14ac:dyDescent="0.25">
      <c r="A1970" t="s">
        <v>5267</v>
      </c>
      <c r="B1970" t="s">
        <v>7511</v>
      </c>
      <c r="C1970" s="28">
        <v>9959</v>
      </c>
      <c r="D1970" s="28">
        <v>9959</v>
      </c>
      <c r="E1970" s="2" t="str">
        <f t="shared" si="64"/>
        <v>Same</v>
      </c>
      <c r="F1970">
        <f>Sheet4!F1970</f>
        <v>0</v>
      </c>
      <c r="H1970" t="str">
        <f>Sheet4!H1970</f>
        <v>GOYA 90 SABOR TEE LG</v>
      </c>
      <c r="I1970" s="4">
        <f>[1]Sheet1!I1970</f>
        <v>0</v>
      </c>
      <c r="J1970" s="3" t="str">
        <f t="shared" si="61"/>
        <v>9959_A1C1.webp</v>
      </c>
      <c r="K1970" s="5">
        <f>Sheet4!E1970</f>
        <v>72</v>
      </c>
      <c r="M1970" t="s">
        <v>5278</v>
      </c>
    </row>
    <row r="1971" spans="1:13" x14ac:dyDescent="0.25">
      <c r="A1971" t="s">
        <v>5267</v>
      </c>
      <c r="B1971" t="s">
        <v>7511</v>
      </c>
      <c r="C1971" s="28">
        <v>9960</v>
      </c>
      <c r="D1971" s="28">
        <v>9960</v>
      </c>
      <c r="E1971" s="2" t="str">
        <f t="shared" si="64"/>
        <v>Same</v>
      </c>
      <c r="F1971">
        <f>Sheet4!F1971</f>
        <v>0</v>
      </c>
      <c r="H1971" t="str">
        <f>Sheet4!H1971</f>
        <v>GOYA 90 SABOR TEE XL</v>
      </c>
      <c r="I1971" s="4">
        <f>[1]Sheet1!I1971</f>
        <v>0</v>
      </c>
      <c r="J1971" s="3" t="str">
        <f t="shared" si="61"/>
        <v>9960_A1C1.webp</v>
      </c>
      <c r="K1971" s="5">
        <f>Sheet4!E1971</f>
        <v>75</v>
      </c>
      <c r="M1971" t="s">
        <v>5278</v>
      </c>
    </row>
    <row r="1972" spans="1:13" x14ac:dyDescent="0.25">
      <c r="A1972" t="s">
        <v>5267</v>
      </c>
      <c r="B1972" t="s">
        <v>7511</v>
      </c>
      <c r="C1972" s="28">
        <v>9961</v>
      </c>
      <c r="D1972" s="28">
        <v>9961</v>
      </c>
      <c r="E1972" s="2" t="str">
        <f t="shared" si="64"/>
        <v>Same</v>
      </c>
      <c r="F1972">
        <f>Sheet4!F1972</f>
        <v>0</v>
      </c>
      <c r="H1972" t="str">
        <f>Sheet4!H1972</f>
        <v>GOYA 90 SABOR TEE 2XL</v>
      </c>
      <c r="I1972" s="4">
        <f>[1]Sheet1!I1972</f>
        <v>0</v>
      </c>
      <c r="J1972" s="3" t="str">
        <f t="shared" si="61"/>
        <v>9961_A1C1.webp</v>
      </c>
      <c r="K1972" s="5">
        <f>Sheet4!E1972</f>
        <v>50</v>
      </c>
      <c r="M1972" t="s">
        <v>5278</v>
      </c>
    </row>
    <row r="1973" spans="1:13" x14ac:dyDescent="0.25">
      <c r="A1973" t="s">
        <v>5267</v>
      </c>
      <c r="B1973" t="s">
        <v>7511</v>
      </c>
      <c r="C1973" s="28">
        <v>9964</v>
      </c>
      <c r="D1973" s="28">
        <v>9964</v>
      </c>
      <c r="E1973" s="2" t="str">
        <f t="shared" si="64"/>
        <v>Same</v>
      </c>
      <c r="F1973">
        <f>Sheet4!F1973</f>
        <v>0</v>
      </c>
      <c r="H1973" t="str">
        <f>Sheet4!H1973</f>
        <v>GOYA UNANUE &amp; SONS, INC.TEE SM</v>
      </c>
      <c r="I1973" s="4">
        <f>[1]Sheet1!I1973</f>
        <v>0</v>
      </c>
      <c r="J1973" s="3" t="str">
        <f t="shared" si="61"/>
        <v>9964_A1C1.webp</v>
      </c>
      <c r="K1973" s="5">
        <f>Sheet4!E1973</f>
        <v>75</v>
      </c>
      <c r="M1973" t="s">
        <v>5278</v>
      </c>
    </row>
    <row r="1974" spans="1:13" x14ac:dyDescent="0.25">
      <c r="A1974" t="s">
        <v>5267</v>
      </c>
      <c r="B1974" t="s">
        <v>7511</v>
      </c>
      <c r="C1974" s="28">
        <v>9965</v>
      </c>
      <c r="D1974" s="28">
        <v>9965</v>
      </c>
      <c r="E1974" s="2" t="str">
        <f t="shared" si="64"/>
        <v>Same</v>
      </c>
      <c r="F1974">
        <f>Sheet4!F1974</f>
        <v>0</v>
      </c>
      <c r="H1974" t="str">
        <f>Sheet4!H1974</f>
        <v>GOYA UNANUE &amp; SONS, INC.TEE MD</v>
      </c>
      <c r="I1974" s="4">
        <f>[1]Sheet1!I1974</f>
        <v>0</v>
      </c>
      <c r="J1974" s="3" t="str">
        <f t="shared" si="61"/>
        <v>9965_A1C1.webp</v>
      </c>
      <c r="K1974" s="5">
        <f>Sheet4!E1974</f>
        <v>84</v>
      </c>
      <c r="M1974" t="s">
        <v>5278</v>
      </c>
    </row>
    <row r="1975" spans="1:13" x14ac:dyDescent="0.25">
      <c r="A1975" t="s">
        <v>5267</v>
      </c>
      <c r="B1975" t="s">
        <v>7511</v>
      </c>
      <c r="C1975" s="28">
        <v>9966</v>
      </c>
      <c r="D1975" s="28">
        <v>9966</v>
      </c>
      <c r="E1975" s="2" t="str">
        <f t="shared" si="64"/>
        <v>Same</v>
      </c>
      <c r="F1975">
        <f>Sheet4!F1975</f>
        <v>0</v>
      </c>
      <c r="H1975" t="str">
        <f>Sheet4!H1975</f>
        <v>GOYA UNANUE &amp; SONS, INC.TEE LG</v>
      </c>
      <c r="I1975" s="4">
        <f>[1]Sheet1!I1975</f>
        <v>0</v>
      </c>
      <c r="J1975" s="3" t="str">
        <f t="shared" si="61"/>
        <v>9966_A1C1.webp</v>
      </c>
      <c r="K1975" s="5">
        <f>Sheet4!E1975</f>
        <v>80</v>
      </c>
      <c r="M1975" t="s">
        <v>5278</v>
      </c>
    </row>
    <row r="1976" spans="1:13" x14ac:dyDescent="0.25">
      <c r="A1976" t="s">
        <v>5267</v>
      </c>
      <c r="B1976" t="s">
        <v>7511</v>
      </c>
      <c r="C1976" s="28">
        <v>9967</v>
      </c>
      <c r="D1976" s="28">
        <v>9967</v>
      </c>
      <c r="E1976" s="2" t="str">
        <f t="shared" si="64"/>
        <v>Same</v>
      </c>
      <c r="F1976">
        <f>Sheet4!F1976</f>
        <v>0</v>
      </c>
      <c r="H1976" t="str">
        <f>Sheet4!H1976</f>
        <v>GOYA UNANUE &amp; SONS, INC.TEE XL</v>
      </c>
      <c r="I1976" s="4">
        <f>[1]Sheet1!I1976</f>
        <v>0</v>
      </c>
      <c r="J1976" s="3" t="str">
        <f t="shared" si="61"/>
        <v>9967_A1C1.webp</v>
      </c>
      <c r="K1976" s="5">
        <f>Sheet4!E1976</f>
        <v>50</v>
      </c>
      <c r="M1976" t="s">
        <v>5278</v>
      </c>
    </row>
    <row r="1977" spans="1:13" x14ac:dyDescent="0.25">
      <c r="A1977" t="s">
        <v>5267</v>
      </c>
      <c r="B1977" t="s">
        <v>7511</v>
      </c>
      <c r="C1977" s="28">
        <v>9968</v>
      </c>
      <c r="D1977" s="28">
        <v>9968</v>
      </c>
      <c r="E1977" s="2" t="str">
        <f t="shared" si="64"/>
        <v>Same</v>
      </c>
      <c r="F1977">
        <f>Sheet4!F1977</f>
        <v>0</v>
      </c>
      <c r="H1977" t="str">
        <f>Sheet4!H1977</f>
        <v>GOYA UNANUE &amp; SONS INC.TEE 2XL</v>
      </c>
      <c r="I1977" s="4">
        <f>[1]Sheet1!I1977</f>
        <v>0</v>
      </c>
      <c r="J1977" s="3" t="str">
        <f t="shared" si="61"/>
        <v>9968_A1C1.webp</v>
      </c>
      <c r="K1977" s="5">
        <f>Sheet4!E1977</f>
        <v>50</v>
      </c>
      <c r="M1977" t="s">
        <v>5278</v>
      </c>
    </row>
    <row r="1978" spans="1:13" x14ac:dyDescent="0.25">
      <c r="A1978" t="s">
        <v>5267</v>
      </c>
      <c r="B1978" t="s">
        <v>7511</v>
      </c>
      <c r="C1978" s="28">
        <v>9971</v>
      </c>
      <c r="D1978" s="28">
        <v>9971</v>
      </c>
      <c r="E1978" s="2" t="str">
        <f t="shared" si="64"/>
        <v>Same</v>
      </c>
      <c r="F1978">
        <f>Sheet4!F1978</f>
        <v>0</v>
      </c>
      <c r="H1978" t="str">
        <f>Sheet4!H1978</f>
        <v>GOYA COOL BEAN TEE SM</v>
      </c>
      <c r="I1978" s="4">
        <f>[1]Sheet1!I1978</f>
        <v>0</v>
      </c>
      <c r="J1978" s="3" t="str">
        <f t="shared" si="61"/>
        <v>9971_A1C1.webp</v>
      </c>
      <c r="K1978" s="5">
        <f>Sheet4!E1978</f>
        <v>75</v>
      </c>
      <c r="M1978" t="s">
        <v>5278</v>
      </c>
    </row>
    <row r="1979" spans="1:13" x14ac:dyDescent="0.25">
      <c r="A1979" t="s">
        <v>5267</v>
      </c>
      <c r="B1979" t="s">
        <v>7511</v>
      </c>
      <c r="C1979" s="28">
        <v>9972</v>
      </c>
      <c r="D1979" s="28">
        <v>9972</v>
      </c>
      <c r="E1979" s="2" t="str">
        <f t="shared" si="64"/>
        <v>Same</v>
      </c>
      <c r="F1979">
        <f>Sheet4!F1979</f>
        <v>0</v>
      </c>
      <c r="H1979" t="str">
        <f>Sheet4!H1979</f>
        <v>GOYA COOL BEAN TEE MD</v>
      </c>
      <c r="I1979" s="4">
        <f>[1]Sheet1!I1979</f>
        <v>0</v>
      </c>
      <c r="J1979" s="3" t="str">
        <f t="shared" si="61"/>
        <v>9972_A1C1.webp</v>
      </c>
      <c r="K1979" s="5">
        <f>Sheet4!E1979</f>
        <v>83</v>
      </c>
      <c r="M1979" t="s">
        <v>5278</v>
      </c>
    </row>
    <row r="1980" spans="1:13" x14ac:dyDescent="0.25">
      <c r="A1980" t="s">
        <v>5267</v>
      </c>
      <c r="B1980" t="s">
        <v>7511</v>
      </c>
      <c r="C1980" s="28">
        <v>9973</v>
      </c>
      <c r="D1980" s="28">
        <v>9973</v>
      </c>
      <c r="E1980" s="2" t="str">
        <f t="shared" si="64"/>
        <v>Same</v>
      </c>
      <c r="F1980">
        <f>Sheet4!F1980</f>
        <v>0</v>
      </c>
      <c r="H1980" t="str">
        <f>Sheet4!H1980</f>
        <v>GOYA COOL BEAN TEE LG</v>
      </c>
      <c r="I1980" s="4">
        <f>[1]Sheet1!I1980</f>
        <v>0</v>
      </c>
      <c r="J1980" s="3" t="str">
        <f t="shared" si="61"/>
        <v>9973_A1C1.webp</v>
      </c>
      <c r="K1980" s="5">
        <f>Sheet4!E1980</f>
        <v>80</v>
      </c>
      <c r="M1980" t="s">
        <v>5278</v>
      </c>
    </row>
    <row r="1981" spans="1:13" x14ac:dyDescent="0.25">
      <c r="A1981" t="s">
        <v>5267</v>
      </c>
      <c r="B1981" t="s">
        <v>7511</v>
      </c>
      <c r="C1981" s="28">
        <v>9974</v>
      </c>
      <c r="D1981" s="28">
        <v>9974</v>
      </c>
      <c r="E1981" s="2" t="str">
        <f t="shared" si="64"/>
        <v>Same</v>
      </c>
      <c r="F1981">
        <f>Sheet4!F1981</f>
        <v>0</v>
      </c>
      <c r="H1981" t="str">
        <f>Sheet4!H1981</f>
        <v>GOYA COOL BEAN TEE XL</v>
      </c>
      <c r="I1981" s="4">
        <f>[1]Sheet1!I1981</f>
        <v>0</v>
      </c>
      <c r="J1981" s="3" t="str">
        <f t="shared" si="61"/>
        <v>9974_A1C1.webp</v>
      </c>
      <c r="K1981" s="5">
        <f>Sheet4!E1981</f>
        <v>75</v>
      </c>
      <c r="M1981" t="s">
        <v>5278</v>
      </c>
    </row>
    <row r="1982" spans="1:13" x14ac:dyDescent="0.25">
      <c r="A1982" t="s">
        <v>5267</v>
      </c>
      <c r="B1982" t="s">
        <v>7511</v>
      </c>
      <c r="C1982" s="28">
        <v>9975</v>
      </c>
      <c r="D1982" s="28">
        <v>9975</v>
      </c>
      <c r="E1982" s="2" t="str">
        <f t="shared" si="64"/>
        <v>Same</v>
      </c>
      <c r="F1982">
        <f>Sheet4!F1982</f>
        <v>0</v>
      </c>
      <c r="H1982" t="str">
        <f>Sheet4!H1982</f>
        <v>GOYA COOL BEAN TEE 2XL</v>
      </c>
      <c r="I1982" s="4">
        <f>[1]Sheet1!I1982</f>
        <v>0</v>
      </c>
      <c r="J1982" s="3" t="str">
        <f t="shared" si="61"/>
        <v>9975_A1C1.webp</v>
      </c>
      <c r="K1982" s="5">
        <f>Sheet4!E1982</f>
        <v>50</v>
      </c>
      <c r="M1982" t="s">
        <v>5278</v>
      </c>
    </row>
    <row r="1983" spans="1:13" x14ac:dyDescent="0.25">
      <c r="A1983" t="s">
        <v>2671</v>
      </c>
      <c r="B1983" t="s">
        <v>5259</v>
      </c>
      <c r="C1983" s="25">
        <v>9988</v>
      </c>
      <c r="D1983" s="28">
        <v>9988</v>
      </c>
      <c r="E1983" s="2" t="str">
        <f t="shared" si="64"/>
        <v>Same</v>
      </c>
      <c r="H1983" s="2" t="s">
        <v>1838</v>
      </c>
      <c r="I1983" s="4">
        <f>[1]Sheet1!I1983</f>
        <v>79</v>
      </c>
      <c r="J1983" s="3" t="str">
        <f t="shared" si="61"/>
        <v>9988_A1C1.webp</v>
      </c>
      <c r="K1983" s="5">
        <f>Sheet4!E1983</f>
        <v>1</v>
      </c>
    </row>
  </sheetData>
  <autoFilter ref="A1:L1" xr:uid="{9E103BB6-D535-4A32-96B4-EC7ABEDCE004}"/>
  <phoneticPr fontId="6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0712-33F1-1A4B-AB06-33BADC14A4BE}">
  <dimension ref="A1:N1983"/>
  <sheetViews>
    <sheetView topLeftCell="A1930" zoomScaleNormal="100" zoomScaleSheetLayoutView="100" workbookViewId="0">
      <selection activeCell="H1581" sqref="H1581"/>
    </sheetView>
  </sheetViews>
  <sheetFormatPr defaultRowHeight="15" x14ac:dyDescent="0.25"/>
  <cols>
    <col min="1" max="1" width="16.28515625" customWidth="1"/>
    <col min="2" max="2" width="17.28515625" customWidth="1"/>
    <col min="5" max="5" width="11.140625" customWidth="1"/>
    <col min="6" max="6" width="20.28515625" customWidth="1"/>
    <col min="8" max="8" width="35.5703125" customWidth="1"/>
    <col min="9" max="10" width="12.140625" customWidth="1"/>
    <col min="11" max="11" width="40.5703125" customWidth="1"/>
    <col min="12" max="12" width="17.28515625" customWidth="1"/>
    <col min="13" max="13" width="15.28515625" customWidth="1"/>
    <col min="14" max="14" width="17.28515625" customWidth="1"/>
    <col min="257" max="257" width="16.28515625" customWidth="1"/>
    <col min="258" max="258" width="17.28515625" customWidth="1"/>
    <col min="261" max="261" width="11.140625" customWidth="1"/>
    <col min="262" max="262" width="20.28515625" customWidth="1"/>
    <col min="264" max="264" width="35.5703125" customWidth="1"/>
    <col min="265" max="266" width="12.140625" customWidth="1"/>
    <col min="267" max="267" width="40.5703125" customWidth="1"/>
    <col min="268" max="268" width="17.28515625" customWidth="1"/>
    <col min="269" max="269" width="15.28515625" customWidth="1"/>
    <col min="270" max="270" width="17.28515625" customWidth="1"/>
    <col min="513" max="513" width="16.28515625" customWidth="1"/>
    <col min="514" max="514" width="17.28515625" customWidth="1"/>
    <col min="517" max="517" width="11.140625" customWidth="1"/>
    <col min="518" max="518" width="20.28515625" customWidth="1"/>
    <col min="520" max="520" width="35.5703125" customWidth="1"/>
    <col min="521" max="522" width="12.140625" customWidth="1"/>
    <col min="523" max="523" width="40.5703125" customWidth="1"/>
    <col min="524" max="524" width="17.28515625" customWidth="1"/>
    <col min="525" max="525" width="15.28515625" customWidth="1"/>
    <col min="526" max="526" width="17.28515625" customWidth="1"/>
    <col min="769" max="769" width="16.28515625" customWidth="1"/>
    <col min="770" max="770" width="17.28515625" customWidth="1"/>
    <col min="773" max="773" width="11.140625" customWidth="1"/>
    <col min="774" max="774" width="20.28515625" customWidth="1"/>
    <col min="776" max="776" width="35.5703125" customWidth="1"/>
    <col min="777" max="778" width="12.140625" customWidth="1"/>
    <col min="779" max="779" width="40.5703125" customWidth="1"/>
    <col min="780" max="780" width="17.28515625" customWidth="1"/>
    <col min="781" max="781" width="15.28515625" customWidth="1"/>
    <col min="782" max="782" width="17.28515625" customWidth="1"/>
    <col min="1025" max="1025" width="16.28515625" customWidth="1"/>
    <col min="1026" max="1026" width="17.28515625" customWidth="1"/>
    <col min="1029" max="1029" width="11.140625" customWidth="1"/>
    <col min="1030" max="1030" width="20.28515625" customWidth="1"/>
    <col min="1032" max="1032" width="35.5703125" customWidth="1"/>
    <col min="1033" max="1034" width="12.140625" customWidth="1"/>
    <col min="1035" max="1035" width="40.5703125" customWidth="1"/>
    <col min="1036" max="1036" width="17.28515625" customWidth="1"/>
    <col min="1037" max="1037" width="15.28515625" customWidth="1"/>
    <col min="1038" max="1038" width="17.28515625" customWidth="1"/>
    <col min="1281" max="1281" width="16.28515625" customWidth="1"/>
    <col min="1282" max="1282" width="17.28515625" customWidth="1"/>
    <col min="1285" max="1285" width="11.140625" customWidth="1"/>
    <col min="1286" max="1286" width="20.28515625" customWidth="1"/>
    <col min="1288" max="1288" width="35.5703125" customWidth="1"/>
    <col min="1289" max="1290" width="12.140625" customWidth="1"/>
    <col min="1291" max="1291" width="40.5703125" customWidth="1"/>
    <col min="1292" max="1292" width="17.28515625" customWidth="1"/>
    <col min="1293" max="1293" width="15.28515625" customWidth="1"/>
    <col min="1294" max="1294" width="17.28515625" customWidth="1"/>
    <col min="1537" max="1537" width="16.28515625" customWidth="1"/>
    <col min="1538" max="1538" width="17.28515625" customWidth="1"/>
    <col min="1541" max="1541" width="11.140625" customWidth="1"/>
    <col min="1542" max="1542" width="20.28515625" customWidth="1"/>
    <col min="1544" max="1544" width="35.5703125" customWidth="1"/>
    <col min="1545" max="1546" width="12.140625" customWidth="1"/>
    <col min="1547" max="1547" width="40.5703125" customWidth="1"/>
    <col min="1548" max="1548" width="17.28515625" customWidth="1"/>
    <col min="1549" max="1549" width="15.28515625" customWidth="1"/>
    <col min="1550" max="1550" width="17.28515625" customWidth="1"/>
    <col min="1793" max="1793" width="16.28515625" customWidth="1"/>
    <col min="1794" max="1794" width="17.28515625" customWidth="1"/>
    <col min="1797" max="1797" width="11.140625" customWidth="1"/>
    <col min="1798" max="1798" width="20.28515625" customWidth="1"/>
    <col min="1800" max="1800" width="35.5703125" customWidth="1"/>
    <col min="1801" max="1802" width="12.140625" customWidth="1"/>
    <col min="1803" max="1803" width="40.5703125" customWidth="1"/>
    <col min="1804" max="1804" width="17.28515625" customWidth="1"/>
    <col min="1805" max="1805" width="15.28515625" customWidth="1"/>
    <col min="1806" max="1806" width="17.28515625" customWidth="1"/>
    <col min="2049" max="2049" width="16.28515625" customWidth="1"/>
    <col min="2050" max="2050" width="17.28515625" customWidth="1"/>
    <col min="2053" max="2053" width="11.140625" customWidth="1"/>
    <col min="2054" max="2054" width="20.28515625" customWidth="1"/>
    <col min="2056" max="2056" width="35.5703125" customWidth="1"/>
    <col min="2057" max="2058" width="12.140625" customWidth="1"/>
    <col min="2059" max="2059" width="40.5703125" customWidth="1"/>
    <col min="2060" max="2060" width="17.28515625" customWidth="1"/>
    <col min="2061" max="2061" width="15.28515625" customWidth="1"/>
    <col min="2062" max="2062" width="17.28515625" customWidth="1"/>
    <col min="2305" max="2305" width="16.28515625" customWidth="1"/>
    <col min="2306" max="2306" width="17.28515625" customWidth="1"/>
    <col min="2309" max="2309" width="11.140625" customWidth="1"/>
    <col min="2310" max="2310" width="20.28515625" customWidth="1"/>
    <col min="2312" max="2312" width="35.5703125" customWidth="1"/>
    <col min="2313" max="2314" width="12.140625" customWidth="1"/>
    <col min="2315" max="2315" width="40.5703125" customWidth="1"/>
    <col min="2316" max="2316" width="17.28515625" customWidth="1"/>
    <col min="2317" max="2317" width="15.28515625" customWidth="1"/>
    <col min="2318" max="2318" width="17.28515625" customWidth="1"/>
    <col min="2561" max="2561" width="16.28515625" customWidth="1"/>
    <col min="2562" max="2562" width="17.28515625" customWidth="1"/>
    <col min="2565" max="2565" width="11.140625" customWidth="1"/>
    <col min="2566" max="2566" width="20.28515625" customWidth="1"/>
    <col min="2568" max="2568" width="35.5703125" customWidth="1"/>
    <col min="2569" max="2570" width="12.140625" customWidth="1"/>
    <col min="2571" max="2571" width="40.5703125" customWidth="1"/>
    <col min="2572" max="2572" width="17.28515625" customWidth="1"/>
    <col min="2573" max="2573" width="15.28515625" customWidth="1"/>
    <col min="2574" max="2574" width="17.28515625" customWidth="1"/>
    <col min="2817" max="2817" width="16.28515625" customWidth="1"/>
    <col min="2818" max="2818" width="17.28515625" customWidth="1"/>
    <col min="2821" max="2821" width="11.140625" customWidth="1"/>
    <col min="2822" max="2822" width="20.28515625" customWidth="1"/>
    <col min="2824" max="2824" width="35.5703125" customWidth="1"/>
    <col min="2825" max="2826" width="12.140625" customWidth="1"/>
    <col min="2827" max="2827" width="40.5703125" customWidth="1"/>
    <col min="2828" max="2828" width="17.28515625" customWidth="1"/>
    <col min="2829" max="2829" width="15.28515625" customWidth="1"/>
    <col min="2830" max="2830" width="17.28515625" customWidth="1"/>
    <col min="3073" max="3073" width="16.28515625" customWidth="1"/>
    <col min="3074" max="3074" width="17.28515625" customWidth="1"/>
    <col min="3077" max="3077" width="11.140625" customWidth="1"/>
    <col min="3078" max="3078" width="20.28515625" customWidth="1"/>
    <col min="3080" max="3080" width="35.5703125" customWidth="1"/>
    <col min="3081" max="3082" width="12.140625" customWidth="1"/>
    <col min="3083" max="3083" width="40.5703125" customWidth="1"/>
    <col min="3084" max="3084" width="17.28515625" customWidth="1"/>
    <col min="3085" max="3085" width="15.28515625" customWidth="1"/>
    <col min="3086" max="3086" width="17.28515625" customWidth="1"/>
    <col min="3329" max="3329" width="16.28515625" customWidth="1"/>
    <col min="3330" max="3330" width="17.28515625" customWidth="1"/>
    <col min="3333" max="3333" width="11.140625" customWidth="1"/>
    <col min="3334" max="3334" width="20.28515625" customWidth="1"/>
    <col min="3336" max="3336" width="35.5703125" customWidth="1"/>
    <col min="3337" max="3338" width="12.140625" customWidth="1"/>
    <col min="3339" max="3339" width="40.5703125" customWidth="1"/>
    <col min="3340" max="3340" width="17.28515625" customWidth="1"/>
    <col min="3341" max="3341" width="15.28515625" customWidth="1"/>
    <col min="3342" max="3342" width="17.28515625" customWidth="1"/>
    <col min="3585" max="3585" width="16.28515625" customWidth="1"/>
    <col min="3586" max="3586" width="17.28515625" customWidth="1"/>
    <col min="3589" max="3589" width="11.140625" customWidth="1"/>
    <col min="3590" max="3590" width="20.28515625" customWidth="1"/>
    <col min="3592" max="3592" width="35.5703125" customWidth="1"/>
    <col min="3593" max="3594" width="12.140625" customWidth="1"/>
    <col min="3595" max="3595" width="40.5703125" customWidth="1"/>
    <col min="3596" max="3596" width="17.28515625" customWidth="1"/>
    <col min="3597" max="3597" width="15.28515625" customWidth="1"/>
    <col min="3598" max="3598" width="17.28515625" customWidth="1"/>
    <col min="3841" max="3841" width="16.28515625" customWidth="1"/>
    <col min="3842" max="3842" width="17.28515625" customWidth="1"/>
    <col min="3845" max="3845" width="11.140625" customWidth="1"/>
    <col min="3846" max="3846" width="20.28515625" customWidth="1"/>
    <col min="3848" max="3848" width="35.5703125" customWidth="1"/>
    <col min="3849" max="3850" width="12.140625" customWidth="1"/>
    <col min="3851" max="3851" width="40.5703125" customWidth="1"/>
    <col min="3852" max="3852" width="17.28515625" customWidth="1"/>
    <col min="3853" max="3853" width="15.28515625" customWidth="1"/>
    <col min="3854" max="3854" width="17.28515625" customWidth="1"/>
    <col min="4097" max="4097" width="16.28515625" customWidth="1"/>
    <col min="4098" max="4098" width="17.28515625" customWidth="1"/>
    <col min="4101" max="4101" width="11.140625" customWidth="1"/>
    <col min="4102" max="4102" width="20.28515625" customWidth="1"/>
    <col min="4104" max="4104" width="35.5703125" customWidth="1"/>
    <col min="4105" max="4106" width="12.140625" customWidth="1"/>
    <col min="4107" max="4107" width="40.5703125" customWidth="1"/>
    <col min="4108" max="4108" width="17.28515625" customWidth="1"/>
    <col min="4109" max="4109" width="15.28515625" customWidth="1"/>
    <col min="4110" max="4110" width="17.28515625" customWidth="1"/>
    <col min="4353" max="4353" width="16.28515625" customWidth="1"/>
    <col min="4354" max="4354" width="17.28515625" customWidth="1"/>
    <col min="4357" max="4357" width="11.140625" customWidth="1"/>
    <col min="4358" max="4358" width="20.28515625" customWidth="1"/>
    <col min="4360" max="4360" width="35.5703125" customWidth="1"/>
    <col min="4361" max="4362" width="12.140625" customWidth="1"/>
    <col min="4363" max="4363" width="40.5703125" customWidth="1"/>
    <col min="4364" max="4364" width="17.28515625" customWidth="1"/>
    <col min="4365" max="4365" width="15.28515625" customWidth="1"/>
    <col min="4366" max="4366" width="17.28515625" customWidth="1"/>
    <col min="4609" max="4609" width="16.28515625" customWidth="1"/>
    <col min="4610" max="4610" width="17.28515625" customWidth="1"/>
    <col min="4613" max="4613" width="11.140625" customWidth="1"/>
    <col min="4614" max="4614" width="20.28515625" customWidth="1"/>
    <col min="4616" max="4616" width="35.5703125" customWidth="1"/>
    <col min="4617" max="4618" width="12.140625" customWidth="1"/>
    <col min="4619" max="4619" width="40.5703125" customWidth="1"/>
    <col min="4620" max="4620" width="17.28515625" customWidth="1"/>
    <col min="4621" max="4621" width="15.28515625" customWidth="1"/>
    <col min="4622" max="4622" width="17.28515625" customWidth="1"/>
    <col min="4865" max="4865" width="16.28515625" customWidth="1"/>
    <col min="4866" max="4866" width="17.28515625" customWidth="1"/>
    <col min="4869" max="4869" width="11.140625" customWidth="1"/>
    <col min="4870" max="4870" width="20.28515625" customWidth="1"/>
    <col min="4872" max="4872" width="35.5703125" customWidth="1"/>
    <col min="4873" max="4874" width="12.140625" customWidth="1"/>
    <col min="4875" max="4875" width="40.5703125" customWidth="1"/>
    <col min="4876" max="4876" width="17.28515625" customWidth="1"/>
    <col min="4877" max="4877" width="15.28515625" customWidth="1"/>
    <col min="4878" max="4878" width="17.28515625" customWidth="1"/>
    <col min="5121" max="5121" width="16.28515625" customWidth="1"/>
    <col min="5122" max="5122" width="17.28515625" customWidth="1"/>
    <col min="5125" max="5125" width="11.140625" customWidth="1"/>
    <col min="5126" max="5126" width="20.28515625" customWidth="1"/>
    <col min="5128" max="5128" width="35.5703125" customWidth="1"/>
    <col min="5129" max="5130" width="12.140625" customWidth="1"/>
    <col min="5131" max="5131" width="40.5703125" customWidth="1"/>
    <col min="5132" max="5132" width="17.28515625" customWidth="1"/>
    <col min="5133" max="5133" width="15.28515625" customWidth="1"/>
    <col min="5134" max="5134" width="17.28515625" customWidth="1"/>
    <col min="5377" max="5377" width="16.28515625" customWidth="1"/>
    <col min="5378" max="5378" width="17.28515625" customWidth="1"/>
    <col min="5381" max="5381" width="11.140625" customWidth="1"/>
    <col min="5382" max="5382" width="20.28515625" customWidth="1"/>
    <col min="5384" max="5384" width="35.5703125" customWidth="1"/>
    <col min="5385" max="5386" width="12.140625" customWidth="1"/>
    <col min="5387" max="5387" width="40.5703125" customWidth="1"/>
    <col min="5388" max="5388" width="17.28515625" customWidth="1"/>
    <col min="5389" max="5389" width="15.28515625" customWidth="1"/>
    <col min="5390" max="5390" width="17.28515625" customWidth="1"/>
    <col min="5633" max="5633" width="16.28515625" customWidth="1"/>
    <col min="5634" max="5634" width="17.28515625" customWidth="1"/>
    <col min="5637" max="5637" width="11.140625" customWidth="1"/>
    <col min="5638" max="5638" width="20.28515625" customWidth="1"/>
    <col min="5640" max="5640" width="35.5703125" customWidth="1"/>
    <col min="5641" max="5642" width="12.140625" customWidth="1"/>
    <col min="5643" max="5643" width="40.5703125" customWidth="1"/>
    <col min="5644" max="5644" width="17.28515625" customWidth="1"/>
    <col min="5645" max="5645" width="15.28515625" customWidth="1"/>
    <col min="5646" max="5646" width="17.28515625" customWidth="1"/>
    <col min="5889" max="5889" width="16.28515625" customWidth="1"/>
    <col min="5890" max="5890" width="17.28515625" customWidth="1"/>
    <col min="5893" max="5893" width="11.140625" customWidth="1"/>
    <col min="5894" max="5894" width="20.28515625" customWidth="1"/>
    <col min="5896" max="5896" width="35.5703125" customWidth="1"/>
    <col min="5897" max="5898" width="12.140625" customWidth="1"/>
    <col min="5899" max="5899" width="40.5703125" customWidth="1"/>
    <col min="5900" max="5900" width="17.28515625" customWidth="1"/>
    <col min="5901" max="5901" width="15.28515625" customWidth="1"/>
    <col min="5902" max="5902" width="17.28515625" customWidth="1"/>
    <col min="6145" max="6145" width="16.28515625" customWidth="1"/>
    <col min="6146" max="6146" width="17.28515625" customWidth="1"/>
    <col min="6149" max="6149" width="11.140625" customWidth="1"/>
    <col min="6150" max="6150" width="20.28515625" customWidth="1"/>
    <col min="6152" max="6152" width="35.5703125" customWidth="1"/>
    <col min="6153" max="6154" width="12.140625" customWidth="1"/>
    <col min="6155" max="6155" width="40.5703125" customWidth="1"/>
    <col min="6156" max="6156" width="17.28515625" customWidth="1"/>
    <col min="6157" max="6157" width="15.28515625" customWidth="1"/>
    <col min="6158" max="6158" width="17.28515625" customWidth="1"/>
    <col min="6401" max="6401" width="16.28515625" customWidth="1"/>
    <col min="6402" max="6402" width="17.28515625" customWidth="1"/>
    <col min="6405" max="6405" width="11.140625" customWidth="1"/>
    <col min="6406" max="6406" width="20.28515625" customWidth="1"/>
    <col min="6408" max="6408" width="35.5703125" customWidth="1"/>
    <col min="6409" max="6410" width="12.140625" customWidth="1"/>
    <col min="6411" max="6411" width="40.5703125" customWidth="1"/>
    <col min="6412" max="6412" width="17.28515625" customWidth="1"/>
    <col min="6413" max="6413" width="15.28515625" customWidth="1"/>
    <col min="6414" max="6414" width="17.28515625" customWidth="1"/>
    <col min="6657" max="6657" width="16.28515625" customWidth="1"/>
    <col min="6658" max="6658" width="17.28515625" customWidth="1"/>
    <col min="6661" max="6661" width="11.140625" customWidth="1"/>
    <col min="6662" max="6662" width="20.28515625" customWidth="1"/>
    <col min="6664" max="6664" width="35.5703125" customWidth="1"/>
    <col min="6665" max="6666" width="12.140625" customWidth="1"/>
    <col min="6667" max="6667" width="40.5703125" customWidth="1"/>
    <col min="6668" max="6668" width="17.28515625" customWidth="1"/>
    <col min="6669" max="6669" width="15.28515625" customWidth="1"/>
    <col min="6670" max="6670" width="17.28515625" customWidth="1"/>
    <col min="6913" max="6913" width="16.28515625" customWidth="1"/>
    <col min="6914" max="6914" width="17.28515625" customWidth="1"/>
    <col min="6917" max="6917" width="11.140625" customWidth="1"/>
    <col min="6918" max="6918" width="20.28515625" customWidth="1"/>
    <col min="6920" max="6920" width="35.5703125" customWidth="1"/>
    <col min="6921" max="6922" width="12.140625" customWidth="1"/>
    <col min="6923" max="6923" width="40.5703125" customWidth="1"/>
    <col min="6924" max="6924" width="17.28515625" customWidth="1"/>
    <col min="6925" max="6925" width="15.28515625" customWidth="1"/>
    <col min="6926" max="6926" width="17.28515625" customWidth="1"/>
    <col min="7169" max="7169" width="16.28515625" customWidth="1"/>
    <col min="7170" max="7170" width="17.28515625" customWidth="1"/>
    <col min="7173" max="7173" width="11.140625" customWidth="1"/>
    <col min="7174" max="7174" width="20.28515625" customWidth="1"/>
    <col min="7176" max="7176" width="35.5703125" customWidth="1"/>
    <col min="7177" max="7178" width="12.140625" customWidth="1"/>
    <col min="7179" max="7179" width="40.5703125" customWidth="1"/>
    <col min="7180" max="7180" width="17.28515625" customWidth="1"/>
    <col min="7181" max="7181" width="15.28515625" customWidth="1"/>
    <col min="7182" max="7182" width="17.28515625" customWidth="1"/>
    <col min="7425" max="7425" width="16.28515625" customWidth="1"/>
    <col min="7426" max="7426" width="17.28515625" customWidth="1"/>
    <col min="7429" max="7429" width="11.140625" customWidth="1"/>
    <col min="7430" max="7430" width="20.28515625" customWidth="1"/>
    <col min="7432" max="7432" width="35.5703125" customWidth="1"/>
    <col min="7433" max="7434" width="12.140625" customWidth="1"/>
    <col min="7435" max="7435" width="40.5703125" customWidth="1"/>
    <col min="7436" max="7436" width="17.28515625" customWidth="1"/>
    <col min="7437" max="7437" width="15.28515625" customWidth="1"/>
    <col min="7438" max="7438" width="17.28515625" customWidth="1"/>
    <col min="7681" max="7681" width="16.28515625" customWidth="1"/>
    <col min="7682" max="7682" width="17.28515625" customWidth="1"/>
    <col min="7685" max="7685" width="11.140625" customWidth="1"/>
    <col min="7686" max="7686" width="20.28515625" customWidth="1"/>
    <col min="7688" max="7688" width="35.5703125" customWidth="1"/>
    <col min="7689" max="7690" width="12.140625" customWidth="1"/>
    <col min="7691" max="7691" width="40.5703125" customWidth="1"/>
    <col min="7692" max="7692" width="17.28515625" customWidth="1"/>
    <col min="7693" max="7693" width="15.28515625" customWidth="1"/>
    <col min="7694" max="7694" width="17.28515625" customWidth="1"/>
    <col min="7937" max="7937" width="16.28515625" customWidth="1"/>
    <col min="7938" max="7938" width="17.28515625" customWidth="1"/>
    <col min="7941" max="7941" width="11.140625" customWidth="1"/>
    <col min="7942" max="7942" width="20.28515625" customWidth="1"/>
    <col min="7944" max="7944" width="35.5703125" customWidth="1"/>
    <col min="7945" max="7946" width="12.140625" customWidth="1"/>
    <col min="7947" max="7947" width="40.5703125" customWidth="1"/>
    <col min="7948" max="7948" width="17.28515625" customWidth="1"/>
    <col min="7949" max="7949" width="15.28515625" customWidth="1"/>
    <col min="7950" max="7950" width="17.28515625" customWidth="1"/>
    <col min="8193" max="8193" width="16.28515625" customWidth="1"/>
    <col min="8194" max="8194" width="17.28515625" customWidth="1"/>
    <col min="8197" max="8197" width="11.140625" customWidth="1"/>
    <col min="8198" max="8198" width="20.28515625" customWidth="1"/>
    <col min="8200" max="8200" width="35.5703125" customWidth="1"/>
    <col min="8201" max="8202" width="12.140625" customWidth="1"/>
    <col min="8203" max="8203" width="40.5703125" customWidth="1"/>
    <col min="8204" max="8204" width="17.28515625" customWidth="1"/>
    <col min="8205" max="8205" width="15.28515625" customWidth="1"/>
    <col min="8206" max="8206" width="17.28515625" customWidth="1"/>
    <col min="8449" max="8449" width="16.28515625" customWidth="1"/>
    <col min="8450" max="8450" width="17.28515625" customWidth="1"/>
    <col min="8453" max="8453" width="11.140625" customWidth="1"/>
    <col min="8454" max="8454" width="20.28515625" customWidth="1"/>
    <col min="8456" max="8456" width="35.5703125" customWidth="1"/>
    <col min="8457" max="8458" width="12.140625" customWidth="1"/>
    <col min="8459" max="8459" width="40.5703125" customWidth="1"/>
    <col min="8460" max="8460" width="17.28515625" customWidth="1"/>
    <col min="8461" max="8461" width="15.28515625" customWidth="1"/>
    <col min="8462" max="8462" width="17.28515625" customWidth="1"/>
    <col min="8705" max="8705" width="16.28515625" customWidth="1"/>
    <col min="8706" max="8706" width="17.28515625" customWidth="1"/>
    <col min="8709" max="8709" width="11.140625" customWidth="1"/>
    <col min="8710" max="8710" width="20.28515625" customWidth="1"/>
    <col min="8712" max="8712" width="35.5703125" customWidth="1"/>
    <col min="8713" max="8714" width="12.140625" customWidth="1"/>
    <col min="8715" max="8715" width="40.5703125" customWidth="1"/>
    <col min="8716" max="8716" width="17.28515625" customWidth="1"/>
    <col min="8717" max="8717" width="15.28515625" customWidth="1"/>
    <col min="8718" max="8718" width="17.28515625" customWidth="1"/>
    <col min="8961" max="8961" width="16.28515625" customWidth="1"/>
    <col min="8962" max="8962" width="17.28515625" customWidth="1"/>
    <col min="8965" max="8965" width="11.140625" customWidth="1"/>
    <col min="8966" max="8966" width="20.28515625" customWidth="1"/>
    <col min="8968" max="8968" width="35.5703125" customWidth="1"/>
    <col min="8969" max="8970" width="12.140625" customWidth="1"/>
    <col min="8971" max="8971" width="40.5703125" customWidth="1"/>
    <col min="8972" max="8972" width="17.28515625" customWidth="1"/>
    <col min="8973" max="8973" width="15.28515625" customWidth="1"/>
    <col min="8974" max="8974" width="17.28515625" customWidth="1"/>
    <col min="9217" max="9217" width="16.28515625" customWidth="1"/>
    <col min="9218" max="9218" width="17.28515625" customWidth="1"/>
    <col min="9221" max="9221" width="11.140625" customWidth="1"/>
    <col min="9222" max="9222" width="20.28515625" customWidth="1"/>
    <col min="9224" max="9224" width="35.5703125" customWidth="1"/>
    <col min="9225" max="9226" width="12.140625" customWidth="1"/>
    <col min="9227" max="9227" width="40.5703125" customWidth="1"/>
    <col min="9228" max="9228" width="17.28515625" customWidth="1"/>
    <col min="9229" max="9229" width="15.28515625" customWidth="1"/>
    <col min="9230" max="9230" width="17.28515625" customWidth="1"/>
    <col min="9473" max="9473" width="16.28515625" customWidth="1"/>
    <col min="9474" max="9474" width="17.28515625" customWidth="1"/>
    <col min="9477" max="9477" width="11.140625" customWidth="1"/>
    <col min="9478" max="9478" width="20.28515625" customWidth="1"/>
    <col min="9480" max="9480" width="35.5703125" customWidth="1"/>
    <col min="9481" max="9482" width="12.140625" customWidth="1"/>
    <col min="9483" max="9483" width="40.5703125" customWidth="1"/>
    <col min="9484" max="9484" width="17.28515625" customWidth="1"/>
    <col min="9485" max="9485" width="15.28515625" customWidth="1"/>
    <col min="9486" max="9486" width="17.28515625" customWidth="1"/>
    <col min="9729" max="9729" width="16.28515625" customWidth="1"/>
    <col min="9730" max="9730" width="17.28515625" customWidth="1"/>
    <col min="9733" max="9733" width="11.140625" customWidth="1"/>
    <col min="9734" max="9734" width="20.28515625" customWidth="1"/>
    <col min="9736" max="9736" width="35.5703125" customWidth="1"/>
    <col min="9737" max="9738" width="12.140625" customWidth="1"/>
    <col min="9739" max="9739" width="40.5703125" customWidth="1"/>
    <col min="9740" max="9740" width="17.28515625" customWidth="1"/>
    <col min="9741" max="9741" width="15.28515625" customWidth="1"/>
    <col min="9742" max="9742" width="17.28515625" customWidth="1"/>
    <col min="9985" max="9985" width="16.28515625" customWidth="1"/>
    <col min="9986" max="9986" width="17.28515625" customWidth="1"/>
    <col min="9989" max="9989" width="11.140625" customWidth="1"/>
    <col min="9990" max="9990" width="20.28515625" customWidth="1"/>
    <col min="9992" max="9992" width="35.5703125" customWidth="1"/>
    <col min="9993" max="9994" width="12.140625" customWidth="1"/>
    <col min="9995" max="9995" width="40.5703125" customWidth="1"/>
    <col min="9996" max="9996" width="17.28515625" customWidth="1"/>
    <col min="9997" max="9997" width="15.28515625" customWidth="1"/>
    <col min="9998" max="9998" width="17.28515625" customWidth="1"/>
    <col min="10241" max="10241" width="16.28515625" customWidth="1"/>
    <col min="10242" max="10242" width="17.28515625" customWidth="1"/>
    <col min="10245" max="10245" width="11.140625" customWidth="1"/>
    <col min="10246" max="10246" width="20.28515625" customWidth="1"/>
    <col min="10248" max="10248" width="35.5703125" customWidth="1"/>
    <col min="10249" max="10250" width="12.140625" customWidth="1"/>
    <col min="10251" max="10251" width="40.5703125" customWidth="1"/>
    <col min="10252" max="10252" width="17.28515625" customWidth="1"/>
    <col min="10253" max="10253" width="15.28515625" customWidth="1"/>
    <col min="10254" max="10254" width="17.28515625" customWidth="1"/>
    <col min="10497" max="10497" width="16.28515625" customWidth="1"/>
    <col min="10498" max="10498" width="17.28515625" customWidth="1"/>
    <col min="10501" max="10501" width="11.140625" customWidth="1"/>
    <col min="10502" max="10502" width="20.28515625" customWidth="1"/>
    <col min="10504" max="10504" width="35.5703125" customWidth="1"/>
    <col min="10505" max="10506" width="12.140625" customWidth="1"/>
    <col min="10507" max="10507" width="40.5703125" customWidth="1"/>
    <col min="10508" max="10508" width="17.28515625" customWidth="1"/>
    <col min="10509" max="10509" width="15.28515625" customWidth="1"/>
    <col min="10510" max="10510" width="17.28515625" customWidth="1"/>
    <col min="10753" max="10753" width="16.28515625" customWidth="1"/>
    <col min="10754" max="10754" width="17.28515625" customWidth="1"/>
    <col min="10757" max="10757" width="11.140625" customWidth="1"/>
    <col min="10758" max="10758" width="20.28515625" customWidth="1"/>
    <col min="10760" max="10760" width="35.5703125" customWidth="1"/>
    <col min="10761" max="10762" width="12.140625" customWidth="1"/>
    <col min="10763" max="10763" width="40.5703125" customWidth="1"/>
    <col min="10764" max="10764" width="17.28515625" customWidth="1"/>
    <col min="10765" max="10765" width="15.28515625" customWidth="1"/>
    <col min="10766" max="10766" width="17.28515625" customWidth="1"/>
    <col min="11009" max="11009" width="16.28515625" customWidth="1"/>
    <col min="11010" max="11010" width="17.28515625" customWidth="1"/>
    <col min="11013" max="11013" width="11.140625" customWidth="1"/>
    <col min="11014" max="11014" width="20.28515625" customWidth="1"/>
    <col min="11016" max="11016" width="35.5703125" customWidth="1"/>
    <col min="11017" max="11018" width="12.140625" customWidth="1"/>
    <col min="11019" max="11019" width="40.5703125" customWidth="1"/>
    <col min="11020" max="11020" width="17.28515625" customWidth="1"/>
    <col min="11021" max="11021" width="15.28515625" customWidth="1"/>
    <col min="11022" max="11022" width="17.28515625" customWidth="1"/>
    <col min="11265" max="11265" width="16.28515625" customWidth="1"/>
    <col min="11266" max="11266" width="17.28515625" customWidth="1"/>
    <col min="11269" max="11269" width="11.140625" customWidth="1"/>
    <col min="11270" max="11270" width="20.28515625" customWidth="1"/>
    <col min="11272" max="11272" width="35.5703125" customWidth="1"/>
    <col min="11273" max="11274" width="12.140625" customWidth="1"/>
    <col min="11275" max="11275" width="40.5703125" customWidth="1"/>
    <col min="11276" max="11276" width="17.28515625" customWidth="1"/>
    <col min="11277" max="11277" width="15.28515625" customWidth="1"/>
    <col min="11278" max="11278" width="17.28515625" customWidth="1"/>
    <col min="11521" max="11521" width="16.28515625" customWidth="1"/>
    <col min="11522" max="11522" width="17.28515625" customWidth="1"/>
    <col min="11525" max="11525" width="11.140625" customWidth="1"/>
    <col min="11526" max="11526" width="20.28515625" customWidth="1"/>
    <col min="11528" max="11528" width="35.5703125" customWidth="1"/>
    <col min="11529" max="11530" width="12.140625" customWidth="1"/>
    <col min="11531" max="11531" width="40.5703125" customWidth="1"/>
    <col min="11532" max="11532" width="17.28515625" customWidth="1"/>
    <col min="11533" max="11533" width="15.28515625" customWidth="1"/>
    <col min="11534" max="11534" width="17.28515625" customWidth="1"/>
    <col min="11777" max="11777" width="16.28515625" customWidth="1"/>
    <col min="11778" max="11778" width="17.28515625" customWidth="1"/>
    <col min="11781" max="11781" width="11.140625" customWidth="1"/>
    <col min="11782" max="11782" width="20.28515625" customWidth="1"/>
    <col min="11784" max="11784" width="35.5703125" customWidth="1"/>
    <col min="11785" max="11786" width="12.140625" customWidth="1"/>
    <col min="11787" max="11787" width="40.5703125" customWidth="1"/>
    <col min="11788" max="11788" width="17.28515625" customWidth="1"/>
    <col min="11789" max="11789" width="15.28515625" customWidth="1"/>
    <col min="11790" max="11790" width="17.28515625" customWidth="1"/>
    <col min="12033" max="12033" width="16.28515625" customWidth="1"/>
    <col min="12034" max="12034" width="17.28515625" customWidth="1"/>
    <col min="12037" max="12037" width="11.140625" customWidth="1"/>
    <col min="12038" max="12038" width="20.28515625" customWidth="1"/>
    <col min="12040" max="12040" width="35.5703125" customWidth="1"/>
    <col min="12041" max="12042" width="12.140625" customWidth="1"/>
    <col min="12043" max="12043" width="40.5703125" customWidth="1"/>
    <col min="12044" max="12044" width="17.28515625" customWidth="1"/>
    <col min="12045" max="12045" width="15.28515625" customWidth="1"/>
    <col min="12046" max="12046" width="17.28515625" customWidth="1"/>
    <col min="12289" max="12289" width="16.28515625" customWidth="1"/>
    <col min="12290" max="12290" width="17.28515625" customWidth="1"/>
    <col min="12293" max="12293" width="11.140625" customWidth="1"/>
    <col min="12294" max="12294" width="20.28515625" customWidth="1"/>
    <col min="12296" max="12296" width="35.5703125" customWidth="1"/>
    <col min="12297" max="12298" width="12.140625" customWidth="1"/>
    <col min="12299" max="12299" width="40.5703125" customWidth="1"/>
    <col min="12300" max="12300" width="17.28515625" customWidth="1"/>
    <col min="12301" max="12301" width="15.28515625" customWidth="1"/>
    <col min="12302" max="12302" width="17.28515625" customWidth="1"/>
    <col min="12545" max="12545" width="16.28515625" customWidth="1"/>
    <col min="12546" max="12546" width="17.28515625" customWidth="1"/>
    <col min="12549" max="12549" width="11.140625" customWidth="1"/>
    <col min="12550" max="12550" width="20.28515625" customWidth="1"/>
    <col min="12552" max="12552" width="35.5703125" customWidth="1"/>
    <col min="12553" max="12554" width="12.140625" customWidth="1"/>
    <col min="12555" max="12555" width="40.5703125" customWidth="1"/>
    <col min="12556" max="12556" width="17.28515625" customWidth="1"/>
    <col min="12557" max="12557" width="15.28515625" customWidth="1"/>
    <col min="12558" max="12558" width="17.28515625" customWidth="1"/>
    <col min="12801" max="12801" width="16.28515625" customWidth="1"/>
    <col min="12802" max="12802" width="17.28515625" customWidth="1"/>
    <col min="12805" max="12805" width="11.140625" customWidth="1"/>
    <col min="12806" max="12806" width="20.28515625" customWidth="1"/>
    <col min="12808" max="12808" width="35.5703125" customWidth="1"/>
    <col min="12809" max="12810" width="12.140625" customWidth="1"/>
    <col min="12811" max="12811" width="40.5703125" customWidth="1"/>
    <col min="12812" max="12812" width="17.28515625" customWidth="1"/>
    <col min="12813" max="12813" width="15.28515625" customWidth="1"/>
    <col min="12814" max="12814" width="17.28515625" customWidth="1"/>
    <col min="13057" max="13057" width="16.28515625" customWidth="1"/>
    <col min="13058" max="13058" width="17.28515625" customWidth="1"/>
    <col min="13061" max="13061" width="11.140625" customWidth="1"/>
    <col min="13062" max="13062" width="20.28515625" customWidth="1"/>
    <col min="13064" max="13064" width="35.5703125" customWidth="1"/>
    <col min="13065" max="13066" width="12.140625" customWidth="1"/>
    <col min="13067" max="13067" width="40.5703125" customWidth="1"/>
    <col min="13068" max="13068" width="17.28515625" customWidth="1"/>
    <col min="13069" max="13069" width="15.28515625" customWidth="1"/>
    <col min="13070" max="13070" width="17.28515625" customWidth="1"/>
    <col min="13313" max="13313" width="16.28515625" customWidth="1"/>
    <col min="13314" max="13314" width="17.28515625" customWidth="1"/>
    <col min="13317" max="13317" width="11.140625" customWidth="1"/>
    <col min="13318" max="13318" width="20.28515625" customWidth="1"/>
    <col min="13320" max="13320" width="35.5703125" customWidth="1"/>
    <col min="13321" max="13322" width="12.140625" customWidth="1"/>
    <col min="13323" max="13323" width="40.5703125" customWidth="1"/>
    <col min="13324" max="13324" width="17.28515625" customWidth="1"/>
    <col min="13325" max="13325" width="15.28515625" customWidth="1"/>
    <col min="13326" max="13326" width="17.28515625" customWidth="1"/>
    <col min="13569" max="13569" width="16.28515625" customWidth="1"/>
    <col min="13570" max="13570" width="17.28515625" customWidth="1"/>
    <col min="13573" max="13573" width="11.140625" customWidth="1"/>
    <col min="13574" max="13574" width="20.28515625" customWidth="1"/>
    <col min="13576" max="13576" width="35.5703125" customWidth="1"/>
    <col min="13577" max="13578" width="12.140625" customWidth="1"/>
    <col min="13579" max="13579" width="40.5703125" customWidth="1"/>
    <col min="13580" max="13580" width="17.28515625" customWidth="1"/>
    <col min="13581" max="13581" width="15.28515625" customWidth="1"/>
    <col min="13582" max="13582" width="17.28515625" customWidth="1"/>
    <col min="13825" max="13825" width="16.28515625" customWidth="1"/>
    <col min="13826" max="13826" width="17.28515625" customWidth="1"/>
    <col min="13829" max="13829" width="11.140625" customWidth="1"/>
    <col min="13830" max="13830" width="20.28515625" customWidth="1"/>
    <col min="13832" max="13832" width="35.5703125" customWidth="1"/>
    <col min="13833" max="13834" width="12.140625" customWidth="1"/>
    <col min="13835" max="13835" width="40.5703125" customWidth="1"/>
    <col min="13836" max="13836" width="17.28515625" customWidth="1"/>
    <col min="13837" max="13837" width="15.28515625" customWidth="1"/>
    <col min="13838" max="13838" width="17.28515625" customWidth="1"/>
    <col min="14081" max="14081" width="16.28515625" customWidth="1"/>
    <col min="14082" max="14082" width="17.28515625" customWidth="1"/>
    <col min="14085" max="14085" width="11.140625" customWidth="1"/>
    <col min="14086" max="14086" width="20.28515625" customWidth="1"/>
    <col min="14088" max="14088" width="35.5703125" customWidth="1"/>
    <col min="14089" max="14090" width="12.140625" customWidth="1"/>
    <col min="14091" max="14091" width="40.5703125" customWidth="1"/>
    <col min="14092" max="14092" width="17.28515625" customWidth="1"/>
    <col min="14093" max="14093" width="15.28515625" customWidth="1"/>
    <col min="14094" max="14094" width="17.28515625" customWidth="1"/>
    <col min="14337" max="14337" width="16.28515625" customWidth="1"/>
    <col min="14338" max="14338" width="17.28515625" customWidth="1"/>
    <col min="14341" max="14341" width="11.140625" customWidth="1"/>
    <col min="14342" max="14342" width="20.28515625" customWidth="1"/>
    <col min="14344" max="14344" width="35.5703125" customWidth="1"/>
    <col min="14345" max="14346" width="12.140625" customWidth="1"/>
    <col min="14347" max="14347" width="40.5703125" customWidth="1"/>
    <col min="14348" max="14348" width="17.28515625" customWidth="1"/>
    <col min="14349" max="14349" width="15.28515625" customWidth="1"/>
    <col min="14350" max="14350" width="17.28515625" customWidth="1"/>
    <col min="14593" max="14593" width="16.28515625" customWidth="1"/>
    <col min="14594" max="14594" width="17.28515625" customWidth="1"/>
    <col min="14597" max="14597" width="11.140625" customWidth="1"/>
    <col min="14598" max="14598" width="20.28515625" customWidth="1"/>
    <col min="14600" max="14600" width="35.5703125" customWidth="1"/>
    <col min="14601" max="14602" width="12.140625" customWidth="1"/>
    <col min="14603" max="14603" width="40.5703125" customWidth="1"/>
    <col min="14604" max="14604" width="17.28515625" customWidth="1"/>
    <col min="14605" max="14605" width="15.28515625" customWidth="1"/>
    <col min="14606" max="14606" width="17.28515625" customWidth="1"/>
    <col min="14849" max="14849" width="16.28515625" customWidth="1"/>
    <col min="14850" max="14850" width="17.28515625" customWidth="1"/>
    <col min="14853" max="14853" width="11.140625" customWidth="1"/>
    <col min="14854" max="14854" width="20.28515625" customWidth="1"/>
    <col min="14856" max="14856" width="35.5703125" customWidth="1"/>
    <col min="14857" max="14858" width="12.140625" customWidth="1"/>
    <col min="14859" max="14859" width="40.5703125" customWidth="1"/>
    <col min="14860" max="14860" width="17.28515625" customWidth="1"/>
    <col min="14861" max="14861" width="15.28515625" customWidth="1"/>
    <col min="14862" max="14862" width="17.28515625" customWidth="1"/>
    <col min="15105" max="15105" width="16.28515625" customWidth="1"/>
    <col min="15106" max="15106" width="17.28515625" customWidth="1"/>
    <col min="15109" max="15109" width="11.140625" customWidth="1"/>
    <col min="15110" max="15110" width="20.28515625" customWidth="1"/>
    <col min="15112" max="15112" width="35.5703125" customWidth="1"/>
    <col min="15113" max="15114" width="12.140625" customWidth="1"/>
    <col min="15115" max="15115" width="40.5703125" customWidth="1"/>
    <col min="15116" max="15116" width="17.28515625" customWidth="1"/>
    <col min="15117" max="15117" width="15.28515625" customWidth="1"/>
    <col min="15118" max="15118" width="17.28515625" customWidth="1"/>
    <col min="15361" max="15361" width="16.28515625" customWidth="1"/>
    <col min="15362" max="15362" width="17.28515625" customWidth="1"/>
    <col min="15365" max="15365" width="11.140625" customWidth="1"/>
    <col min="15366" max="15366" width="20.28515625" customWidth="1"/>
    <col min="15368" max="15368" width="35.5703125" customWidth="1"/>
    <col min="15369" max="15370" width="12.140625" customWidth="1"/>
    <col min="15371" max="15371" width="40.5703125" customWidth="1"/>
    <col min="15372" max="15372" width="17.28515625" customWidth="1"/>
    <col min="15373" max="15373" width="15.28515625" customWidth="1"/>
    <col min="15374" max="15374" width="17.28515625" customWidth="1"/>
    <col min="15617" max="15617" width="16.28515625" customWidth="1"/>
    <col min="15618" max="15618" width="17.28515625" customWidth="1"/>
    <col min="15621" max="15621" width="11.140625" customWidth="1"/>
    <col min="15622" max="15622" width="20.28515625" customWidth="1"/>
    <col min="15624" max="15624" width="35.5703125" customWidth="1"/>
    <col min="15625" max="15626" width="12.140625" customWidth="1"/>
    <col min="15627" max="15627" width="40.5703125" customWidth="1"/>
    <col min="15628" max="15628" width="17.28515625" customWidth="1"/>
    <col min="15629" max="15629" width="15.28515625" customWidth="1"/>
    <col min="15630" max="15630" width="17.28515625" customWidth="1"/>
    <col min="15873" max="15873" width="16.28515625" customWidth="1"/>
    <col min="15874" max="15874" width="17.28515625" customWidth="1"/>
    <col min="15877" max="15877" width="11.140625" customWidth="1"/>
    <col min="15878" max="15878" width="20.28515625" customWidth="1"/>
    <col min="15880" max="15880" width="35.5703125" customWidth="1"/>
    <col min="15881" max="15882" width="12.140625" customWidth="1"/>
    <col min="15883" max="15883" width="40.5703125" customWidth="1"/>
    <col min="15884" max="15884" width="17.28515625" customWidth="1"/>
    <col min="15885" max="15885" width="15.28515625" customWidth="1"/>
    <col min="15886" max="15886" width="17.28515625" customWidth="1"/>
    <col min="16129" max="16129" width="16.28515625" customWidth="1"/>
    <col min="16130" max="16130" width="17.28515625" customWidth="1"/>
    <col min="16133" max="16133" width="11.140625" customWidth="1"/>
    <col min="16134" max="16134" width="20.28515625" customWidth="1"/>
    <col min="16136" max="16136" width="35.5703125" customWidth="1"/>
    <col min="16137" max="16138" width="12.140625" customWidth="1"/>
    <col min="16139" max="16139" width="40.5703125" customWidth="1"/>
    <col min="16140" max="16140" width="17.28515625" customWidth="1"/>
    <col min="16141" max="16141" width="15.28515625" customWidth="1"/>
    <col min="16142" max="16142" width="17.28515625" customWidth="1"/>
  </cols>
  <sheetData>
    <row r="1" spans="1:14" ht="51.75" x14ac:dyDescent="0.25">
      <c r="A1" s="29" t="s">
        <v>7385</v>
      </c>
      <c r="B1" s="27" t="s">
        <v>7386</v>
      </c>
      <c r="C1" s="27" t="s">
        <v>7387</v>
      </c>
      <c r="D1" s="27" t="s">
        <v>5350</v>
      </c>
      <c r="E1" s="29" t="s">
        <v>7388</v>
      </c>
      <c r="F1" s="27" t="s">
        <v>7389</v>
      </c>
      <c r="G1" s="27" t="s">
        <v>7390</v>
      </c>
      <c r="H1" s="27" t="s">
        <v>7391</v>
      </c>
      <c r="I1" s="29" t="s">
        <v>7392</v>
      </c>
      <c r="J1" s="29" t="s">
        <v>7393</v>
      </c>
      <c r="K1" s="27" t="s">
        <v>7394</v>
      </c>
      <c r="L1" s="29" t="s">
        <v>7395</v>
      </c>
      <c r="M1" s="29" t="s">
        <v>7396</v>
      </c>
      <c r="N1" s="29" t="s">
        <v>7397</v>
      </c>
    </row>
    <row r="2" spans="1:14" x14ac:dyDescent="0.25">
      <c r="A2" s="30">
        <v>1</v>
      </c>
      <c r="B2" s="2" t="s">
        <v>7398</v>
      </c>
      <c r="C2" s="2" t="s">
        <v>7399</v>
      </c>
      <c r="D2" s="2" t="s">
        <v>5410</v>
      </c>
      <c r="E2" s="5">
        <v>36</v>
      </c>
      <c r="F2" s="2" t="s">
        <v>1839</v>
      </c>
      <c r="G2" s="2" t="s">
        <v>7400</v>
      </c>
      <c r="H2" s="2" t="s">
        <v>4</v>
      </c>
      <c r="I2" s="4">
        <v>1067</v>
      </c>
      <c r="J2" s="4">
        <v>1260</v>
      </c>
      <c r="L2" s="31">
        <v>108.85</v>
      </c>
      <c r="M2" s="32">
        <v>21.4</v>
      </c>
      <c r="N2" s="33">
        <v>9.8000000000000007</v>
      </c>
    </row>
    <row r="3" spans="1:14" x14ac:dyDescent="0.25">
      <c r="A3" s="30">
        <v>1</v>
      </c>
      <c r="B3" s="2" t="s">
        <v>7398</v>
      </c>
      <c r="C3" s="2" t="s">
        <v>7399</v>
      </c>
      <c r="D3" s="2" t="s">
        <v>5411</v>
      </c>
      <c r="E3" s="5">
        <v>25</v>
      </c>
      <c r="F3" s="2" t="s">
        <v>1840</v>
      </c>
      <c r="G3" s="2" t="s">
        <v>7400</v>
      </c>
      <c r="H3" s="2" t="s">
        <v>5</v>
      </c>
      <c r="I3" s="4">
        <v>2799</v>
      </c>
      <c r="J3" s="4">
        <v>2808</v>
      </c>
      <c r="L3" s="31">
        <v>282.27999999999997</v>
      </c>
      <c r="M3" s="32">
        <v>19.899999999999999</v>
      </c>
      <c r="N3" s="33">
        <v>9.9</v>
      </c>
    </row>
    <row r="4" spans="1:14" x14ac:dyDescent="0.25">
      <c r="A4" s="30">
        <v>1</v>
      </c>
      <c r="B4" s="2" t="s">
        <v>7398</v>
      </c>
      <c r="C4" s="2" t="s">
        <v>7399</v>
      </c>
      <c r="D4" s="2" t="s">
        <v>5412</v>
      </c>
      <c r="E4" s="5">
        <v>12</v>
      </c>
      <c r="F4" s="2" t="s">
        <v>1841</v>
      </c>
      <c r="G4" s="2" t="s">
        <v>7400</v>
      </c>
      <c r="H4" s="2" t="s">
        <v>6</v>
      </c>
      <c r="I4" s="4">
        <v>4070</v>
      </c>
      <c r="J4" s="4">
        <v>3610</v>
      </c>
      <c r="L4" s="31">
        <v>506.14</v>
      </c>
      <c r="M4" s="32">
        <v>15.2</v>
      </c>
      <c r="N4" s="33">
        <v>8</v>
      </c>
    </row>
    <row r="5" spans="1:14" x14ac:dyDescent="0.25">
      <c r="A5" s="30">
        <v>1</v>
      </c>
      <c r="B5" s="2" t="s">
        <v>7398</v>
      </c>
      <c r="C5" s="2" t="s">
        <v>7399</v>
      </c>
      <c r="D5" s="2" t="s">
        <v>5413</v>
      </c>
      <c r="E5" s="5">
        <v>9</v>
      </c>
      <c r="F5" s="2" t="s">
        <v>1842</v>
      </c>
      <c r="G5" s="2" t="s">
        <v>7400</v>
      </c>
      <c r="H5" s="2" t="s">
        <v>7</v>
      </c>
      <c r="I5" s="4">
        <v>302</v>
      </c>
      <c r="J5" s="4">
        <v>180</v>
      </c>
      <c r="L5" s="31">
        <v>17.14</v>
      </c>
      <c r="M5" s="32">
        <v>28.1</v>
      </c>
      <c r="N5" s="33">
        <v>17.600000000000001</v>
      </c>
    </row>
    <row r="6" spans="1:14" x14ac:dyDescent="0.25">
      <c r="A6" s="30">
        <v>1</v>
      </c>
      <c r="B6" s="2" t="s">
        <v>7398</v>
      </c>
      <c r="C6" s="2" t="s">
        <v>7399</v>
      </c>
      <c r="D6" s="2" t="s">
        <v>5414</v>
      </c>
      <c r="E6" s="5">
        <v>9</v>
      </c>
      <c r="F6" s="2" t="s">
        <v>1843</v>
      </c>
      <c r="G6" s="2" t="s">
        <v>7400</v>
      </c>
      <c r="H6" s="2" t="s">
        <v>8</v>
      </c>
      <c r="I6" s="4">
        <v>1453</v>
      </c>
      <c r="J6" s="4">
        <v>800</v>
      </c>
      <c r="L6" s="31">
        <v>112.71</v>
      </c>
      <c r="M6" s="32">
        <v>20</v>
      </c>
      <c r="N6" s="33">
        <v>12.9</v>
      </c>
    </row>
    <row r="7" spans="1:14" x14ac:dyDescent="0.25">
      <c r="A7" s="30">
        <v>1</v>
      </c>
      <c r="B7" s="2" t="s">
        <v>7398</v>
      </c>
      <c r="C7" s="2" t="s">
        <v>7399</v>
      </c>
      <c r="D7" s="2" t="s">
        <v>5415</v>
      </c>
      <c r="E7" s="5">
        <v>6</v>
      </c>
      <c r="F7" s="2" t="s">
        <v>1844</v>
      </c>
      <c r="G7" s="2" t="s">
        <v>7400</v>
      </c>
      <c r="H7" s="2" t="s">
        <v>9</v>
      </c>
      <c r="I7" s="4">
        <v>134</v>
      </c>
      <c r="J7" s="4">
        <v>0</v>
      </c>
      <c r="L7" s="31">
        <v>7.42</v>
      </c>
      <c r="M7" s="32">
        <v>18.100000000000001</v>
      </c>
      <c r="N7" s="33">
        <v>18.100000000000001</v>
      </c>
    </row>
    <row r="8" spans="1:14" x14ac:dyDescent="0.25">
      <c r="A8" s="30">
        <v>1</v>
      </c>
      <c r="B8" s="2" t="s">
        <v>7398</v>
      </c>
      <c r="C8" s="2" t="s">
        <v>7399</v>
      </c>
      <c r="D8" s="2" t="s">
        <v>5416</v>
      </c>
      <c r="E8" s="5">
        <v>12</v>
      </c>
      <c r="F8" s="2" t="s">
        <v>1845</v>
      </c>
      <c r="G8" s="2" t="s">
        <v>7401</v>
      </c>
      <c r="H8" s="2" t="s">
        <v>10</v>
      </c>
      <c r="I8" s="4">
        <v>3</v>
      </c>
      <c r="J8" s="4">
        <v>14</v>
      </c>
      <c r="L8" s="31">
        <v>0.56999999999999995</v>
      </c>
      <c r="M8" s="32">
        <v>29.8</v>
      </c>
      <c r="N8" s="33">
        <v>5.3</v>
      </c>
    </row>
    <row r="9" spans="1:14" x14ac:dyDescent="0.25">
      <c r="A9" s="30">
        <v>1</v>
      </c>
      <c r="B9" s="2" t="s">
        <v>7398</v>
      </c>
      <c r="C9" s="2" t="s">
        <v>7399</v>
      </c>
      <c r="D9" s="2" t="s">
        <v>5417</v>
      </c>
      <c r="E9" s="5">
        <v>3</v>
      </c>
      <c r="F9" s="2" t="s">
        <v>7402</v>
      </c>
      <c r="G9" s="2" t="s">
        <v>7401</v>
      </c>
      <c r="H9" s="2" t="s">
        <v>11</v>
      </c>
      <c r="I9" s="4">
        <v>78</v>
      </c>
      <c r="J9" s="4">
        <v>0</v>
      </c>
      <c r="L9" s="31">
        <v>3.57</v>
      </c>
      <c r="M9" s="32">
        <v>21.8</v>
      </c>
      <c r="N9" s="33">
        <v>21.8</v>
      </c>
    </row>
    <row r="10" spans="1:14" x14ac:dyDescent="0.25">
      <c r="A10" s="30">
        <v>1</v>
      </c>
      <c r="B10" s="2" t="s">
        <v>7398</v>
      </c>
      <c r="C10" s="2" t="s">
        <v>7399</v>
      </c>
      <c r="D10" s="2" t="s">
        <v>5418</v>
      </c>
      <c r="E10" s="5">
        <v>12</v>
      </c>
      <c r="F10" s="2" t="s">
        <v>1841</v>
      </c>
      <c r="G10" s="2" t="s">
        <v>7400</v>
      </c>
      <c r="H10" s="2" t="s">
        <v>12</v>
      </c>
      <c r="I10" s="4">
        <v>72</v>
      </c>
      <c r="J10" s="4">
        <v>95</v>
      </c>
      <c r="L10" s="31">
        <v>6.14</v>
      </c>
      <c r="M10" s="32">
        <v>27.2</v>
      </c>
      <c r="N10" s="33">
        <v>11.7</v>
      </c>
    </row>
    <row r="11" spans="1:14" x14ac:dyDescent="0.25">
      <c r="A11" s="30">
        <v>1</v>
      </c>
      <c r="B11" s="2" t="s">
        <v>7398</v>
      </c>
      <c r="C11" s="2" t="s">
        <v>7399</v>
      </c>
      <c r="D11" s="2" t="s">
        <v>5419</v>
      </c>
      <c r="E11" s="5">
        <v>12</v>
      </c>
      <c r="F11" s="2" t="s">
        <v>1841</v>
      </c>
      <c r="G11" s="2" t="s">
        <v>7400</v>
      </c>
      <c r="H11" s="2" t="s">
        <v>13</v>
      </c>
      <c r="I11" s="4">
        <v>32</v>
      </c>
      <c r="J11" s="4">
        <v>285</v>
      </c>
      <c r="L11" s="31">
        <v>18</v>
      </c>
      <c r="M11" s="32">
        <v>17.600000000000001</v>
      </c>
      <c r="N11" s="33">
        <v>1.8</v>
      </c>
    </row>
    <row r="12" spans="1:14" x14ac:dyDescent="0.25">
      <c r="A12" s="30">
        <v>1</v>
      </c>
      <c r="B12" s="2" t="s">
        <v>7398</v>
      </c>
      <c r="C12" s="2" t="s">
        <v>7399</v>
      </c>
      <c r="D12" s="2" t="s">
        <v>5420</v>
      </c>
      <c r="E12" s="5">
        <v>25</v>
      </c>
      <c r="F12" s="2" t="s">
        <v>1840</v>
      </c>
      <c r="G12" s="2" t="s">
        <v>7400</v>
      </c>
      <c r="H12" s="2" t="s">
        <v>14</v>
      </c>
      <c r="I12" s="4">
        <v>191</v>
      </c>
      <c r="J12" s="4">
        <v>1014</v>
      </c>
      <c r="L12" s="31">
        <v>66.709999999999994</v>
      </c>
      <c r="M12" s="32">
        <v>18.100000000000001</v>
      </c>
      <c r="N12" s="33">
        <v>2.9</v>
      </c>
    </row>
    <row r="13" spans="1:14" x14ac:dyDescent="0.25">
      <c r="A13" s="30">
        <v>1</v>
      </c>
      <c r="B13" s="2" t="s">
        <v>7398</v>
      </c>
      <c r="C13" s="2" t="s">
        <v>7399</v>
      </c>
      <c r="D13" s="2" t="s">
        <v>5421</v>
      </c>
      <c r="E13" s="5">
        <v>12</v>
      </c>
      <c r="F13" s="2" t="s">
        <v>1841</v>
      </c>
      <c r="G13" s="2" t="s">
        <v>7400</v>
      </c>
      <c r="H13" s="2" t="s">
        <v>15</v>
      </c>
      <c r="I13" s="4">
        <v>352</v>
      </c>
      <c r="J13" s="4">
        <v>570</v>
      </c>
      <c r="L13" s="31">
        <v>45.14</v>
      </c>
      <c r="M13" s="32">
        <v>20.399999999999999</v>
      </c>
      <c r="N13" s="33">
        <v>7.8</v>
      </c>
    </row>
    <row r="14" spans="1:14" x14ac:dyDescent="0.25">
      <c r="A14" s="30">
        <v>1</v>
      </c>
      <c r="B14" s="2" t="s">
        <v>7398</v>
      </c>
      <c r="C14" s="2" t="s">
        <v>7399</v>
      </c>
      <c r="D14" s="2" t="s">
        <v>5422</v>
      </c>
      <c r="E14" s="5">
        <v>9</v>
      </c>
      <c r="F14" s="2" t="s">
        <v>1842</v>
      </c>
      <c r="G14" s="2" t="s">
        <v>7400</v>
      </c>
      <c r="H14" s="2" t="s">
        <v>16</v>
      </c>
      <c r="I14" s="4">
        <v>44</v>
      </c>
      <c r="J14" s="4">
        <v>0</v>
      </c>
      <c r="L14" s="31">
        <v>1.71</v>
      </c>
      <c r="M14" s="32">
        <v>25.7</v>
      </c>
      <c r="N14" s="33">
        <v>25.7</v>
      </c>
    </row>
    <row r="15" spans="1:14" x14ac:dyDescent="0.25">
      <c r="A15" s="30">
        <v>1</v>
      </c>
      <c r="B15" s="2" t="s">
        <v>7398</v>
      </c>
      <c r="C15" s="2" t="s">
        <v>7399</v>
      </c>
      <c r="D15" s="2" t="s">
        <v>5423</v>
      </c>
      <c r="E15" s="5">
        <v>25</v>
      </c>
      <c r="F15" s="2" t="s">
        <v>1840</v>
      </c>
      <c r="G15" s="2" t="s">
        <v>7400</v>
      </c>
      <c r="H15" s="2" t="s">
        <v>17</v>
      </c>
      <c r="I15" s="4">
        <v>365</v>
      </c>
      <c r="J15" s="4">
        <v>468</v>
      </c>
      <c r="L15" s="31">
        <v>45.71</v>
      </c>
      <c r="M15" s="32">
        <v>18.2</v>
      </c>
      <c r="N15" s="33">
        <v>8</v>
      </c>
    </row>
    <row r="16" spans="1:14" x14ac:dyDescent="0.25">
      <c r="A16" s="30">
        <v>1</v>
      </c>
      <c r="B16" s="2" t="s">
        <v>7398</v>
      </c>
      <c r="C16" s="2" t="s">
        <v>7399</v>
      </c>
      <c r="D16" s="2" t="s">
        <v>5424</v>
      </c>
      <c r="E16" s="5">
        <v>9</v>
      </c>
      <c r="F16" s="2" t="s">
        <v>1842</v>
      </c>
      <c r="G16" s="2" t="s">
        <v>7400</v>
      </c>
      <c r="H16" s="2" t="s">
        <v>18</v>
      </c>
      <c r="I16" s="4">
        <v>39</v>
      </c>
      <c r="J16" s="4">
        <v>0</v>
      </c>
      <c r="L16" s="31">
        <v>1.42</v>
      </c>
      <c r="M16" s="32">
        <v>27.5</v>
      </c>
      <c r="N16" s="33">
        <v>27.5</v>
      </c>
    </row>
    <row r="17" spans="1:14" x14ac:dyDescent="0.25">
      <c r="A17" s="30">
        <v>1</v>
      </c>
      <c r="B17" s="2" t="s">
        <v>7398</v>
      </c>
      <c r="C17" s="2" t="s">
        <v>7399</v>
      </c>
      <c r="D17" s="2" t="s">
        <v>5425</v>
      </c>
      <c r="E17" s="5">
        <v>12</v>
      </c>
      <c r="F17" s="2" t="s">
        <v>1841</v>
      </c>
      <c r="G17" s="2" t="s">
        <v>7400</v>
      </c>
      <c r="H17" s="2" t="s">
        <v>19</v>
      </c>
      <c r="I17" s="4">
        <v>273</v>
      </c>
      <c r="J17" s="4">
        <v>665</v>
      </c>
      <c r="L17" s="31">
        <v>44.71</v>
      </c>
      <c r="M17" s="32">
        <v>21</v>
      </c>
      <c r="N17" s="33">
        <v>6.1</v>
      </c>
    </row>
    <row r="18" spans="1:14" x14ac:dyDescent="0.25">
      <c r="A18" s="30">
        <v>1</v>
      </c>
      <c r="B18" s="2" t="s">
        <v>7398</v>
      </c>
      <c r="C18" s="2" t="s">
        <v>7399</v>
      </c>
      <c r="D18" s="2" t="s">
        <v>5426</v>
      </c>
      <c r="E18" s="5">
        <v>9</v>
      </c>
      <c r="F18" s="2" t="s">
        <v>1843</v>
      </c>
      <c r="G18" s="2" t="s">
        <v>7400</v>
      </c>
      <c r="H18" s="2" t="s">
        <v>20</v>
      </c>
      <c r="I18" s="4">
        <v>91</v>
      </c>
      <c r="J18" s="4">
        <v>80</v>
      </c>
      <c r="L18" s="31">
        <v>6</v>
      </c>
      <c r="M18" s="32">
        <v>28.5</v>
      </c>
      <c r="N18" s="33">
        <v>15.2</v>
      </c>
    </row>
    <row r="19" spans="1:14" x14ac:dyDescent="0.25">
      <c r="A19" s="30">
        <v>1</v>
      </c>
      <c r="B19" s="2" t="s">
        <v>7398</v>
      </c>
      <c r="C19" s="2" t="s">
        <v>7399</v>
      </c>
      <c r="D19" s="2" t="s">
        <v>5427</v>
      </c>
      <c r="E19" s="5">
        <v>6</v>
      </c>
      <c r="F19" s="2" t="s">
        <v>1844</v>
      </c>
      <c r="G19" s="2" t="s">
        <v>7400</v>
      </c>
      <c r="H19" s="2" t="s">
        <v>21</v>
      </c>
      <c r="I19" s="4">
        <v>328</v>
      </c>
      <c r="J19" s="4">
        <v>0</v>
      </c>
      <c r="L19" s="31">
        <v>8.42</v>
      </c>
      <c r="M19" s="32">
        <v>39</v>
      </c>
      <c r="N19" s="33">
        <v>39</v>
      </c>
    </row>
    <row r="20" spans="1:14" x14ac:dyDescent="0.25">
      <c r="A20" s="30">
        <v>1</v>
      </c>
      <c r="B20" s="2" t="s">
        <v>7398</v>
      </c>
      <c r="C20" s="2" t="s">
        <v>7399</v>
      </c>
      <c r="D20" s="2" t="s">
        <v>5428</v>
      </c>
      <c r="E20" s="5">
        <v>12</v>
      </c>
      <c r="F20" s="2" t="s">
        <v>1840</v>
      </c>
      <c r="G20" s="2" t="s">
        <v>7400</v>
      </c>
      <c r="H20" s="2" t="s">
        <v>22</v>
      </c>
      <c r="I20" s="4">
        <v>83</v>
      </c>
      <c r="J20" s="4">
        <v>0</v>
      </c>
      <c r="L20" s="31">
        <v>1.57</v>
      </c>
      <c r="M20" s="32">
        <v>52.9</v>
      </c>
      <c r="N20" s="33">
        <v>52.9</v>
      </c>
    </row>
    <row r="21" spans="1:14" x14ac:dyDescent="0.25">
      <c r="A21" s="30">
        <v>1</v>
      </c>
      <c r="B21" s="2" t="s">
        <v>7398</v>
      </c>
      <c r="C21" s="2" t="s">
        <v>7399</v>
      </c>
      <c r="D21" s="2" t="s">
        <v>5429</v>
      </c>
      <c r="E21" s="5">
        <v>9</v>
      </c>
      <c r="F21" s="2" t="s">
        <v>1840</v>
      </c>
      <c r="G21" s="2" t="s">
        <v>7400</v>
      </c>
      <c r="H21" s="2" t="s">
        <v>23</v>
      </c>
      <c r="I21" s="4">
        <v>92</v>
      </c>
      <c r="J21" s="4">
        <v>78</v>
      </c>
      <c r="L21" s="31">
        <v>5.42</v>
      </c>
      <c r="M21" s="32">
        <v>31.4</v>
      </c>
      <c r="N21" s="33">
        <v>17</v>
      </c>
    </row>
    <row r="22" spans="1:14" x14ac:dyDescent="0.25">
      <c r="A22" s="30">
        <v>1</v>
      </c>
      <c r="B22" s="2" t="s">
        <v>7398</v>
      </c>
      <c r="C22" s="2" t="s">
        <v>7399</v>
      </c>
      <c r="D22" s="2" t="s">
        <v>5430</v>
      </c>
      <c r="E22" s="5">
        <v>9</v>
      </c>
      <c r="F22" s="2" t="s">
        <v>1840</v>
      </c>
      <c r="G22" s="2" t="s">
        <v>7400</v>
      </c>
      <c r="H22" s="2" t="s">
        <v>24</v>
      </c>
      <c r="I22" s="4">
        <v>29</v>
      </c>
      <c r="J22" s="4">
        <v>78</v>
      </c>
      <c r="L22" s="31">
        <v>2.71</v>
      </c>
      <c r="M22" s="32">
        <v>39.5</v>
      </c>
      <c r="N22" s="33">
        <v>10.7</v>
      </c>
    </row>
    <row r="23" spans="1:14" x14ac:dyDescent="0.25">
      <c r="A23" s="30">
        <v>1</v>
      </c>
      <c r="B23" s="2" t="s">
        <v>7398</v>
      </c>
      <c r="C23" s="2" t="s">
        <v>7399</v>
      </c>
      <c r="D23" s="2" t="s">
        <v>5431</v>
      </c>
      <c r="E23" s="5">
        <v>9</v>
      </c>
      <c r="F23" s="2" t="s">
        <v>1840</v>
      </c>
      <c r="G23" s="2" t="s">
        <v>7400</v>
      </c>
      <c r="H23" s="2" t="s">
        <v>25</v>
      </c>
      <c r="I23" s="4">
        <v>32</v>
      </c>
      <c r="J23" s="4">
        <v>0</v>
      </c>
      <c r="L23" s="31">
        <v>1.57</v>
      </c>
      <c r="M23" s="32">
        <v>20.399999999999999</v>
      </c>
      <c r="N23" s="33">
        <v>20.399999999999999</v>
      </c>
    </row>
    <row r="24" spans="1:14" x14ac:dyDescent="0.25">
      <c r="A24" s="30">
        <v>1</v>
      </c>
      <c r="B24" s="2" t="s">
        <v>7398</v>
      </c>
      <c r="C24" s="2" t="s">
        <v>7399</v>
      </c>
      <c r="D24" s="2" t="s">
        <v>5432</v>
      </c>
      <c r="E24" s="5">
        <v>12</v>
      </c>
      <c r="F24" s="2" t="s">
        <v>1840</v>
      </c>
      <c r="G24" s="2" t="s">
        <v>7400</v>
      </c>
      <c r="H24" s="2" t="s">
        <v>26</v>
      </c>
      <c r="I24" s="4">
        <v>90</v>
      </c>
      <c r="J24" s="4">
        <v>336</v>
      </c>
      <c r="L24" s="31">
        <v>21.57</v>
      </c>
      <c r="M24" s="32">
        <v>19.7</v>
      </c>
      <c r="N24" s="33">
        <v>4.2</v>
      </c>
    </row>
    <row r="25" spans="1:14" x14ac:dyDescent="0.25">
      <c r="A25" s="30">
        <v>1</v>
      </c>
      <c r="B25" s="2" t="s">
        <v>7398</v>
      </c>
      <c r="C25" s="2" t="s">
        <v>7399</v>
      </c>
      <c r="D25" s="2" t="s">
        <v>5433</v>
      </c>
      <c r="E25" s="5">
        <v>12</v>
      </c>
      <c r="F25" s="2" t="s">
        <v>1847</v>
      </c>
      <c r="H25" s="2" t="s">
        <v>27</v>
      </c>
      <c r="I25" s="4">
        <v>555</v>
      </c>
      <c r="J25" s="4">
        <v>0</v>
      </c>
      <c r="L25" s="31">
        <v>25.14</v>
      </c>
      <c r="M25" s="32">
        <v>22.1</v>
      </c>
      <c r="N25" s="33">
        <v>22.1</v>
      </c>
    </row>
    <row r="26" spans="1:14" x14ac:dyDescent="0.25">
      <c r="A26" s="30">
        <v>1</v>
      </c>
      <c r="B26" s="2" t="s">
        <v>7398</v>
      </c>
      <c r="C26" s="2" t="s">
        <v>7399</v>
      </c>
      <c r="D26" s="2" t="s">
        <v>5434</v>
      </c>
      <c r="E26" s="5">
        <v>2</v>
      </c>
      <c r="F26" s="2" t="s">
        <v>1848</v>
      </c>
      <c r="G26" s="2" t="s">
        <v>7400</v>
      </c>
      <c r="H26" s="2" t="s">
        <v>28</v>
      </c>
      <c r="I26" s="4">
        <v>157</v>
      </c>
      <c r="J26" s="4">
        <v>80</v>
      </c>
      <c r="L26" s="31">
        <v>6.28</v>
      </c>
      <c r="M26" s="32">
        <v>37.700000000000003</v>
      </c>
      <c r="N26" s="33">
        <v>25</v>
      </c>
    </row>
    <row r="27" spans="1:14" x14ac:dyDescent="0.25">
      <c r="A27" s="30">
        <v>1</v>
      </c>
      <c r="B27" s="2" t="s">
        <v>7398</v>
      </c>
      <c r="C27" s="2" t="s">
        <v>7399</v>
      </c>
      <c r="D27" s="2" t="s">
        <v>5435</v>
      </c>
      <c r="E27" s="5">
        <v>24</v>
      </c>
      <c r="F27" s="2" t="s">
        <v>1849</v>
      </c>
      <c r="G27" s="2" t="s">
        <v>7400</v>
      </c>
      <c r="H27" s="2" t="s">
        <v>29</v>
      </c>
      <c r="I27" s="4">
        <v>486</v>
      </c>
      <c r="J27" s="4">
        <v>1280</v>
      </c>
      <c r="L27" s="31">
        <v>122.42</v>
      </c>
      <c r="M27" s="32">
        <v>14.4</v>
      </c>
      <c r="N27" s="33">
        <v>4</v>
      </c>
    </row>
    <row r="28" spans="1:14" x14ac:dyDescent="0.25">
      <c r="A28" s="30">
        <v>1</v>
      </c>
      <c r="B28" s="2" t="s">
        <v>7398</v>
      </c>
      <c r="C28" s="2" t="s">
        <v>7399</v>
      </c>
      <c r="D28" s="2" t="s">
        <v>5436</v>
      </c>
      <c r="E28" s="5">
        <v>12</v>
      </c>
      <c r="F28" s="2" t="s">
        <v>1845</v>
      </c>
      <c r="G28" s="2" t="s">
        <v>7400</v>
      </c>
      <c r="H28" s="2" t="s">
        <v>30</v>
      </c>
      <c r="I28" s="4">
        <v>873</v>
      </c>
      <c r="J28" s="4">
        <v>1326</v>
      </c>
      <c r="L28" s="31">
        <v>191.42</v>
      </c>
      <c r="M28" s="32">
        <v>11.5</v>
      </c>
      <c r="N28" s="33">
        <v>4.5999999999999996</v>
      </c>
    </row>
    <row r="29" spans="1:14" x14ac:dyDescent="0.25">
      <c r="A29" s="30">
        <v>1</v>
      </c>
      <c r="B29" s="2" t="s">
        <v>7398</v>
      </c>
      <c r="C29" s="2" t="s">
        <v>7399</v>
      </c>
      <c r="D29" s="2" t="s">
        <v>5437</v>
      </c>
      <c r="E29" s="5">
        <v>9</v>
      </c>
      <c r="F29" s="2" t="s">
        <v>1850</v>
      </c>
      <c r="G29" s="2" t="s">
        <v>7400</v>
      </c>
      <c r="H29" s="2" t="s">
        <v>31</v>
      </c>
      <c r="I29" s="4">
        <v>482</v>
      </c>
      <c r="J29" s="4">
        <v>1560</v>
      </c>
      <c r="L29" s="31">
        <v>171.71</v>
      </c>
      <c r="M29" s="32">
        <v>11.9</v>
      </c>
      <c r="N29" s="33">
        <v>2.8</v>
      </c>
    </row>
    <row r="30" spans="1:14" x14ac:dyDescent="0.25">
      <c r="A30" s="30">
        <v>1</v>
      </c>
      <c r="B30" s="2" t="s">
        <v>7398</v>
      </c>
      <c r="C30" s="2" t="s">
        <v>7399</v>
      </c>
      <c r="D30" s="2" t="s">
        <v>5438</v>
      </c>
      <c r="E30" s="5">
        <v>6</v>
      </c>
      <c r="F30" s="2" t="s">
        <v>1851</v>
      </c>
      <c r="G30" s="2" t="s">
        <v>7400</v>
      </c>
      <c r="H30" s="2" t="s">
        <v>32</v>
      </c>
      <c r="I30" s="4">
        <v>98</v>
      </c>
      <c r="J30" s="4">
        <v>252</v>
      </c>
      <c r="L30" s="31">
        <v>33</v>
      </c>
      <c r="M30" s="32">
        <v>10.6</v>
      </c>
      <c r="N30" s="33">
        <v>3</v>
      </c>
    </row>
    <row r="31" spans="1:14" x14ac:dyDescent="0.25">
      <c r="A31" s="30">
        <v>1</v>
      </c>
      <c r="B31" s="2" t="s">
        <v>7398</v>
      </c>
      <c r="C31" s="2" t="s">
        <v>7399</v>
      </c>
      <c r="D31" s="2" t="s">
        <v>5439</v>
      </c>
      <c r="E31" s="5">
        <v>6</v>
      </c>
      <c r="F31" s="2" t="s">
        <v>1852</v>
      </c>
      <c r="G31" s="2" t="s">
        <v>7400</v>
      </c>
      <c r="H31" s="2" t="s">
        <v>33</v>
      </c>
      <c r="I31" s="4">
        <v>417</v>
      </c>
      <c r="J31" s="4">
        <v>72</v>
      </c>
      <c r="L31" s="31">
        <v>28</v>
      </c>
      <c r="M31" s="32">
        <v>17.5</v>
      </c>
      <c r="N31" s="33">
        <v>14.9</v>
      </c>
    </row>
    <row r="32" spans="1:14" x14ac:dyDescent="0.25">
      <c r="A32" s="30">
        <v>1</v>
      </c>
      <c r="B32" s="2" t="s">
        <v>7398</v>
      </c>
      <c r="C32" s="2" t="s">
        <v>7399</v>
      </c>
      <c r="D32" s="2" t="s">
        <v>5440</v>
      </c>
      <c r="E32" s="5">
        <v>24</v>
      </c>
      <c r="F32" s="2" t="s">
        <v>1849</v>
      </c>
      <c r="G32" s="2" t="s">
        <v>7400</v>
      </c>
      <c r="H32" s="2" t="s">
        <v>34</v>
      </c>
      <c r="I32" s="4">
        <v>642</v>
      </c>
      <c r="J32" s="4">
        <v>1080</v>
      </c>
      <c r="L32" s="31">
        <v>179.14</v>
      </c>
      <c r="M32" s="32">
        <v>9.6</v>
      </c>
      <c r="N32" s="33">
        <v>3.6</v>
      </c>
    </row>
    <row r="33" spans="1:14" x14ac:dyDescent="0.25">
      <c r="A33" s="30">
        <v>1</v>
      </c>
      <c r="B33" s="2" t="s">
        <v>7398</v>
      </c>
      <c r="C33" s="2" t="s">
        <v>7399</v>
      </c>
      <c r="D33" s="2" t="s">
        <v>5441</v>
      </c>
      <c r="E33" s="5">
        <v>12</v>
      </c>
      <c r="F33" s="2" t="s">
        <v>1845</v>
      </c>
      <c r="G33" s="2" t="s">
        <v>7400</v>
      </c>
      <c r="H33" s="2" t="s">
        <v>35</v>
      </c>
      <c r="I33" s="4">
        <v>1129</v>
      </c>
      <c r="J33" s="4">
        <v>2328</v>
      </c>
      <c r="L33" s="31">
        <v>301.57</v>
      </c>
      <c r="M33" s="32">
        <v>11.5</v>
      </c>
      <c r="N33" s="33">
        <v>3.7</v>
      </c>
    </row>
    <row r="34" spans="1:14" x14ac:dyDescent="0.25">
      <c r="A34" s="30">
        <v>1</v>
      </c>
      <c r="B34" s="2" t="s">
        <v>7398</v>
      </c>
      <c r="C34" s="2" t="s">
        <v>7399</v>
      </c>
      <c r="D34" s="2" t="s">
        <v>5442</v>
      </c>
      <c r="E34" s="5">
        <v>9</v>
      </c>
      <c r="F34" s="2" t="s">
        <v>1850</v>
      </c>
      <c r="G34" s="2" t="s">
        <v>7400</v>
      </c>
      <c r="H34" s="2" t="s">
        <v>36</v>
      </c>
      <c r="I34" s="4">
        <v>603</v>
      </c>
      <c r="J34" s="4">
        <v>2520</v>
      </c>
      <c r="L34" s="31">
        <v>276.57</v>
      </c>
      <c r="M34" s="32">
        <v>11.3</v>
      </c>
      <c r="N34" s="33">
        <v>2.2000000000000002</v>
      </c>
    </row>
    <row r="35" spans="1:14" x14ac:dyDescent="0.25">
      <c r="A35" s="30">
        <v>1</v>
      </c>
      <c r="B35" s="2" t="s">
        <v>7398</v>
      </c>
      <c r="C35" s="2" t="s">
        <v>7399</v>
      </c>
      <c r="D35" s="2" t="s">
        <v>5443</v>
      </c>
      <c r="E35" s="5">
        <v>6</v>
      </c>
      <c r="F35" s="2" t="s">
        <v>1852</v>
      </c>
      <c r="G35" s="2" t="s">
        <v>7400</v>
      </c>
      <c r="H35" s="2" t="s">
        <v>37</v>
      </c>
      <c r="I35" s="4">
        <v>130</v>
      </c>
      <c r="J35" s="4">
        <v>396</v>
      </c>
      <c r="L35" s="31">
        <v>32.71</v>
      </c>
      <c r="M35" s="32">
        <v>16.100000000000001</v>
      </c>
      <c r="N35" s="33">
        <v>4</v>
      </c>
    </row>
    <row r="36" spans="1:14" x14ac:dyDescent="0.25">
      <c r="A36" s="30">
        <v>1</v>
      </c>
      <c r="B36" s="2" t="s">
        <v>7398</v>
      </c>
      <c r="C36" s="2" t="s">
        <v>7399</v>
      </c>
      <c r="D36" s="2" t="s">
        <v>5444</v>
      </c>
      <c r="E36" s="5">
        <v>6</v>
      </c>
      <c r="F36" s="2" t="s">
        <v>1851</v>
      </c>
      <c r="G36" s="2" t="s">
        <v>7400</v>
      </c>
      <c r="H36" s="2" t="s">
        <v>38</v>
      </c>
      <c r="I36" s="4">
        <v>308</v>
      </c>
      <c r="J36" s="4">
        <v>216</v>
      </c>
      <c r="L36" s="31">
        <v>28.71</v>
      </c>
      <c r="M36" s="32">
        <v>18.3</v>
      </c>
      <c r="N36" s="33">
        <v>10.7</v>
      </c>
    </row>
    <row r="37" spans="1:14" x14ac:dyDescent="0.25">
      <c r="A37" s="30">
        <v>1</v>
      </c>
      <c r="B37" s="2" t="s">
        <v>7398</v>
      </c>
      <c r="C37" s="2" t="s">
        <v>7399</v>
      </c>
      <c r="D37" s="2" t="s">
        <v>5445</v>
      </c>
      <c r="E37" s="5">
        <v>9</v>
      </c>
      <c r="F37" s="2" t="s">
        <v>1850</v>
      </c>
      <c r="G37" s="2" t="s">
        <v>7400</v>
      </c>
      <c r="H37" s="2" t="s">
        <v>39</v>
      </c>
      <c r="I37" s="4">
        <v>25</v>
      </c>
      <c r="J37" s="4">
        <v>1140</v>
      </c>
      <c r="L37" s="31">
        <v>99.28</v>
      </c>
      <c r="M37" s="32">
        <v>13.5</v>
      </c>
      <c r="N37" s="33">
        <v>0.3</v>
      </c>
    </row>
    <row r="38" spans="1:14" x14ac:dyDescent="0.25">
      <c r="A38" s="30">
        <v>1</v>
      </c>
      <c r="B38" s="2" t="s">
        <v>7398</v>
      </c>
      <c r="C38" s="2" t="s">
        <v>7399</v>
      </c>
      <c r="D38" s="2" t="s">
        <v>5446</v>
      </c>
      <c r="E38" s="5">
        <v>6</v>
      </c>
      <c r="F38" s="2" t="s">
        <v>1852</v>
      </c>
      <c r="H38" s="2" t="s">
        <v>40</v>
      </c>
      <c r="I38" s="4">
        <v>166</v>
      </c>
      <c r="J38" s="4">
        <v>224</v>
      </c>
      <c r="L38" s="31">
        <v>6.85</v>
      </c>
      <c r="M38" s="32">
        <v>56.9</v>
      </c>
      <c r="N38" s="33">
        <v>24.2</v>
      </c>
    </row>
    <row r="39" spans="1:14" x14ac:dyDescent="0.25">
      <c r="A39" s="30">
        <v>1</v>
      </c>
      <c r="B39" s="2" t="s">
        <v>7398</v>
      </c>
      <c r="C39" s="2" t="s">
        <v>7399</v>
      </c>
      <c r="D39" s="2" t="s">
        <v>5447</v>
      </c>
      <c r="E39" s="5">
        <v>6</v>
      </c>
      <c r="F39" s="2" t="s">
        <v>1842</v>
      </c>
      <c r="G39" s="2" t="s">
        <v>7400</v>
      </c>
      <c r="H39" s="2" t="s">
        <v>41</v>
      </c>
      <c r="I39" s="4">
        <v>1653</v>
      </c>
      <c r="J39" s="4">
        <v>2700</v>
      </c>
      <c r="L39" s="31">
        <v>138.28</v>
      </c>
      <c r="M39" s="32">
        <v>31.5</v>
      </c>
      <c r="N39" s="33">
        <v>12</v>
      </c>
    </row>
    <row r="40" spans="1:14" x14ac:dyDescent="0.25">
      <c r="A40" s="30">
        <v>1</v>
      </c>
      <c r="B40" s="2" t="s">
        <v>7398</v>
      </c>
      <c r="C40" s="2" t="s">
        <v>7399</v>
      </c>
      <c r="D40" s="2" t="s">
        <v>5448</v>
      </c>
      <c r="E40" s="5">
        <v>12</v>
      </c>
      <c r="F40" s="2" t="s">
        <v>1853</v>
      </c>
      <c r="G40" s="2" t="s">
        <v>7403</v>
      </c>
      <c r="H40" s="2" t="s">
        <v>42</v>
      </c>
      <c r="I40" s="4">
        <v>72</v>
      </c>
      <c r="J40" s="4">
        <v>648</v>
      </c>
      <c r="L40" s="31">
        <v>17.420000000000002</v>
      </c>
      <c r="M40" s="32">
        <v>41.3</v>
      </c>
      <c r="N40" s="33">
        <v>4.0999999999999996</v>
      </c>
    </row>
    <row r="41" spans="1:14" x14ac:dyDescent="0.25">
      <c r="A41" s="30">
        <v>1</v>
      </c>
      <c r="B41" s="2" t="s">
        <v>7398</v>
      </c>
      <c r="C41" s="2" t="s">
        <v>7399</v>
      </c>
      <c r="D41" s="2" t="s">
        <v>5449</v>
      </c>
      <c r="E41" s="5">
        <v>12</v>
      </c>
      <c r="F41" s="2" t="s">
        <v>1854</v>
      </c>
      <c r="G41" s="2" t="s">
        <v>7403</v>
      </c>
      <c r="H41" s="2" t="s">
        <v>43</v>
      </c>
      <c r="I41" s="4">
        <v>184</v>
      </c>
      <c r="J41" s="4">
        <v>192</v>
      </c>
      <c r="L41" s="31">
        <v>11.85</v>
      </c>
      <c r="M41" s="32">
        <v>31.7</v>
      </c>
      <c r="N41" s="33">
        <v>15.5</v>
      </c>
    </row>
    <row r="42" spans="1:14" x14ac:dyDescent="0.25">
      <c r="A42" s="30">
        <v>1</v>
      </c>
      <c r="B42" s="2" t="s">
        <v>7398</v>
      </c>
      <c r="C42" s="2" t="s">
        <v>7399</v>
      </c>
      <c r="D42" s="2" t="s">
        <v>5450</v>
      </c>
      <c r="E42" s="5">
        <v>12</v>
      </c>
      <c r="F42" s="2" t="s">
        <v>1853</v>
      </c>
      <c r="G42" s="2" t="s">
        <v>7403</v>
      </c>
      <c r="H42" s="2" t="s">
        <v>44</v>
      </c>
      <c r="I42" s="4">
        <v>675</v>
      </c>
      <c r="J42" s="4">
        <v>432</v>
      </c>
      <c r="L42" s="31">
        <v>48.71</v>
      </c>
      <c r="M42" s="32">
        <v>22.7</v>
      </c>
      <c r="N42" s="33">
        <v>13.9</v>
      </c>
    </row>
    <row r="43" spans="1:14" x14ac:dyDescent="0.25">
      <c r="A43" s="30">
        <v>1</v>
      </c>
      <c r="B43" s="2" t="s">
        <v>7398</v>
      </c>
      <c r="C43" s="2" t="s">
        <v>7399</v>
      </c>
      <c r="D43" s="2" t="s">
        <v>5451</v>
      </c>
      <c r="E43" s="5">
        <v>12</v>
      </c>
      <c r="F43" s="2" t="s">
        <v>1855</v>
      </c>
      <c r="G43" s="2" t="s">
        <v>7403</v>
      </c>
      <c r="H43" s="2" t="s">
        <v>45</v>
      </c>
      <c r="I43" s="4">
        <v>205</v>
      </c>
      <c r="J43" s="4">
        <v>240</v>
      </c>
      <c r="L43" s="31">
        <v>11.71</v>
      </c>
      <c r="M43" s="32">
        <v>38</v>
      </c>
      <c r="N43" s="33">
        <v>17.5</v>
      </c>
    </row>
    <row r="44" spans="1:14" x14ac:dyDescent="0.25">
      <c r="A44" s="30">
        <v>1</v>
      </c>
      <c r="B44" s="2" t="s">
        <v>7398</v>
      </c>
      <c r="C44" s="2" t="s">
        <v>7399</v>
      </c>
      <c r="D44" s="2" t="s">
        <v>5452</v>
      </c>
      <c r="E44" s="5">
        <v>12</v>
      </c>
      <c r="F44" s="2" t="s">
        <v>1856</v>
      </c>
      <c r="G44" s="2" t="s">
        <v>7403</v>
      </c>
      <c r="H44" s="2" t="s">
        <v>46</v>
      </c>
      <c r="I44" s="4">
        <v>191</v>
      </c>
      <c r="J44" s="4">
        <v>560</v>
      </c>
      <c r="L44" s="31">
        <v>24.14</v>
      </c>
      <c r="M44" s="32">
        <v>31.1</v>
      </c>
      <c r="N44" s="33">
        <v>7.9</v>
      </c>
    </row>
    <row r="45" spans="1:14" x14ac:dyDescent="0.25">
      <c r="A45" s="30">
        <v>1</v>
      </c>
      <c r="B45" s="2" t="s">
        <v>7398</v>
      </c>
      <c r="C45" s="2" t="s">
        <v>7399</v>
      </c>
      <c r="D45" s="2" t="s">
        <v>5453</v>
      </c>
      <c r="E45" s="5">
        <v>24</v>
      </c>
      <c r="F45" s="2" t="s">
        <v>1857</v>
      </c>
      <c r="G45" s="2" t="s">
        <v>7403</v>
      </c>
      <c r="H45" s="2" t="s">
        <v>47</v>
      </c>
      <c r="I45" s="4">
        <v>1909</v>
      </c>
      <c r="J45" s="4">
        <v>2940</v>
      </c>
      <c r="L45" s="31">
        <v>241.42</v>
      </c>
      <c r="M45" s="32">
        <v>20.100000000000001</v>
      </c>
      <c r="N45" s="33">
        <v>7.9</v>
      </c>
    </row>
    <row r="46" spans="1:14" x14ac:dyDescent="0.25">
      <c r="A46" s="30">
        <v>1</v>
      </c>
      <c r="B46" s="2" t="s">
        <v>7398</v>
      </c>
      <c r="C46" s="2" t="s">
        <v>7399</v>
      </c>
      <c r="D46" s="2" t="s">
        <v>5454</v>
      </c>
      <c r="E46" s="5">
        <v>12</v>
      </c>
      <c r="F46" s="2" t="s">
        <v>1854</v>
      </c>
      <c r="G46" s="2" t="s">
        <v>7403</v>
      </c>
      <c r="H46" s="2" t="s">
        <v>48</v>
      </c>
      <c r="I46" s="4">
        <v>727</v>
      </c>
      <c r="J46" s="4">
        <v>768</v>
      </c>
      <c r="L46" s="31">
        <v>61.14</v>
      </c>
      <c r="M46" s="32">
        <v>24.5</v>
      </c>
      <c r="N46" s="33">
        <v>11.9</v>
      </c>
    </row>
    <row r="47" spans="1:14" x14ac:dyDescent="0.25">
      <c r="A47" s="30">
        <v>1</v>
      </c>
      <c r="B47" s="2" t="s">
        <v>7398</v>
      </c>
      <c r="C47" s="2" t="s">
        <v>7399</v>
      </c>
      <c r="D47" s="2" t="s">
        <v>5455</v>
      </c>
      <c r="E47" s="5">
        <v>12</v>
      </c>
      <c r="F47" s="2" t="s">
        <v>1853</v>
      </c>
      <c r="G47" s="2" t="s">
        <v>7403</v>
      </c>
      <c r="H47" s="2" t="s">
        <v>49</v>
      </c>
      <c r="I47" s="4">
        <v>2272</v>
      </c>
      <c r="J47" s="4">
        <v>3888</v>
      </c>
      <c r="L47" s="31">
        <v>274</v>
      </c>
      <c r="M47" s="32">
        <v>22.5</v>
      </c>
      <c r="N47" s="33">
        <v>8.3000000000000007</v>
      </c>
    </row>
    <row r="48" spans="1:14" x14ac:dyDescent="0.25">
      <c r="A48" s="30">
        <v>1</v>
      </c>
      <c r="B48" s="2" t="s">
        <v>7398</v>
      </c>
      <c r="C48" s="2" t="s">
        <v>7399</v>
      </c>
      <c r="D48" s="2" t="s">
        <v>5456</v>
      </c>
      <c r="E48" s="5">
        <v>12</v>
      </c>
      <c r="F48" s="2" t="s">
        <v>1855</v>
      </c>
      <c r="G48" s="2" t="s">
        <v>7403</v>
      </c>
      <c r="H48" s="2" t="s">
        <v>50</v>
      </c>
      <c r="I48" s="4">
        <v>446</v>
      </c>
      <c r="J48" s="4">
        <v>600</v>
      </c>
      <c r="L48" s="31">
        <v>39.28</v>
      </c>
      <c r="M48" s="32">
        <v>26.6</v>
      </c>
      <c r="N48" s="33">
        <v>11.4</v>
      </c>
    </row>
    <row r="49" spans="1:14" x14ac:dyDescent="0.25">
      <c r="A49" s="30">
        <v>1</v>
      </c>
      <c r="B49" s="2" t="s">
        <v>7398</v>
      </c>
      <c r="C49" s="2" t="s">
        <v>7399</v>
      </c>
      <c r="D49" s="2" t="s">
        <v>5457</v>
      </c>
      <c r="E49" s="5">
        <v>12</v>
      </c>
      <c r="F49" s="2" t="s">
        <v>1858</v>
      </c>
      <c r="G49" s="2" t="s">
        <v>7403</v>
      </c>
      <c r="H49" s="2" t="s">
        <v>51</v>
      </c>
      <c r="I49" s="4">
        <v>113</v>
      </c>
      <c r="J49" s="4">
        <v>192</v>
      </c>
      <c r="L49" s="31">
        <v>13.85</v>
      </c>
      <c r="M49" s="32">
        <v>22</v>
      </c>
      <c r="N49" s="33">
        <v>8.1999999999999993</v>
      </c>
    </row>
    <row r="50" spans="1:14" x14ac:dyDescent="0.25">
      <c r="A50" s="30">
        <v>1</v>
      </c>
      <c r="B50" s="2" t="s">
        <v>7398</v>
      </c>
      <c r="C50" s="2" t="s">
        <v>7399</v>
      </c>
      <c r="D50" s="2" t="s">
        <v>5458</v>
      </c>
      <c r="E50" s="5">
        <v>12</v>
      </c>
      <c r="F50" s="2" t="s">
        <v>1859</v>
      </c>
      <c r="G50" s="2" t="s">
        <v>7403</v>
      </c>
      <c r="H50" s="2" t="s">
        <v>52</v>
      </c>
      <c r="I50" s="4">
        <v>261</v>
      </c>
      <c r="J50" s="4">
        <v>324</v>
      </c>
      <c r="L50" s="31">
        <v>28.57</v>
      </c>
      <c r="M50" s="32">
        <v>20.5</v>
      </c>
      <c r="N50" s="33">
        <v>9.1</v>
      </c>
    </row>
    <row r="51" spans="1:14" x14ac:dyDescent="0.25">
      <c r="A51" s="30">
        <v>1</v>
      </c>
      <c r="B51" s="2" t="s">
        <v>7398</v>
      </c>
      <c r="C51" s="2" t="s">
        <v>7399</v>
      </c>
      <c r="D51" s="2" t="s">
        <v>5459</v>
      </c>
      <c r="E51" s="5">
        <v>12</v>
      </c>
      <c r="F51" s="2" t="s">
        <v>1855</v>
      </c>
      <c r="G51" s="2" t="s">
        <v>7403</v>
      </c>
      <c r="H51" s="2" t="s">
        <v>53</v>
      </c>
      <c r="I51" s="4">
        <v>186</v>
      </c>
      <c r="J51" s="4">
        <v>120</v>
      </c>
      <c r="L51" s="31">
        <v>5.71</v>
      </c>
      <c r="M51" s="32">
        <v>53.6</v>
      </c>
      <c r="N51" s="33">
        <v>32.6</v>
      </c>
    </row>
    <row r="52" spans="1:14" x14ac:dyDescent="0.25">
      <c r="A52" s="30">
        <v>1</v>
      </c>
      <c r="B52" s="2" t="s">
        <v>7398</v>
      </c>
      <c r="C52" s="2" t="s">
        <v>7399</v>
      </c>
      <c r="D52" s="2" t="s">
        <v>5460</v>
      </c>
      <c r="E52" s="5">
        <v>12</v>
      </c>
      <c r="F52" s="2" t="s">
        <v>1860</v>
      </c>
      <c r="G52" s="2" t="s">
        <v>7403</v>
      </c>
      <c r="H52" s="2" t="s">
        <v>54</v>
      </c>
      <c r="I52" s="4">
        <v>865</v>
      </c>
      <c r="J52" s="4">
        <v>648</v>
      </c>
      <c r="L52" s="31">
        <v>59.42</v>
      </c>
      <c r="M52" s="32">
        <v>25.5</v>
      </c>
      <c r="N52" s="33">
        <v>14.6</v>
      </c>
    </row>
    <row r="53" spans="1:14" x14ac:dyDescent="0.25">
      <c r="A53" s="30">
        <v>1</v>
      </c>
      <c r="B53" s="2" t="s">
        <v>7398</v>
      </c>
      <c r="C53" s="2" t="s">
        <v>7399</v>
      </c>
      <c r="D53" s="2" t="s">
        <v>5461</v>
      </c>
      <c r="E53" s="5">
        <v>12</v>
      </c>
      <c r="F53" s="2" t="s">
        <v>1857</v>
      </c>
      <c r="G53" s="2" t="s">
        <v>7400</v>
      </c>
      <c r="H53" s="2" t="s">
        <v>55</v>
      </c>
      <c r="I53" s="4">
        <v>231</v>
      </c>
      <c r="J53" s="4">
        <v>140</v>
      </c>
      <c r="L53" s="31">
        <v>18.28</v>
      </c>
      <c r="M53" s="32">
        <v>20.3</v>
      </c>
      <c r="N53" s="33">
        <v>12.6</v>
      </c>
    </row>
    <row r="54" spans="1:14" x14ac:dyDescent="0.25">
      <c r="A54" s="30">
        <v>1</v>
      </c>
      <c r="B54" s="2" t="s">
        <v>7398</v>
      </c>
      <c r="C54" s="2" t="s">
        <v>7399</v>
      </c>
      <c r="D54" s="2" t="s">
        <v>5462</v>
      </c>
      <c r="E54" s="5">
        <v>12</v>
      </c>
      <c r="F54" s="2" t="s">
        <v>1861</v>
      </c>
      <c r="G54" s="2" t="s">
        <v>7400</v>
      </c>
      <c r="H54" s="2" t="s">
        <v>56</v>
      </c>
      <c r="I54" s="4">
        <v>51</v>
      </c>
      <c r="J54" s="4">
        <v>80</v>
      </c>
      <c r="L54" s="31">
        <v>4.57</v>
      </c>
      <c r="M54" s="32">
        <v>28.7</v>
      </c>
      <c r="N54" s="33">
        <v>11.2</v>
      </c>
    </row>
    <row r="55" spans="1:14" x14ac:dyDescent="0.25">
      <c r="A55" s="30">
        <v>1</v>
      </c>
      <c r="B55" s="2" t="s">
        <v>7398</v>
      </c>
      <c r="C55" s="2" t="s">
        <v>7399</v>
      </c>
      <c r="D55" s="2" t="s">
        <v>5463</v>
      </c>
      <c r="E55" s="5">
        <v>12</v>
      </c>
      <c r="F55" s="2" t="s">
        <v>1858</v>
      </c>
      <c r="G55" s="2" t="s">
        <v>7403</v>
      </c>
      <c r="H55" s="2" t="s">
        <v>57</v>
      </c>
      <c r="I55" s="4">
        <v>61</v>
      </c>
      <c r="J55" s="4">
        <v>64</v>
      </c>
      <c r="L55" s="31">
        <v>5.85</v>
      </c>
      <c r="M55" s="32">
        <v>21.4</v>
      </c>
      <c r="N55" s="33">
        <v>10.4</v>
      </c>
    </row>
    <row r="56" spans="1:14" x14ac:dyDescent="0.25">
      <c r="A56" s="30">
        <v>1</v>
      </c>
      <c r="B56" s="2" t="s">
        <v>7398</v>
      </c>
      <c r="C56" s="2" t="s">
        <v>7399</v>
      </c>
      <c r="D56" s="2" t="s">
        <v>5464</v>
      </c>
      <c r="E56" s="5">
        <v>12</v>
      </c>
      <c r="F56" s="2" t="s">
        <v>1853</v>
      </c>
      <c r="G56" s="2" t="s">
        <v>7403</v>
      </c>
      <c r="H56" s="2" t="s">
        <v>58</v>
      </c>
      <c r="I56" s="4">
        <v>187</v>
      </c>
      <c r="J56" s="4">
        <v>216</v>
      </c>
      <c r="L56" s="31">
        <v>11.71</v>
      </c>
      <c r="M56" s="32">
        <v>34.4</v>
      </c>
      <c r="N56" s="33">
        <v>16</v>
      </c>
    </row>
    <row r="57" spans="1:14" x14ac:dyDescent="0.25">
      <c r="A57" s="30">
        <v>1</v>
      </c>
      <c r="B57" s="2" t="s">
        <v>7398</v>
      </c>
      <c r="C57" s="2" t="s">
        <v>7399</v>
      </c>
      <c r="D57" s="2" t="s">
        <v>5465</v>
      </c>
      <c r="E57" s="5">
        <v>12</v>
      </c>
      <c r="F57" s="2" t="s">
        <v>1862</v>
      </c>
      <c r="G57" s="2" t="s">
        <v>7400</v>
      </c>
      <c r="H57" s="2" t="s">
        <v>59</v>
      </c>
      <c r="I57" s="4">
        <v>13</v>
      </c>
      <c r="J57" s="4">
        <v>80</v>
      </c>
      <c r="L57" s="31">
        <v>3.14</v>
      </c>
      <c r="M57" s="32">
        <v>29.6</v>
      </c>
      <c r="N57" s="33">
        <v>4.0999999999999996</v>
      </c>
    </row>
    <row r="58" spans="1:14" x14ac:dyDescent="0.25">
      <c r="A58" s="30">
        <v>1</v>
      </c>
      <c r="B58" s="2" t="s">
        <v>7398</v>
      </c>
      <c r="C58" s="2" t="s">
        <v>7399</v>
      </c>
      <c r="D58" s="2" t="s">
        <v>5466</v>
      </c>
      <c r="E58" s="5">
        <v>12</v>
      </c>
      <c r="F58" s="2" t="s">
        <v>1862</v>
      </c>
      <c r="G58" s="2" t="s">
        <v>7400</v>
      </c>
      <c r="H58" s="2" t="s">
        <v>60</v>
      </c>
      <c r="I58" s="4">
        <v>37</v>
      </c>
      <c r="J58" s="4">
        <v>0</v>
      </c>
      <c r="L58" s="31">
        <v>2.2799999999999998</v>
      </c>
      <c r="M58" s="32">
        <v>16.2</v>
      </c>
      <c r="N58" s="33">
        <v>16.2</v>
      </c>
    </row>
    <row r="59" spans="1:14" x14ac:dyDescent="0.25">
      <c r="A59" s="30">
        <v>1</v>
      </c>
      <c r="B59" s="2" t="s">
        <v>7398</v>
      </c>
      <c r="C59" s="2" t="s">
        <v>7399</v>
      </c>
      <c r="D59" s="2" t="s">
        <v>5467</v>
      </c>
      <c r="E59" s="5">
        <v>12</v>
      </c>
      <c r="F59" s="2" t="s">
        <v>1863</v>
      </c>
      <c r="G59" s="2" t="s">
        <v>7403</v>
      </c>
      <c r="H59" s="2" t="s">
        <v>61</v>
      </c>
      <c r="I59" s="4">
        <v>59</v>
      </c>
      <c r="J59" s="4">
        <v>320</v>
      </c>
      <c r="L59" s="31">
        <v>12.14</v>
      </c>
      <c r="M59" s="32">
        <v>31.2</v>
      </c>
      <c r="N59" s="33">
        <v>4.9000000000000004</v>
      </c>
    </row>
    <row r="60" spans="1:14" x14ac:dyDescent="0.25">
      <c r="A60" s="30">
        <v>1</v>
      </c>
      <c r="B60" s="2" t="s">
        <v>7398</v>
      </c>
      <c r="C60" s="2" t="s">
        <v>7399</v>
      </c>
      <c r="D60" s="2" t="s">
        <v>5468</v>
      </c>
      <c r="E60" s="5">
        <v>12</v>
      </c>
      <c r="F60" s="2" t="s">
        <v>1862</v>
      </c>
      <c r="G60" s="2" t="s">
        <v>7403</v>
      </c>
      <c r="H60" s="2" t="s">
        <v>62</v>
      </c>
      <c r="I60" s="4">
        <v>1025</v>
      </c>
      <c r="J60" s="4">
        <v>1600</v>
      </c>
      <c r="L60" s="31">
        <v>116.42</v>
      </c>
      <c r="M60" s="32">
        <v>22.5</v>
      </c>
      <c r="N60" s="33">
        <v>8.8000000000000007</v>
      </c>
    </row>
    <row r="61" spans="1:14" x14ac:dyDescent="0.25">
      <c r="A61" s="30">
        <v>1</v>
      </c>
      <c r="B61" s="2" t="s">
        <v>7398</v>
      </c>
      <c r="C61" s="2" t="s">
        <v>7399</v>
      </c>
      <c r="D61" s="2" t="s">
        <v>5469</v>
      </c>
      <c r="E61" s="5">
        <v>12</v>
      </c>
      <c r="F61" s="2" t="s">
        <v>1856</v>
      </c>
      <c r="G61" s="2" t="s">
        <v>7403</v>
      </c>
      <c r="H61" s="2" t="s">
        <v>63</v>
      </c>
      <c r="I61" s="4">
        <v>835</v>
      </c>
      <c r="J61" s="4">
        <v>1240</v>
      </c>
      <c r="L61" s="31">
        <v>80.849999999999994</v>
      </c>
      <c r="M61" s="32">
        <v>25.7</v>
      </c>
      <c r="N61" s="33">
        <v>10.3</v>
      </c>
    </row>
    <row r="62" spans="1:14" x14ac:dyDescent="0.25">
      <c r="A62" s="30">
        <v>1</v>
      </c>
      <c r="B62" s="2" t="s">
        <v>7398</v>
      </c>
      <c r="C62" s="2" t="s">
        <v>7399</v>
      </c>
      <c r="D62" s="2" t="s">
        <v>5470</v>
      </c>
      <c r="E62" s="5">
        <v>12</v>
      </c>
      <c r="F62" s="2" t="s">
        <v>1864</v>
      </c>
      <c r="G62" s="2" t="s">
        <v>7403</v>
      </c>
      <c r="H62" s="2" t="s">
        <v>64</v>
      </c>
      <c r="I62" s="4">
        <v>1187</v>
      </c>
      <c r="J62" s="4">
        <v>560</v>
      </c>
      <c r="L62" s="31">
        <v>52.28</v>
      </c>
      <c r="M62" s="32">
        <v>33.4</v>
      </c>
      <c r="N62" s="33">
        <v>22.7</v>
      </c>
    </row>
    <row r="63" spans="1:14" x14ac:dyDescent="0.25">
      <c r="A63" s="30">
        <v>1</v>
      </c>
      <c r="B63" s="2" t="s">
        <v>7398</v>
      </c>
      <c r="C63" s="2" t="s">
        <v>7399</v>
      </c>
      <c r="D63" s="2" t="s">
        <v>5471</v>
      </c>
      <c r="E63" s="5">
        <v>12</v>
      </c>
      <c r="F63" s="2" t="s">
        <v>1865</v>
      </c>
      <c r="G63" s="2" t="s">
        <v>7403</v>
      </c>
      <c r="H63" s="2" t="s">
        <v>65</v>
      </c>
      <c r="I63" s="4">
        <v>226</v>
      </c>
      <c r="J63" s="4">
        <v>1344</v>
      </c>
      <c r="L63" s="31">
        <v>40.71</v>
      </c>
      <c r="M63" s="32">
        <v>38.6</v>
      </c>
      <c r="N63" s="33">
        <v>5.6</v>
      </c>
    </row>
    <row r="64" spans="1:14" x14ac:dyDescent="0.25">
      <c r="A64" s="30">
        <v>1</v>
      </c>
      <c r="B64" s="2" t="s">
        <v>7398</v>
      </c>
      <c r="C64" s="2" t="s">
        <v>7399</v>
      </c>
      <c r="D64" s="2" t="s">
        <v>5472</v>
      </c>
      <c r="E64" s="5">
        <v>24</v>
      </c>
      <c r="F64" s="2" t="s">
        <v>1866</v>
      </c>
      <c r="G64" s="2" t="s">
        <v>7403</v>
      </c>
      <c r="H64" s="2" t="s">
        <v>66</v>
      </c>
      <c r="I64" s="4">
        <v>1929</v>
      </c>
      <c r="J64" s="4">
        <v>1470</v>
      </c>
      <c r="L64" s="31">
        <v>159.13999999999999</v>
      </c>
      <c r="M64" s="32">
        <v>21.4</v>
      </c>
      <c r="N64" s="33">
        <v>12.1</v>
      </c>
    </row>
    <row r="65" spans="1:14" x14ac:dyDescent="0.25">
      <c r="A65" s="30">
        <v>1</v>
      </c>
      <c r="B65" s="2" t="s">
        <v>7398</v>
      </c>
      <c r="C65" s="2" t="s">
        <v>7399</v>
      </c>
      <c r="D65" s="2" t="s">
        <v>5473</v>
      </c>
      <c r="E65" s="5">
        <v>12</v>
      </c>
      <c r="F65" s="2" t="s">
        <v>1853</v>
      </c>
      <c r="G65" s="2" t="s">
        <v>7403</v>
      </c>
      <c r="H65" s="2" t="s">
        <v>67</v>
      </c>
      <c r="I65" s="4">
        <v>404</v>
      </c>
      <c r="J65" s="4">
        <v>2916</v>
      </c>
      <c r="L65" s="31">
        <v>127.28</v>
      </c>
      <c r="M65" s="32">
        <v>26.1</v>
      </c>
      <c r="N65" s="33">
        <v>3.2</v>
      </c>
    </row>
    <row r="66" spans="1:14" x14ac:dyDescent="0.25">
      <c r="A66" s="30">
        <v>1</v>
      </c>
      <c r="B66" s="2" t="s">
        <v>7398</v>
      </c>
      <c r="C66" s="2" t="s">
        <v>7399</v>
      </c>
      <c r="D66" s="2" t="s">
        <v>5474</v>
      </c>
      <c r="E66" s="5">
        <v>12</v>
      </c>
      <c r="F66" s="2" t="s">
        <v>1867</v>
      </c>
      <c r="G66" s="2" t="s">
        <v>7403</v>
      </c>
      <c r="H66" s="2" t="s">
        <v>68</v>
      </c>
      <c r="I66" s="4">
        <v>637</v>
      </c>
      <c r="J66" s="4">
        <v>540</v>
      </c>
      <c r="L66" s="31">
        <v>52.57</v>
      </c>
      <c r="M66" s="32">
        <v>22.4</v>
      </c>
      <c r="N66" s="33">
        <v>12.1</v>
      </c>
    </row>
    <row r="67" spans="1:14" x14ac:dyDescent="0.25">
      <c r="A67" s="30">
        <v>1</v>
      </c>
      <c r="B67" s="2" t="s">
        <v>7398</v>
      </c>
      <c r="C67" s="2" t="s">
        <v>7399</v>
      </c>
      <c r="D67" s="2" t="s">
        <v>5475</v>
      </c>
      <c r="E67" s="5">
        <v>12</v>
      </c>
      <c r="F67" s="2" t="s">
        <v>1864</v>
      </c>
      <c r="G67" s="2" t="s">
        <v>7403</v>
      </c>
      <c r="H67" s="2" t="s">
        <v>69</v>
      </c>
      <c r="I67" s="4">
        <v>288</v>
      </c>
      <c r="J67" s="4">
        <v>560</v>
      </c>
      <c r="L67" s="31">
        <v>23</v>
      </c>
      <c r="M67" s="32">
        <v>36.9</v>
      </c>
      <c r="N67" s="33">
        <v>12.5</v>
      </c>
    </row>
    <row r="68" spans="1:14" x14ac:dyDescent="0.25">
      <c r="A68" s="30">
        <v>1</v>
      </c>
      <c r="B68" s="2" t="s">
        <v>7398</v>
      </c>
      <c r="C68" s="2" t="s">
        <v>7399</v>
      </c>
      <c r="D68" s="2" t="s">
        <v>5476</v>
      </c>
      <c r="E68" s="5">
        <v>12</v>
      </c>
      <c r="F68" s="2" t="s">
        <v>1865</v>
      </c>
      <c r="G68" s="2" t="s">
        <v>7403</v>
      </c>
      <c r="H68" s="2" t="s">
        <v>70</v>
      </c>
      <c r="I68" s="4">
        <v>249</v>
      </c>
      <c r="J68" s="4">
        <v>960</v>
      </c>
      <c r="L68" s="31">
        <v>47.85</v>
      </c>
      <c r="M68" s="32">
        <v>25.3</v>
      </c>
      <c r="N68" s="33">
        <v>5.2</v>
      </c>
    </row>
    <row r="69" spans="1:14" x14ac:dyDescent="0.25">
      <c r="A69" s="30">
        <v>1</v>
      </c>
      <c r="B69" s="2" t="s">
        <v>7398</v>
      </c>
      <c r="C69" s="2" t="s">
        <v>7399</v>
      </c>
      <c r="D69" s="2" t="s">
        <v>5477</v>
      </c>
      <c r="E69" s="5">
        <v>12</v>
      </c>
      <c r="F69" s="2" t="s">
        <v>1868</v>
      </c>
      <c r="G69" s="2" t="s">
        <v>7403</v>
      </c>
      <c r="H69" s="2" t="s">
        <v>71</v>
      </c>
      <c r="I69" s="4">
        <v>692</v>
      </c>
      <c r="J69" s="4">
        <v>1512</v>
      </c>
      <c r="L69" s="31">
        <v>82.85</v>
      </c>
      <c r="M69" s="32">
        <v>26.6</v>
      </c>
      <c r="N69" s="33">
        <v>8.4</v>
      </c>
    </row>
    <row r="70" spans="1:14" x14ac:dyDescent="0.25">
      <c r="A70" s="30">
        <v>1</v>
      </c>
      <c r="B70" s="2" t="s">
        <v>7398</v>
      </c>
      <c r="C70" s="2" t="s">
        <v>7399</v>
      </c>
      <c r="D70" s="2" t="s">
        <v>5478</v>
      </c>
      <c r="E70" s="5">
        <v>12</v>
      </c>
      <c r="F70" s="2" t="s">
        <v>1855</v>
      </c>
      <c r="G70" s="2" t="s">
        <v>7403</v>
      </c>
      <c r="H70" s="2" t="s">
        <v>72</v>
      </c>
      <c r="I70" s="4">
        <v>337</v>
      </c>
      <c r="J70" s="4">
        <v>420</v>
      </c>
      <c r="L70" s="31">
        <v>32.71</v>
      </c>
      <c r="M70" s="32">
        <v>23.1</v>
      </c>
      <c r="N70" s="33">
        <v>10.3</v>
      </c>
    </row>
    <row r="71" spans="1:14" x14ac:dyDescent="0.25">
      <c r="A71" s="30">
        <v>1</v>
      </c>
      <c r="B71" s="2" t="s">
        <v>7398</v>
      </c>
      <c r="C71" s="2" t="s">
        <v>7399</v>
      </c>
      <c r="D71" s="2" t="s">
        <v>5479</v>
      </c>
      <c r="E71" s="5">
        <v>24</v>
      </c>
      <c r="F71" s="2" t="s">
        <v>1860</v>
      </c>
      <c r="G71" s="2" t="s">
        <v>7403</v>
      </c>
      <c r="H71" s="2" t="s">
        <v>73</v>
      </c>
      <c r="I71" s="4">
        <v>250</v>
      </c>
      <c r="J71" s="4">
        <v>560</v>
      </c>
      <c r="L71" s="31">
        <v>40.71</v>
      </c>
      <c r="M71" s="32">
        <v>19.899999999999999</v>
      </c>
      <c r="N71" s="33">
        <v>6.1</v>
      </c>
    </row>
    <row r="72" spans="1:14" x14ac:dyDescent="0.25">
      <c r="A72" s="30">
        <v>1</v>
      </c>
      <c r="B72" s="2" t="s">
        <v>7398</v>
      </c>
      <c r="C72" s="2" t="s">
        <v>7399</v>
      </c>
      <c r="D72" s="2" t="s">
        <v>5480</v>
      </c>
      <c r="E72" s="5">
        <v>24</v>
      </c>
      <c r="F72" s="2" t="s">
        <v>1860</v>
      </c>
      <c r="G72" s="2" t="s">
        <v>7403</v>
      </c>
      <c r="H72" s="2" t="s">
        <v>74</v>
      </c>
      <c r="I72" s="4">
        <v>452</v>
      </c>
      <c r="J72" s="4">
        <v>350</v>
      </c>
      <c r="L72" s="31">
        <v>29.14</v>
      </c>
      <c r="M72" s="32">
        <v>27.5</v>
      </c>
      <c r="N72" s="33">
        <v>15.5</v>
      </c>
    </row>
    <row r="73" spans="1:14" x14ac:dyDescent="0.25">
      <c r="A73" s="30">
        <v>1</v>
      </c>
      <c r="B73" s="2" t="s">
        <v>7398</v>
      </c>
      <c r="C73" s="2" t="s">
        <v>7399</v>
      </c>
      <c r="D73" s="2" t="s">
        <v>5481</v>
      </c>
      <c r="E73" s="5">
        <v>24</v>
      </c>
      <c r="F73" s="2" t="s">
        <v>1869</v>
      </c>
      <c r="G73" s="2" t="s">
        <v>7403</v>
      </c>
      <c r="H73" s="2" t="s">
        <v>75</v>
      </c>
      <c r="I73" s="4">
        <v>545</v>
      </c>
      <c r="J73" s="4">
        <v>1610</v>
      </c>
      <c r="L73" s="31">
        <v>103.28</v>
      </c>
      <c r="M73" s="32">
        <v>20.9</v>
      </c>
      <c r="N73" s="33">
        <v>5.3</v>
      </c>
    </row>
    <row r="74" spans="1:14" x14ac:dyDescent="0.25">
      <c r="A74" s="30">
        <v>1</v>
      </c>
      <c r="B74" s="2" t="s">
        <v>7398</v>
      </c>
      <c r="C74" s="2" t="s">
        <v>7399</v>
      </c>
      <c r="D74" s="2" t="s">
        <v>5482</v>
      </c>
      <c r="E74" s="5">
        <v>24</v>
      </c>
      <c r="F74" s="2" t="s">
        <v>1861</v>
      </c>
      <c r="G74" s="2" t="s">
        <v>7403</v>
      </c>
      <c r="H74" s="2" t="s">
        <v>76</v>
      </c>
      <c r="I74" s="4">
        <v>119</v>
      </c>
      <c r="J74" s="4">
        <v>1240</v>
      </c>
      <c r="L74" s="31">
        <v>65.28</v>
      </c>
      <c r="M74" s="32">
        <v>20.8</v>
      </c>
      <c r="N74" s="33">
        <v>1.8</v>
      </c>
    </row>
    <row r="75" spans="1:14" x14ac:dyDescent="0.25">
      <c r="A75" s="30">
        <v>1</v>
      </c>
      <c r="B75" s="2" t="s">
        <v>7398</v>
      </c>
      <c r="C75" s="2" t="s">
        <v>7399</v>
      </c>
      <c r="D75" s="2" t="s">
        <v>5483</v>
      </c>
      <c r="E75" s="5">
        <v>24</v>
      </c>
      <c r="F75" s="2" t="s">
        <v>1861</v>
      </c>
      <c r="G75" s="2" t="s">
        <v>7403</v>
      </c>
      <c r="H75" s="2" t="s">
        <v>77</v>
      </c>
      <c r="I75" s="4">
        <v>4211</v>
      </c>
      <c r="J75" s="4">
        <v>2030</v>
      </c>
      <c r="L75" s="31">
        <v>273.85000000000002</v>
      </c>
      <c r="M75" s="32">
        <v>22.8</v>
      </c>
      <c r="N75" s="33">
        <v>15.4</v>
      </c>
    </row>
    <row r="76" spans="1:14" x14ac:dyDescent="0.25">
      <c r="A76" s="30">
        <v>1</v>
      </c>
      <c r="B76" s="2" t="s">
        <v>7398</v>
      </c>
      <c r="C76" s="2" t="s">
        <v>7399</v>
      </c>
      <c r="D76" s="2" t="s">
        <v>5484</v>
      </c>
      <c r="E76" s="5">
        <v>24</v>
      </c>
      <c r="F76" s="2" t="s">
        <v>1870</v>
      </c>
      <c r="G76" s="2" t="s">
        <v>7403</v>
      </c>
      <c r="H76" s="2" t="s">
        <v>78</v>
      </c>
      <c r="I76" s="4">
        <v>256</v>
      </c>
      <c r="J76" s="4">
        <v>70</v>
      </c>
      <c r="L76" s="31">
        <v>14.14</v>
      </c>
      <c r="M76" s="32">
        <v>23.1</v>
      </c>
      <c r="N76" s="33">
        <v>18.100000000000001</v>
      </c>
    </row>
    <row r="77" spans="1:14" x14ac:dyDescent="0.25">
      <c r="A77" s="30">
        <v>1</v>
      </c>
      <c r="B77" s="2" t="s">
        <v>7398</v>
      </c>
      <c r="C77" s="2" t="s">
        <v>7399</v>
      </c>
      <c r="D77" s="2" t="s">
        <v>5485</v>
      </c>
      <c r="E77" s="5">
        <v>24</v>
      </c>
      <c r="F77" s="2" t="s">
        <v>1870</v>
      </c>
      <c r="G77" s="2" t="s">
        <v>7403</v>
      </c>
      <c r="H77" s="2" t="s">
        <v>79</v>
      </c>
      <c r="I77" s="4">
        <v>517</v>
      </c>
      <c r="J77" s="4">
        <v>140</v>
      </c>
      <c r="L77" s="31">
        <v>31.14</v>
      </c>
      <c r="M77" s="32">
        <v>21.1</v>
      </c>
      <c r="N77" s="33">
        <v>16.600000000000001</v>
      </c>
    </row>
    <row r="78" spans="1:14" x14ac:dyDescent="0.25">
      <c r="A78" s="30">
        <v>1</v>
      </c>
      <c r="B78" s="2" t="s">
        <v>7398</v>
      </c>
      <c r="C78" s="2" t="s">
        <v>7399</v>
      </c>
      <c r="D78" s="2" t="s">
        <v>5486</v>
      </c>
      <c r="E78" s="5">
        <v>24</v>
      </c>
      <c r="F78" s="2" t="s">
        <v>1866</v>
      </c>
      <c r="G78" s="2" t="s">
        <v>7403</v>
      </c>
      <c r="H78" s="2" t="s">
        <v>80</v>
      </c>
      <c r="I78" s="4">
        <v>3345</v>
      </c>
      <c r="J78" s="4">
        <v>980</v>
      </c>
      <c r="L78" s="31">
        <v>198.85</v>
      </c>
      <c r="M78" s="32">
        <v>21.8</v>
      </c>
      <c r="N78" s="33">
        <v>16.8</v>
      </c>
    </row>
    <row r="79" spans="1:14" x14ac:dyDescent="0.25">
      <c r="A79" s="30">
        <v>1</v>
      </c>
      <c r="B79" s="2" t="s">
        <v>7398</v>
      </c>
      <c r="C79" s="2" t="s">
        <v>7399</v>
      </c>
      <c r="D79" s="2" t="s">
        <v>5487</v>
      </c>
      <c r="E79" s="5">
        <v>12</v>
      </c>
      <c r="F79" s="2" t="s">
        <v>1855</v>
      </c>
      <c r="G79" s="2" t="s">
        <v>7403</v>
      </c>
      <c r="H79" s="2" t="s">
        <v>81</v>
      </c>
      <c r="I79" s="4">
        <v>698</v>
      </c>
      <c r="J79" s="4">
        <v>720</v>
      </c>
      <c r="L79" s="31">
        <v>53.42</v>
      </c>
      <c r="M79" s="32">
        <v>26.5</v>
      </c>
      <c r="N79" s="33">
        <v>13.1</v>
      </c>
    </row>
    <row r="80" spans="1:14" x14ac:dyDescent="0.25">
      <c r="A80" s="30">
        <v>1</v>
      </c>
      <c r="B80" s="2" t="s">
        <v>7398</v>
      </c>
      <c r="C80" s="2" t="s">
        <v>7399</v>
      </c>
      <c r="D80" s="2" t="s">
        <v>5488</v>
      </c>
      <c r="E80" s="5">
        <v>12</v>
      </c>
      <c r="F80" s="2" t="s">
        <v>1853</v>
      </c>
      <c r="G80" s="2" t="s">
        <v>7403</v>
      </c>
      <c r="H80" s="2" t="s">
        <v>82</v>
      </c>
      <c r="I80" s="4">
        <v>3017</v>
      </c>
      <c r="J80" s="4">
        <v>648</v>
      </c>
      <c r="L80" s="31">
        <v>147.57</v>
      </c>
      <c r="M80" s="32">
        <v>24.8</v>
      </c>
      <c r="N80" s="33">
        <v>20.399999999999999</v>
      </c>
    </row>
    <row r="81" spans="1:14" x14ac:dyDescent="0.25">
      <c r="A81" s="30">
        <v>1</v>
      </c>
      <c r="B81" s="2" t="s">
        <v>7398</v>
      </c>
      <c r="C81" s="2" t="s">
        <v>7399</v>
      </c>
      <c r="D81" s="2" t="s">
        <v>5489</v>
      </c>
      <c r="E81" s="5">
        <v>24</v>
      </c>
      <c r="F81" s="2" t="s">
        <v>1866</v>
      </c>
      <c r="G81" s="2" t="s">
        <v>7403</v>
      </c>
      <c r="H81" s="2" t="s">
        <v>83</v>
      </c>
      <c r="I81" s="4">
        <v>182</v>
      </c>
      <c r="J81" s="4">
        <v>210</v>
      </c>
      <c r="L81" s="31">
        <v>17.14</v>
      </c>
      <c r="M81" s="32">
        <v>22.9</v>
      </c>
      <c r="N81" s="33">
        <v>10.6</v>
      </c>
    </row>
    <row r="82" spans="1:14" x14ac:dyDescent="0.25">
      <c r="A82" s="30">
        <v>1</v>
      </c>
      <c r="B82" s="2" t="s">
        <v>7398</v>
      </c>
      <c r="C82" s="2" t="s">
        <v>7399</v>
      </c>
      <c r="D82" s="2" t="s">
        <v>5490</v>
      </c>
      <c r="E82" s="5">
        <v>12</v>
      </c>
      <c r="F82" s="2" t="s">
        <v>1871</v>
      </c>
      <c r="G82" s="2" t="s">
        <v>7403</v>
      </c>
      <c r="H82" s="2" t="s">
        <v>84</v>
      </c>
      <c r="I82" s="4">
        <v>97</v>
      </c>
      <c r="J82" s="4">
        <v>0</v>
      </c>
      <c r="L82" s="31">
        <v>16.850000000000001</v>
      </c>
      <c r="M82" s="32">
        <v>5.8</v>
      </c>
      <c r="N82" s="33">
        <v>5.8</v>
      </c>
    </row>
    <row r="83" spans="1:14" x14ac:dyDescent="0.25">
      <c r="A83" s="30">
        <v>1</v>
      </c>
      <c r="B83" s="2" t="s">
        <v>7398</v>
      </c>
      <c r="C83" s="2" t="s">
        <v>7399</v>
      </c>
      <c r="D83" s="2" t="s">
        <v>5491</v>
      </c>
      <c r="E83" s="5">
        <v>12</v>
      </c>
      <c r="F83" s="2" t="s">
        <v>1872</v>
      </c>
      <c r="G83" s="2" t="s">
        <v>7401</v>
      </c>
      <c r="H83" s="2" t="s">
        <v>85</v>
      </c>
      <c r="I83" s="4">
        <v>31</v>
      </c>
      <c r="J83" s="4">
        <v>306</v>
      </c>
      <c r="L83" s="31">
        <v>15.57</v>
      </c>
      <c r="M83" s="32">
        <v>21.6</v>
      </c>
      <c r="N83" s="33">
        <v>2</v>
      </c>
    </row>
    <row r="84" spans="1:14" x14ac:dyDescent="0.25">
      <c r="A84" s="30">
        <v>1</v>
      </c>
      <c r="B84" s="2" t="s">
        <v>7398</v>
      </c>
      <c r="C84" s="2" t="s">
        <v>7399</v>
      </c>
      <c r="D84" s="2" t="s">
        <v>5492</v>
      </c>
      <c r="E84" s="5">
        <v>12</v>
      </c>
      <c r="F84" s="2" t="s">
        <v>1872</v>
      </c>
      <c r="G84" s="2" t="s">
        <v>7401</v>
      </c>
      <c r="H84" s="2" t="s">
        <v>86</v>
      </c>
      <c r="I84" s="4">
        <v>146</v>
      </c>
      <c r="J84" s="4">
        <v>540</v>
      </c>
      <c r="L84" s="31">
        <v>30.14</v>
      </c>
      <c r="M84" s="32">
        <v>22.8</v>
      </c>
      <c r="N84" s="33">
        <v>4.8</v>
      </c>
    </row>
    <row r="85" spans="1:14" x14ac:dyDescent="0.25">
      <c r="A85" s="30">
        <v>1</v>
      </c>
      <c r="B85" s="2" t="s">
        <v>7398</v>
      </c>
      <c r="C85" s="2" t="s">
        <v>7399</v>
      </c>
      <c r="D85" s="2" t="s">
        <v>5493</v>
      </c>
      <c r="E85" s="5">
        <v>12</v>
      </c>
      <c r="F85" s="2" t="s">
        <v>1872</v>
      </c>
      <c r="G85" s="2" t="s">
        <v>7401</v>
      </c>
      <c r="H85" s="2" t="s">
        <v>87</v>
      </c>
      <c r="I85" s="4">
        <v>336</v>
      </c>
      <c r="J85" s="4">
        <v>1080</v>
      </c>
      <c r="L85" s="31">
        <v>71.709999999999994</v>
      </c>
      <c r="M85" s="32">
        <v>19.7</v>
      </c>
      <c r="N85" s="33">
        <v>4.7</v>
      </c>
    </row>
    <row r="86" spans="1:14" x14ac:dyDescent="0.25">
      <c r="A86" s="30">
        <v>1</v>
      </c>
      <c r="B86" s="2" t="s">
        <v>7398</v>
      </c>
      <c r="C86" s="2" t="s">
        <v>7399</v>
      </c>
      <c r="D86" s="2" t="s">
        <v>5494</v>
      </c>
      <c r="E86" s="5">
        <v>12</v>
      </c>
      <c r="F86" s="2" t="s">
        <v>1872</v>
      </c>
      <c r="G86" s="2" t="s">
        <v>7401</v>
      </c>
      <c r="H86" s="2" t="s">
        <v>88</v>
      </c>
      <c r="I86" s="4">
        <v>4</v>
      </c>
      <c r="J86" s="4">
        <v>360</v>
      </c>
      <c r="L86" s="31">
        <v>10.71</v>
      </c>
      <c r="M86" s="32">
        <v>34</v>
      </c>
      <c r="N86" s="33">
        <v>0.4</v>
      </c>
    </row>
    <row r="87" spans="1:14" x14ac:dyDescent="0.25">
      <c r="A87" s="30">
        <v>1</v>
      </c>
      <c r="B87" s="2" t="s">
        <v>7398</v>
      </c>
      <c r="C87" s="2" t="s">
        <v>7399</v>
      </c>
      <c r="D87" s="2" t="s">
        <v>5495</v>
      </c>
      <c r="E87" s="5">
        <v>12</v>
      </c>
      <c r="F87" s="2" t="s">
        <v>1873</v>
      </c>
      <c r="G87" s="2" t="s">
        <v>7401</v>
      </c>
      <c r="H87" s="2" t="s">
        <v>89</v>
      </c>
      <c r="I87" s="4">
        <v>187</v>
      </c>
      <c r="J87" s="4">
        <v>160</v>
      </c>
      <c r="L87" s="31">
        <v>9</v>
      </c>
      <c r="M87" s="32">
        <v>38.6</v>
      </c>
      <c r="N87" s="33">
        <v>20.8</v>
      </c>
    </row>
    <row r="88" spans="1:14" x14ac:dyDescent="0.25">
      <c r="A88" s="30">
        <v>1</v>
      </c>
      <c r="B88" s="2" t="s">
        <v>7398</v>
      </c>
      <c r="C88" s="2" t="s">
        <v>7399</v>
      </c>
      <c r="D88" s="2" t="s">
        <v>5496</v>
      </c>
      <c r="E88" s="5">
        <v>12</v>
      </c>
      <c r="F88" s="2" t="s">
        <v>1873</v>
      </c>
      <c r="G88" s="2" t="s">
        <v>7401</v>
      </c>
      <c r="H88" s="2" t="s">
        <v>90</v>
      </c>
      <c r="I88" s="4">
        <v>1145</v>
      </c>
      <c r="J88" s="4">
        <v>640</v>
      </c>
      <c r="L88" s="31">
        <v>53</v>
      </c>
      <c r="M88" s="32">
        <v>33.700000000000003</v>
      </c>
      <c r="N88" s="33">
        <v>21.6</v>
      </c>
    </row>
    <row r="89" spans="1:14" x14ac:dyDescent="0.25">
      <c r="A89" s="30">
        <v>1</v>
      </c>
      <c r="B89" s="2" t="s">
        <v>7398</v>
      </c>
      <c r="C89" s="2" t="s">
        <v>7399</v>
      </c>
      <c r="D89" s="2" t="s">
        <v>5497</v>
      </c>
      <c r="E89" s="5">
        <v>12</v>
      </c>
      <c r="F89" s="2" t="s">
        <v>1873</v>
      </c>
      <c r="G89" s="2" t="s">
        <v>7401</v>
      </c>
      <c r="H89" s="2" t="s">
        <v>91</v>
      </c>
      <c r="I89" s="4">
        <v>351</v>
      </c>
      <c r="J89" s="4">
        <v>160</v>
      </c>
      <c r="L89" s="31">
        <v>14.85</v>
      </c>
      <c r="M89" s="32">
        <v>34.4</v>
      </c>
      <c r="N89" s="33">
        <v>23.6</v>
      </c>
    </row>
    <row r="90" spans="1:14" x14ac:dyDescent="0.25">
      <c r="A90" s="30">
        <v>1</v>
      </c>
      <c r="B90" s="2" t="s">
        <v>7398</v>
      </c>
      <c r="C90" s="2" t="s">
        <v>7399</v>
      </c>
      <c r="D90" s="2" t="s">
        <v>5498</v>
      </c>
      <c r="E90" s="5">
        <v>12</v>
      </c>
      <c r="F90" s="2" t="s">
        <v>1866</v>
      </c>
      <c r="G90" s="2" t="s">
        <v>7401</v>
      </c>
      <c r="H90" s="2" t="s">
        <v>92</v>
      </c>
      <c r="I90" s="4">
        <v>244</v>
      </c>
      <c r="J90" s="4">
        <v>320</v>
      </c>
      <c r="L90" s="31">
        <v>19.71</v>
      </c>
      <c r="M90" s="32">
        <v>28.6</v>
      </c>
      <c r="N90" s="33">
        <v>12.4</v>
      </c>
    </row>
    <row r="91" spans="1:14" x14ac:dyDescent="0.25">
      <c r="A91" s="30">
        <v>1</v>
      </c>
      <c r="B91" s="2" t="s">
        <v>7398</v>
      </c>
      <c r="C91" s="2" t="s">
        <v>7399</v>
      </c>
      <c r="D91" s="2" t="s">
        <v>5499</v>
      </c>
      <c r="E91" s="5">
        <v>12</v>
      </c>
      <c r="F91" s="2" t="s">
        <v>1872</v>
      </c>
      <c r="G91" s="2" t="s">
        <v>7401</v>
      </c>
      <c r="H91" s="2" t="s">
        <v>93</v>
      </c>
      <c r="I91" s="4">
        <v>58</v>
      </c>
      <c r="J91" s="4">
        <v>0</v>
      </c>
      <c r="L91" s="31">
        <v>2.42</v>
      </c>
      <c r="M91" s="32">
        <v>24</v>
      </c>
      <c r="N91" s="33">
        <v>24</v>
      </c>
    </row>
    <row r="92" spans="1:14" x14ac:dyDescent="0.25">
      <c r="A92" s="30">
        <v>1</v>
      </c>
      <c r="B92" s="2" t="s">
        <v>7398</v>
      </c>
      <c r="C92" s="2" t="s">
        <v>7399</v>
      </c>
      <c r="D92" s="2" t="s">
        <v>5500</v>
      </c>
      <c r="E92" s="5">
        <v>24</v>
      </c>
      <c r="F92" s="2" t="s">
        <v>1861</v>
      </c>
      <c r="G92" s="2" t="s">
        <v>7403</v>
      </c>
      <c r="H92" s="2" t="s">
        <v>94</v>
      </c>
      <c r="I92" s="4">
        <v>44</v>
      </c>
      <c r="J92" s="4">
        <v>280</v>
      </c>
      <c r="L92" s="31">
        <v>14.28</v>
      </c>
      <c r="M92" s="32">
        <v>22.7</v>
      </c>
      <c r="N92" s="33">
        <v>3.1</v>
      </c>
    </row>
    <row r="93" spans="1:14" x14ac:dyDescent="0.25">
      <c r="A93" s="30">
        <v>1</v>
      </c>
      <c r="B93" s="2" t="s">
        <v>7398</v>
      </c>
      <c r="C93" s="2" t="s">
        <v>7399</v>
      </c>
      <c r="D93" s="2" t="s">
        <v>5501</v>
      </c>
      <c r="E93" s="5">
        <v>24</v>
      </c>
      <c r="F93" s="2" t="s">
        <v>1861</v>
      </c>
      <c r="G93" s="2" t="s">
        <v>7403</v>
      </c>
      <c r="H93" s="2" t="s">
        <v>95</v>
      </c>
      <c r="I93" s="4">
        <v>517</v>
      </c>
      <c r="J93" s="4">
        <v>0</v>
      </c>
      <c r="L93" s="31">
        <v>25.14</v>
      </c>
      <c r="M93" s="32">
        <v>20.6</v>
      </c>
      <c r="N93" s="33">
        <v>20.6</v>
      </c>
    </row>
    <row r="94" spans="1:14" x14ac:dyDescent="0.25">
      <c r="A94" s="30">
        <v>1</v>
      </c>
      <c r="B94" s="2" t="s">
        <v>7398</v>
      </c>
      <c r="C94" s="2" t="s">
        <v>7399</v>
      </c>
      <c r="D94" s="2" t="s">
        <v>5502</v>
      </c>
      <c r="E94" s="5">
        <v>24</v>
      </c>
      <c r="F94" s="2" t="s">
        <v>1866</v>
      </c>
      <c r="G94" s="2" t="s">
        <v>7403</v>
      </c>
      <c r="H94" s="2" t="s">
        <v>96</v>
      </c>
      <c r="I94" s="4">
        <v>164</v>
      </c>
      <c r="J94" s="4">
        <v>490</v>
      </c>
      <c r="L94" s="31">
        <v>28.28</v>
      </c>
      <c r="M94" s="32">
        <v>23.1</v>
      </c>
      <c r="N94" s="33">
        <v>5.8</v>
      </c>
    </row>
    <row r="95" spans="1:14" x14ac:dyDescent="0.25">
      <c r="A95" s="30">
        <v>1</v>
      </c>
      <c r="B95" s="2" t="s">
        <v>7398</v>
      </c>
      <c r="C95" s="2" t="s">
        <v>7399</v>
      </c>
      <c r="D95" s="2" t="s">
        <v>5503</v>
      </c>
      <c r="E95" s="5">
        <v>24</v>
      </c>
      <c r="F95" s="2" t="s">
        <v>1866</v>
      </c>
      <c r="G95" s="2" t="s">
        <v>7403</v>
      </c>
      <c r="H95" s="2" t="s">
        <v>97</v>
      </c>
      <c r="I95" s="4">
        <v>135</v>
      </c>
      <c r="J95" s="4">
        <v>490</v>
      </c>
      <c r="L95" s="31">
        <v>26.57</v>
      </c>
      <c r="M95" s="32">
        <v>23.5</v>
      </c>
      <c r="N95" s="33">
        <v>5.0999999999999996</v>
      </c>
    </row>
    <row r="96" spans="1:14" x14ac:dyDescent="0.25">
      <c r="A96" s="30">
        <v>1</v>
      </c>
      <c r="B96" s="2" t="s">
        <v>7398</v>
      </c>
      <c r="C96" s="2" t="s">
        <v>7399</v>
      </c>
      <c r="D96" s="2" t="s">
        <v>5504</v>
      </c>
      <c r="E96" s="5">
        <v>24</v>
      </c>
      <c r="F96" s="2" t="s">
        <v>1861</v>
      </c>
      <c r="G96" s="2" t="s">
        <v>7403</v>
      </c>
      <c r="H96" s="2" t="s">
        <v>98</v>
      </c>
      <c r="I96" s="4">
        <v>45</v>
      </c>
      <c r="J96" s="4">
        <v>70</v>
      </c>
      <c r="L96" s="31">
        <v>2.57</v>
      </c>
      <c r="M96" s="32">
        <v>44.7</v>
      </c>
      <c r="N96" s="33">
        <v>17.5</v>
      </c>
    </row>
    <row r="97" spans="1:14" x14ac:dyDescent="0.25">
      <c r="A97" s="30">
        <v>1</v>
      </c>
      <c r="B97" s="2" t="s">
        <v>7398</v>
      </c>
      <c r="C97" s="2" t="s">
        <v>7399</v>
      </c>
      <c r="D97" s="2" t="s">
        <v>5505</v>
      </c>
      <c r="E97" s="5">
        <v>12</v>
      </c>
      <c r="F97" s="2" t="s">
        <v>1872</v>
      </c>
      <c r="G97" s="2" t="s">
        <v>7400</v>
      </c>
      <c r="H97" s="2" t="s">
        <v>99</v>
      </c>
      <c r="I97" s="4">
        <v>11</v>
      </c>
      <c r="J97" s="4">
        <v>90</v>
      </c>
      <c r="L97" s="31">
        <v>4.71</v>
      </c>
      <c r="M97" s="32">
        <v>21.4</v>
      </c>
      <c r="N97" s="33">
        <v>2.2999999999999998</v>
      </c>
    </row>
    <row r="98" spans="1:14" x14ac:dyDescent="0.25">
      <c r="A98" s="30">
        <v>1</v>
      </c>
      <c r="B98" s="2" t="s">
        <v>7398</v>
      </c>
      <c r="C98" s="2" t="s">
        <v>7399</v>
      </c>
      <c r="D98" s="2" t="s">
        <v>5506</v>
      </c>
      <c r="E98" s="5">
        <v>12</v>
      </c>
      <c r="F98" s="2" t="s">
        <v>1872</v>
      </c>
      <c r="G98" s="2" t="s">
        <v>7400</v>
      </c>
      <c r="H98" s="2" t="s">
        <v>100</v>
      </c>
      <c r="I98" s="4">
        <v>34</v>
      </c>
      <c r="J98" s="4">
        <v>144</v>
      </c>
      <c r="L98" s="31">
        <v>6.42</v>
      </c>
      <c r="M98" s="32">
        <v>27.7</v>
      </c>
      <c r="N98" s="33">
        <v>5.3</v>
      </c>
    </row>
    <row r="99" spans="1:14" x14ac:dyDescent="0.25">
      <c r="A99" s="30">
        <v>1</v>
      </c>
      <c r="B99" s="2" t="s">
        <v>7398</v>
      </c>
      <c r="C99" s="2" t="s">
        <v>7399</v>
      </c>
      <c r="D99" s="2" t="s">
        <v>5507</v>
      </c>
      <c r="E99" s="5">
        <v>12</v>
      </c>
      <c r="F99" s="2" t="s">
        <v>1872</v>
      </c>
      <c r="G99" s="2" t="s">
        <v>7400</v>
      </c>
      <c r="H99" s="2" t="s">
        <v>101</v>
      </c>
      <c r="I99" s="4">
        <v>19</v>
      </c>
      <c r="J99" s="4">
        <v>54</v>
      </c>
      <c r="L99" s="31">
        <v>3.28</v>
      </c>
      <c r="M99" s="32">
        <v>22.3</v>
      </c>
      <c r="N99" s="33">
        <v>5.8</v>
      </c>
    </row>
    <row r="100" spans="1:14" x14ac:dyDescent="0.25">
      <c r="A100" s="30">
        <v>1</v>
      </c>
      <c r="B100" s="2" t="s">
        <v>7398</v>
      </c>
      <c r="C100" s="2" t="s">
        <v>7399</v>
      </c>
      <c r="D100" s="2" t="s">
        <v>5508</v>
      </c>
      <c r="E100" s="5">
        <v>12</v>
      </c>
      <c r="F100" s="2" t="s">
        <v>1874</v>
      </c>
      <c r="G100" s="2" t="s">
        <v>7403</v>
      </c>
      <c r="H100" s="2" t="s">
        <v>102</v>
      </c>
      <c r="I100" s="4">
        <v>591</v>
      </c>
      <c r="J100" s="4">
        <v>0</v>
      </c>
      <c r="L100" s="31">
        <v>1.28</v>
      </c>
      <c r="M100" s="32">
        <v>461.7</v>
      </c>
      <c r="N100" s="33">
        <v>461.7</v>
      </c>
    </row>
    <row r="101" spans="1:14" x14ac:dyDescent="0.25">
      <c r="A101" s="30">
        <v>1</v>
      </c>
      <c r="B101" s="2" t="s">
        <v>7398</v>
      </c>
      <c r="C101" s="2" t="s">
        <v>7399</v>
      </c>
      <c r="D101" s="2" t="s">
        <v>5509</v>
      </c>
      <c r="E101" s="5">
        <v>12</v>
      </c>
      <c r="F101" s="2" t="s">
        <v>1874</v>
      </c>
      <c r="G101" s="2" t="s">
        <v>7403</v>
      </c>
      <c r="H101" s="2" t="s">
        <v>103</v>
      </c>
      <c r="I101" s="4">
        <v>97</v>
      </c>
      <c r="J101" s="4">
        <v>0</v>
      </c>
      <c r="L101" s="31">
        <v>2.42</v>
      </c>
      <c r="M101" s="32">
        <v>40.1</v>
      </c>
      <c r="N101" s="33">
        <v>40.1</v>
      </c>
    </row>
    <row r="102" spans="1:14" x14ac:dyDescent="0.25">
      <c r="A102" s="30">
        <v>1</v>
      </c>
      <c r="B102" s="2" t="s">
        <v>7398</v>
      </c>
      <c r="C102" s="2" t="s">
        <v>7399</v>
      </c>
      <c r="D102" s="2" t="s">
        <v>5510</v>
      </c>
      <c r="E102" s="5">
        <v>24</v>
      </c>
      <c r="F102" s="2" t="s">
        <v>1875</v>
      </c>
      <c r="G102" s="2" t="s">
        <v>7401</v>
      </c>
      <c r="H102" s="2" t="s">
        <v>104</v>
      </c>
      <c r="I102" s="4">
        <v>0</v>
      </c>
      <c r="J102" s="4">
        <v>0</v>
      </c>
      <c r="L102" s="31">
        <v>2.57</v>
      </c>
      <c r="M102" s="32">
        <v>0</v>
      </c>
      <c r="N102" s="33">
        <v>0</v>
      </c>
    </row>
    <row r="103" spans="1:14" x14ac:dyDescent="0.25">
      <c r="A103" s="30">
        <v>1</v>
      </c>
      <c r="B103" s="2" t="s">
        <v>7398</v>
      </c>
      <c r="C103" s="2" t="s">
        <v>7399</v>
      </c>
      <c r="D103" s="2" t="s">
        <v>5511</v>
      </c>
      <c r="E103" s="5">
        <v>24</v>
      </c>
      <c r="F103" s="2" t="s">
        <v>1875</v>
      </c>
      <c r="G103" s="2" t="s">
        <v>7401</v>
      </c>
      <c r="H103" s="2" t="s">
        <v>105</v>
      </c>
      <c r="I103" s="4">
        <v>46</v>
      </c>
      <c r="J103" s="4">
        <v>0</v>
      </c>
      <c r="L103" s="31">
        <v>5.71</v>
      </c>
      <c r="M103" s="32">
        <v>8.1</v>
      </c>
      <c r="N103" s="33">
        <v>8.1</v>
      </c>
    </row>
    <row r="104" spans="1:14" x14ac:dyDescent="0.25">
      <c r="A104" s="30">
        <v>1</v>
      </c>
      <c r="B104" s="2" t="s">
        <v>7398</v>
      </c>
      <c r="C104" s="2" t="s">
        <v>7399</v>
      </c>
      <c r="D104" s="2" t="s">
        <v>5512</v>
      </c>
      <c r="E104" s="5">
        <v>24</v>
      </c>
      <c r="F104" s="2" t="s">
        <v>1875</v>
      </c>
      <c r="G104" s="2" t="s">
        <v>7401</v>
      </c>
      <c r="H104" s="2" t="s">
        <v>106</v>
      </c>
      <c r="I104" s="4">
        <v>159</v>
      </c>
      <c r="J104" s="4">
        <v>0</v>
      </c>
      <c r="L104" s="31">
        <v>5.57</v>
      </c>
      <c r="M104" s="32">
        <v>28.5</v>
      </c>
      <c r="N104" s="33">
        <v>28.5</v>
      </c>
    </row>
    <row r="105" spans="1:14" x14ac:dyDescent="0.25">
      <c r="A105" s="30">
        <v>1</v>
      </c>
      <c r="B105" s="2" t="s">
        <v>7398</v>
      </c>
      <c r="C105" s="2" t="s">
        <v>7399</v>
      </c>
      <c r="D105" s="2" t="s">
        <v>5513</v>
      </c>
      <c r="E105" s="5">
        <v>24</v>
      </c>
      <c r="F105" s="2" t="s">
        <v>1875</v>
      </c>
      <c r="G105" s="2" t="s">
        <v>7401</v>
      </c>
      <c r="H105" s="2" t="s">
        <v>107</v>
      </c>
      <c r="I105" s="4">
        <v>155</v>
      </c>
      <c r="J105" s="4">
        <v>0</v>
      </c>
      <c r="L105" s="31">
        <v>0.56999999999999995</v>
      </c>
      <c r="M105" s="32">
        <v>271.89999999999998</v>
      </c>
      <c r="N105" s="33">
        <v>271.89999999999998</v>
      </c>
    </row>
    <row r="106" spans="1:14" x14ac:dyDescent="0.25">
      <c r="A106" s="30">
        <v>1</v>
      </c>
      <c r="B106" s="2" t="s">
        <v>7398</v>
      </c>
      <c r="C106" s="2" t="s">
        <v>7399</v>
      </c>
      <c r="D106" s="2" t="s">
        <v>5514</v>
      </c>
      <c r="E106" s="5">
        <v>24</v>
      </c>
      <c r="F106" s="2" t="s">
        <v>1875</v>
      </c>
      <c r="G106" s="2" t="s">
        <v>7401</v>
      </c>
      <c r="H106" s="2" t="s">
        <v>108</v>
      </c>
      <c r="I106" s="4">
        <v>37</v>
      </c>
      <c r="J106" s="4">
        <v>0</v>
      </c>
      <c r="L106" s="31">
        <v>0.85</v>
      </c>
      <c r="M106" s="32">
        <v>43.5</v>
      </c>
      <c r="N106" s="33">
        <v>43.5</v>
      </c>
    </row>
    <row r="107" spans="1:14" x14ac:dyDescent="0.25">
      <c r="A107" s="30">
        <v>1</v>
      </c>
      <c r="B107" s="2" t="s">
        <v>7398</v>
      </c>
      <c r="C107" s="2" t="s">
        <v>7399</v>
      </c>
      <c r="D107" s="2" t="s">
        <v>5515</v>
      </c>
      <c r="E107" s="5">
        <v>24</v>
      </c>
      <c r="F107" s="2" t="s">
        <v>1875</v>
      </c>
      <c r="G107" s="2" t="s">
        <v>7401</v>
      </c>
      <c r="H107" s="2" t="s">
        <v>109</v>
      </c>
      <c r="I107" s="4">
        <v>66</v>
      </c>
      <c r="J107" s="4">
        <v>0</v>
      </c>
      <c r="L107" s="31">
        <v>0.28000000000000003</v>
      </c>
      <c r="M107" s="32">
        <v>235.7</v>
      </c>
      <c r="N107" s="33">
        <v>235.7</v>
      </c>
    </row>
    <row r="108" spans="1:14" x14ac:dyDescent="0.25">
      <c r="A108" s="30">
        <v>1</v>
      </c>
      <c r="B108" s="2" t="s">
        <v>7398</v>
      </c>
      <c r="C108" s="2" t="s">
        <v>7399</v>
      </c>
      <c r="D108" s="2" t="s">
        <v>5516</v>
      </c>
      <c r="E108" s="5">
        <v>24</v>
      </c>
      <c r="F108" s="2" t="s">
        <v>1876</v>
      </c>
      <c r="G108" s="2" t="s">
        <v>7401</v>
      </c>
      <c r="H108" s="2" t="s">
        <v>110</v>
      </c>
      <c r="I108" s="4">
        <v>294469</v>
      </c>
      <c r="J108" s="4">
        <v>3920</v>
      </c>
      <c r="L108" s="31">
        <v>3623.57</v>
      </c>
      <c r="M108" s="32">
        <v>82.3</v>
      </c>
      <c r="N108" s="33">
        <v>81.3</v>
      </c>
    </row>
    <row r="109" spans="1:14" x14ac:dyDescent="0.25">
      <c r="A109" s="30">
        <v>1</v>
      </c>
      <c r="B109" s="2" t="s">
        <v>7398</v>
      </c>
      <c r="C109" s="2" t="s">
        <v>7399</v>
      </c>
      <c r="D109" s="2" t="s">
        <v>5517</v>
      </c>
      <c r="E109" s="5">
        <v>24</v>
      </c>
      <c r="F109" s="2" t="s">
        <v>1876</v>
      </c>
      <c r="G109" s="2" t="s">
        <v>7401</v>
      </c>
      <c r="H109" s="2" t="s">
        <v>111</v>
      </c>
      <c r="I109" s="4">
        <v>34966</v>
      </c>
      <c r="J109" s="4">
        <v>9800</v>
      </c>
      <c r="L109" s="31">
        <v>486.14</v>
      </c>
      <c r="M109" s="32">
        <v>92.1</v>
      </c>
      <c r="N109" s="33">
        <v>71.900000000000006</v>
      </c>
    </row>
    <row r="110" spans="1:14" x14ac:dyDescent="0.25">
      <c r="A110" s="30">
        <v>1</v>
      </c>
      <c r="B110" s="2" t="s">
        <v>7398</v>
      </c>
      <c r="C110" s="2" t="s">
        <v>7399</v>
      </c>
      <c r="D110" s="2" t="s">
        <v>5518</v>
      </c>
      <c r="E110" s="5">
        <v>12</v>
      </c>
      <c r="F110" s="2" t="s">
        <v>1877</v>
      </c>
      <c r="G110" s="2" t="s">
        <v>7401</v>
      </c>
      <c r="H110" s="2" t="s">
        <v>112</v>
      </c>
      <c r="I110" s="4">
        <v>58783</v>
      </c>
      <c r="J110" s="4">
        <v>24080</v>
      </c>
      <c r="L110" s="31">
        <v>651.28</v>
      </c>
      <c r="M110" s="32">
        <v>127.2</v>
      </c>
      <c r="N110" s="33">
        <v>90.3</v>
      </c>
    </row>
    <row r="111" spans="1:14" x14ac:dyDescent="0.25">
      <c r="A111" s="30">
        <v>1</v>
      </c>
      <c r="B111" s="2" t="s">
        <v>7398</v>
      </c>
      <c r="C111" s="2" t="s">
        <v>7399</v>
      </c>
      <c r="D111" s="2" t="s">
        <v>5519</v>
      </c>
      <c r="E111" s="5">
        <v>6</v>
      </c>
      <c r="F111" s="2" t="s">
        <v>1878</v>
      </c>
      <c r="G111" s="2" t="s">
        <v>7401</v>
      </c>
      <c r="H111" s="2" t="s">
        <v>113</v>
      </c>
      <c r="I111" s="4">
        <v>36959</v>
      </c>
      <c r="J111" s="4">
        <v>0</v>
      </c>
      <c r="L111" s="31">
        <v>239.42</v>
      </c>
      <c r="M111" s="32">
        <v>154.4</v>
      </c>
      <c r="N111" s="33">
        <v>154.4</v>
      </c>
    </row>
    <row r="112" spans="1:14" x14ac:dyDescent="0.25">
      <c r="A112" s="30">
        <v>1</v>
      </c>
      <c r="B112" s="2" t="s">
        <v>7398</v>
      </c>
      <c r="C112" s="2" t="s">
        <v>7399</v>
      </c>
      <c r="D112" s="2" t="s">
        <v>5520</v>
      </c>
      <c r="E112" s="5">
        <v>24</v>
      </c>
      <c r="F112" s="2" t="s">
        <v>1876</v>
      </c>
      <c r="G112" s="2" t="s">
        <v>7401</v>
      </c>
      <c r="H112" s="2" t="s">
        <v>114</v>
      </c>
      <c r="I112" s="4">
        <v>20812</v>
      </c>
      <c r="J112" s="4">
        <v>0</v>
      </c>
      <c r="L112" s="31">
        <v>505.57</v>
      </c>
      <c r="M112" s="32">
        <v>41.2</v>
      </c>
      <c r="N112" s="33">
        <v>41.2</v>
      </c>
    </row>
    <row r="113" spans="1:14" x14ac:dyDescent="0.25">
      <c r="A113" s="30">
        <v>1</v>
      </c>
      <c r="B113" s="2" t="s">
        <v>7398</v>
      </c>
      <c r="C113" s="2" t="s">
        <v>7399</v>
      </c>
      <c r="D113" s="2" t="s">
        <v>5521</v>
      </c>
      <c r="E113" s="5">
        <v>12</v>
      </c>
      <c r="F113" s="2" t="s">
        <v>1879</v>
      </c>
      <c r="G113" s="2" t="s">
        <v>7401</v>
      </c>
      <c r="H113" s="2" t="s">
        <v>115</v>
      </c>
      <c r="I113" s="4">
        <v>5082</v>
      </c>
      <c r="J113" s="4">
        <v>0</v>
      </c>
      <c r="L113" s="31">
        <v>76.849999999999994</v>
      </c>
      <c r="M113" s="32">
        <v>66.099999999999994</v>
      </c>
      <c r="N113" s="33">
        <v>66.099999999999994</v>
      </c>
    </row>
    <row r="114" spans="1:14" x14ac:dyDescent="0.25">
      <c r="A114" s="30">
        <v>1</v>
      </c>
      <c r="B114" s="2" t="s">
        <v>7398</v>
      </c>
      <c r="C114" s="2" t="s">
        <v>7399</v>
      </c>
      <c r="D114" s="2" t="s">
        <v>5522</v>
      </c>
      <c r="E114" s="5">
        <v>528</v>
      </c>
      <c r="F114" s="2" t="s">
        <v>1876</v>
      </c>
      <c r="G114" s="2" t="s">
        <v>7401</v>
      </c>
      <c r="H114" s="2" t="s">
        <v>116</v>
      </c>
      <c r="I114" s="4">
        <v>317</v>
      </c>
      <c r="J114" s="4">
        <v>0</v>
      </c>
      <c r="L114" s="31">
        <v>12.71</v>
      </c>
      <c r="M114" s="32">
        <v>24.9</v>
      </c>
      <c r="N114" s="33">
        <v>24.9</v>
      </c>
    </row>
    <row r="115" spans="1:14" x14ac:dyDescent="0.25">
      <c r="A115" s="30">
        <v>1</v>
      </c>
      <c r="B115" s="2" t="s">
        <v>7398</v>
      </c>
      <c r="C115" s="2" t="s">
        <v>7399</v>
      </c>
      <c r="D115" s="2" t="s">
        <v>5523</v>
      </c>
      <c r="E115" s="5">
        <v>12</v>
      </c>
      <c r="F115" s="2" t="s">
        <v>1876</v>
      </c>
      <c r="G115" s="2" t="s">
        <v>7401</v>
      </c>
      <c r="H115" s="2" t="s">
        <v>117</v>
      </c>
      <c r="I115" s="4">
        <v>12027</v>
      </c>
      <c r="J115" s="4">
        <v>7040</v>
      </c>
      <c r="L115" s="31">
        <v>124.42</v>
      </c>
      <c r="M115" s="32">
        <v>153.19999999999999</v>
      </c>
      <c r="N115" s="33">
        <v>96.7</v>
      </c>
    </row>
    <row r="116" spans="1:14" x14ac:dyDescent="0.25">
      <c r="A116" s="30">
        <v>1</v>
      </c>
      <c r="B116" s="2" t="s">
        <v>7398</v>
      </c>
      <c r="C116" s="2" t="s">
        <v>7399</v>
      </c>
      <c r="D116" s="2" t="s">
        <v>5524</v>
      </c>
      <c r="E116" s="5">
        <v>24</v>
      </c>
      <c r="F116" s="2" t="s">
        <v>1876</v>
      </c>
      <c r="G116" s="2" t="s">
        <v>7401</v>
      </c>
      <c r="H116" s="2" t="s">
        <v>118</v>
      </c>
      <c r="I116" s="4">
        <v>0</v>
      </c>
      <c r="J116" s="4">
        <v>116</v>
      </c>
      <c r="L116" s="31">
        <v>6.42</v>
      </c>
      <c r="M116" s="32">
        <v>18.100000000000001</v>
      </c>
      <c r="N116" s="33">
        <v>0</v>
      </c>
    </row>
    <row r="117" spans="1:14" x14ac:dyDescent="0.25">
      <c r="A117" s="30">
        <v>1</v>
      </c>
      <c r="B117" s="2" t="s">
        <v>7398</v>
      </c>
      <c r="C117" s="2" t="s">
        <v>7399</v>
      </c>
      <c r="D117" s="2" t="s">
        <v>5525</v>
      </c>
      <c r="E117" s="5">
        <v>24</v>
      </c>
      <c r="F117" s="2" t="s">
        <v>1880</v>
      </c>
      <c r="G117" s="2" t="s">
        <v>7401</v>
      </c>
      <c r="H117" s="2" t="s">
        <v>119</v>
      </c>
      <c r="I117" s="4">
        <v>4686</v>
      </c>
      <c r="J117" s="4">
        <v>1360</v>
      </c>
      <c r="L117" s="31">
        <v>270.85000000000002</v>
      </c>
      <c r="M117" s="32">
        <v>22.3</v>
      </c>
      <c r="N117" s="33">
        <v>17.3</v>
      </c>
    </row>
    <row r="118" spans="1:14" x14ac:dyDescent="0.25">
      <c r="A118" s="30">
        <v>1</v>
      </c>
      <c r="B118" s="2" t="s">
        <v>7398</v>
      </c>
      <c r="C118" s="2" t="s">
        <v>7399</v>
      </c>
      <c r="D118" s="2" t="s">
        <v>5526</v>
      </c>
      <c r="E118" s="5">
        <v>12</v>
      </c>
      <c r="F118" s="2" t="s">
        <v>1877</v>
      </c>
      <c r="G118" s="2" t="s">
        <v>7401</v>
      </c>
      <c r="H118" s="2" t="s">
        <v>120</v>
      </c>
      <c r="I118" s="4">
        <v>1025</v>
      </c>
      <c r="J118" s="4">
        <v>0</v>
      </c>
      <c r="L118" s="31">
        <v>43.42</v>
      </c>
      <c r="M118" s="32">
        <v>23.6</v>
      </c>
      <c r="N118" s="33">
        <v>23.6</v>
      </c>
    </row>
    <row r="119" spans="1:14" x14ac:dyDescent="0.25">
      <c r="A119" s="30">
        <v>1</v>
      </c>
      <c r="B119" s="2" t="s">
        <v>7398</v>
      </c>
      <c r="C119" s="2" t="s">
        <v>7399</v>
      </c>
      <c r="D119" s="2" t="s">
        <v>5527</v>
      </c>
      <c r="E119" s="5">
        <v>24</v>
      </c>
      <c r="F119" s="2" t="s">
        <v>1876</v>
      </c>
      <c r="G119" s="2" t="s">
        <v>7401</v>
      </c>
      <c r="H119" s="2" t="s">
        <v>121</v>
      </c>
      <c r="I119" s="4">
        <v>132</v>
      </c>
      <c r="J119" s="4">
        <v>576</v>
      </c>
      <c r="L119" s="31">
        <v>26.71</v>
      </c>
      <c r="M119" s="32">
        <v>26.5</v>
      </c>
      <c r="N119" s="33">
        <v>4.9000000000000004</v>
      </c>
    </row>
    <row r="120" spans="1:14" x14ac:dyDescent="0.25">
      <c r="A120" s="30">
        <v>1</v>
      </c>
      <c r="B120" s="2" t="s">
        <v>7398</v>
      </c>
      <c r="C120" s="2" t="s">
        <v>7399</v>
      </c>
      <c r="D120" s="2" t="s">
        <v>5528</v>
      </c>
      <c r="E120" s="5">
        <v>24</v>
      </c>
      <c r="F120" s="2" t="s">
        <v>1880</v>
      </c>
      <c r="G120" s="2" t="s">
        <v>7401</v>
      </c>
      <c r="H120" s="2" t="s">
        <v>122</v>
      </c>
      <c r="I120" s="4">
        <v>1565</v>
      </c>
      <c r="J120" s="4">
        <v>480</v>
      </c>
      <c r="L120" s="31">
        <v>112.57</v>
      </c>
      <c r="M120" s="32">
        <v>18.2</v>
      </c>
      <c r="N120" s="33">
        <v>13.9</v>
      </c>
    </row>
    <row r="121" spans="1:14" x14ac:dyDescent="0.25">
      <c r="A121" s="30">
        <v>1</v>
      </c>
      <c r="B121" s="2" t="s">
        <v>7398</v>
      </c>
      <c r="C121" s="2" t="s">
        <v>7399</v>
      </c>
      <c r="D121" s="2" t="s">
        <v>5529</v>
      </c>
      <c r="E121" s="5">
        <v>12</v>
      </c>
      <c r="F121" s="2" t="s">
        <v>1877</v>
      </c>
      <c r="G121" s="2" t="s">
        <v>7401</v>
      </c>
      <c r="H121" s="2" t="s">
        <v>123</v>
      </c>
      <c r="I121" s="4">
        <v>143</v>
      </c>
      <c r="J121" s="4">
        <v>0</v>
      </c>
      <c r="L121" s="31">
        <v>13.85</v>
      </c>
      <c r="M121" s="32">
        <v>10.3</v>
      </c>
      <c r="N121" s="33">
        <v>10.3</v>
      </c>
    </row>
    <row r="122" spans="1:14" x14ac:dyDescent="0.25">
      <c r="A122" s="30">
        <v>1</v>
      </c>
      <c r="B122" s="2" t="s">
        <v>7398</v>
      </c>
      <c r="C122" s="2" t="s">
        <v>7399</v>
      </c>
      <c r="D122" s="2" t="s">
        <v>5530</v>
      </c>
      <c r="E122" s="5">
        <v>24</v>
      </c>
      <c r="F122" s="2" t="s">
        <v>1876</v>
      </c>
      <c r="G122" s="2" t="s">
        <v>7401</v>
      </c>
      <c r="H122" s="2" t="s">
        <v>124</v>
      </c>
      <c r="I122" s="4">
        <v>1183</v>
      </c>
      <c r="J122" s="4">
        <v>0</v>
      </c>
      <c r="L122" s="31">
        <v>140.85</v>
      </c>
      <c r="M122" s="32">
        <v>8.4</v>
      </c>
      <c r="N122" s="33">
        <v>8.4</v>
      </c>
    </row>
    <row r="123" spans="1:14" x14ac:dyDescent="0.25">
      <c r="A123" s="30">
        <v>1</v>
      </c>
      <c r="B123" s="2" t="s">
        <v>7398</v>
      </c>
      <c r="C123" s="2" t="s">
        <v>7399</v>
      </c>
      <c r="D123" s="2" t="s">
        <v>5531</v>
      </c>
      <c r="E123" s="5">
        <v>24</v>
      </c>
      <c r="F123" s="2" t="s">
        <v>1876</v>
      </c>
      <c r="G123" s="2" t="s">
        <v>7401</v>
      </c>
      <c r="H123" s="2" t="s">
        <v>125</v>
      </c>
      <c r="I123" s="4">
        <v>1822</v>
      </c>
      <c r="J123" s="4">
        <v>0</v>
      </c>
      <c r="L123" s="31">
        <v>439.28</v>
      </c>
      <c r="M123" s="32">
        <v>4.0999999999999996</v>
      </c>
      <c r="N123" s="33">
        <v>4.0999999999999996</v>
      </c>
    </row>
    <row r="124" spans="1:14" x14ac:dyDescent="0.25">
      <c r="A124" s="30">
        <v>1</v>
      </c>
      <c r="B124" s="2" t="s">
        <v>7398</v>
      </c>
      <c r="C124" s="2" t="s">
        <v>7399</v>
      </c>
      <c r="D124" s="2" t="s">
        <v>5532</v>
      </c>
      <c r="E124" s="5">
        <v>24</v>
      </c>
      <c r="F124" s="2" t="s">
        <v>1876</v>
      </c>
      <c r="G124" s="2" t="s">
        <v>7401</v>
      </c>
      <c r="H124" s="2" t="s">
        <v>126</v>
      </c>
      <c r="I124" s="4">
        <v>2595</v>
      </c>
      <c r="J124" s="4">
        <v>0</v>
      </c>
      <c r="L124" s="31">
        <v>316.85000000000002</v>
      </c>
      <c r="M124" s="32">
        <v>8.1999999999999993</v>
      </c>
      <c r="N124" s="33">
        <v>8.1999999999999993</v>
      </c>
    </row>
    <row r="125" spans="1:14" x14ac:dyDescent="0.25">
      <c r="A125" s="30">
        <v>1</v>
      </c>
      <c r="B125" s="2" t="s">
        <v>7398</v>
      </c>
      <c r="C125" s="2" t="s">
        <v>7399</v>
      </c>
      <c r="D125" s="2" t="s">
        <v>5533</v>
      </c>
      <c r="E125" s="5">
        <v>24</v>
      </c>
      <c r="F125" s="2" t="s">
        <v>1876</v>
      </c>
      <c r="G125" s="2" t="s">
        <v>7401</v>
      </c>
      <c r="H125" s="2" t="s">
        <v>127</v>
      </c>
      <c r="I125" s="4">
        <v>1696</v>
      </c>
      <c r="J125" s="4">
        <v>0</v>
      </c>
      <c r="L125" s="31">
        <v>39.57</v>
      </c>
      <c r="M125" s="32">
        <v>42.9</v>
      </c>
      <c r="N125" s="33">
        <v>42.9</v>
      </c>
    </row>
    <row r="126" spans="1:14" x14ac:dyDescent="0.25">
      <c r="A126" s="30">
        <v>1</v>
      </c>
      <c r="B126" s="2" t="s">
        <v>7398</v>
      </c>
      <c r="C126" s="2" t="s">
        <v>7399</v>
      </c>
      <c r="D126" s="2" t="s">
        <v>5534</v>
      </c>
      <c r="E126" s="5">
        <v>24</v>
      </c>
      <c r="F126" s="2" t="s">
        <v>1876</v>
      </c>
      <c r="G126" s="2" t="s">
        <v>7401</v>
      </c>
      <c r="H126" s="2" t="s">
        <v>128</v>
      </c>
      <c r="I126" s="4">
        <v>2435</v>
      </c>
      <c r="J126" s="4">
        <v>1800</v>
      </c>
      <c r="L126" s="31">
        <v>409.42</v>
      </c>
      <c r="M126" s="32">
        <v>10.3</v>
      </c>
      <c r="N126" s="33">
        <v>5.9</v>
      </c>
    </row>
    <row r="127" spans="1:14" x14ac:dyDescent="0.25">
      <c r="A127" s="30">
        <v>1</v>
      </c>
      <c r="B127" s="2" t="s">
        <v>7398</v>
      </c>
      <c r="C127" s="2" t="s">
        <v>7399</v>
      </c>
      <c r="D127" s="2" t="s">
        <v>5535</v>
      </c>
      <c r="E127" s="5">
        <v>24</v>
      </c>
      <c r="F127" s="2" t="s">
        <v>1876</v>
      </c>
      <c r="G127" s="2" t="s">
        <v>7401</v>
      </c>
      <c r="H127" s="2" t="s">
        <v>129</v>
      </c>
      <c r="I127" s="4">
        <v>456</v>
      </c>
      <c r="J127" s="4">
        <v>0</v>
      </c>
      <c r="L127" s="31">
        <v>47</v>
      </c>
      <c r="M127" s="32">
        <v>9.6999999999999993</v>
      </c>
      <c r="N127" s="33">
        <v>9.6999999999999993</v>
      </c>
    </row>
    <row r="128" spans="1:14" x14ac:dyDescent="0.25">
      <c r="A128" s="30">
        <v>1</v>
      </c>
      <c r="B128" s="2" t="s">
        <v>7398</v>
      </c>
      <c r="C128" s="2" t="s">
        <v>7399</v>
      </c>
      <c r="D128" s="2" t="s">
        <v>5536</v>
      </c>
      <c r="E128" s="5">
        <v>24</v>
      </c>
      <c r="F128" s="2" t="s">
        <v>1876</v>
      </c>
      <c r="G128" s="2" t="s">
        <v>7401</v>
      </c>
      <c r="H128" s="2" t="s">
        <v>130</v>
      </c>
      <c r="I128" s="4">
        <v>923</v>
      </c>
      <c r="J128" s="4">
        <v>1800</v>
      </c>
      <c r="L128" s="31">
        <v>211.85</v>
      </c>
      <c r="M128" s="32">
        <v>12.9</v>
      </c>
      <c r="N128" s="33">
        <v>4.4000000000000004</v>
      </c>
    </row>
    <row r="129" spans="1:14" x14ac:dyDescent="0.25">
      <c r="A129" s="30">
        <v>1</v>
      </c>
      <c r="B129" s="2" t="s">
        <v>7398</v>
      </c>
      <c r="C129" s="2" t="s">
        <v>7399</v>
      </c>
      <c r="D129" s="2" t="s">
        <v>5537</v>
      </c>
      <c r="E129" s="5">
        <v>24</v>
      </c>
      <c r="F129" s="2" t="s">
        <v>1876</v>
      </c>
      <c r="G129" s="2" t="s">
        <v>7401</v>
      </c>
      <c r="H129" s="2" t="s">
        <v>131</v>
      </c>
      <c r="I129" s="4">
        <v>92</v>
      </c>
      <c r="J129" s="4">
        <v>720</v>
      </c>
      <c r="L129" s="31">
        <v>62</v>
      </c>
      <c r="M129" s="32">
        <v>13.1</v>
      </c>
      <c r="N129" s="33">
        <v>1.5</v>
      </c>
    </row>
    <row r="130" spans="1:14" x14ac:dyDescent="0.25">
      <c r="A130" s="30">
        <v>1</v>
      </c>
      <c r="B130" s="2" t="s">
        <v>7398</v>
      </c>
      <c r="C130" s="2" t="s">
        <v>7399</v>
      </c>
      <c r="D130" s="2" t="s">
        <v>5538</v>
      </c>
      <c r="E130" s="5">
        <v>24</v>
      </c>
      <c r="F130" s="2" t="s">
        <v>1876</v>
      </c>
      <c r="G130" s="2" t="s">
        <v>7401</v>
      </c>
      <c r="H130" s="2" t="s">
        <v>132</v>
      </c>
      <c r="I130" s="4">
        <v>5480</v>
      </c>
      <c r="J130" s="4">
        <v>0</v>
      </c>
      <c r="L130" s="31">
        <v>643.71</v>
      </c>
      <c r="M130" s="32">
        <v>8.5</v>
      </c>
      <c r="N130" s="33">
        <v>8.5</v>
      </c>
    </row>
    <row r="131" spans="1:14" x14ac:dyDescent="0.25">
      <c r="A131" s="30">
        <v>1</v>
      </c>
      <c r="B131" s="2" t="s">
        <v>7398</v>
      </c>
      <c r="C131" s="2" t="s">
        <v>7399</v>
      </c>
      <c r="D131" s="2" t="s">
        <v>5539</v>
      </c>
      <c r="E131" s="5">
        <v>24</v>
      </c>
      <c r="F131" s="2" t="s">
        <v>1876</v>
      </c>
      <c r="G131" s="2" t="s">
        <v>7401</v>
      </c>
      <c r="H131" s="2" t="s">
        <v>133</v>
      </c>
      <c r="I131" s="4">
        <v>871</v>
      </c>
      <c r="J131" s="4">
        <v>96</v>
      </c>
      <c r="L131" s="31">
        <v>64.42</v>
      </c>
      <c r="M131" s="32">
        <v>15</v>
      </c>
      <c r="N131" s="33">
        <v>13.5</v>
      </c>
    </row>
    <row r="132" spans="1:14" x14ac:dyDescent="0.25">
      <c r="A132" s="30">
        <v>1</v>
      </c>
      <c r="B132" s="2" t="s">
        <v>7398</v>
      </c>
      <c r="C132" s="2" t="s">
        <v>7399</v>
      </c>
      <c r="D132" s="2" t="s">
        <v>5540</v>
      </c>
      <c r="E132" s="5">
        <v>24</v>
      </c>
      <c r="F132" s="2" t="s">
        <v>1876</v>
      </c>
      <c r="G132" s="2" t="s">
        <v>7401</v>
      </c>
      <c r="H132" s="2" t="s">
        <v>134</v>
      </c>
      <c r="I132" s="4">
        <v>145</v>
      </c>
      <c r="J132" s="4">
        <v>0</v>
      </c>
      <c r="L132" s="31">
        <v>3.42</v>
      </c>
      <c r="M132" s="32">
        <v>42.4</v>
      </c>
      <c r="N132" s="33">
        <v>42.4</v>
      </c>
    </row>
    <row r="133" spans="1:14" x14ac:dyDescent="0.25">
      <c r="A133" s="30">
        <v>1</v>
      </c>
      <c r="B133" s="2" t="s">
        <v>7398</v>
      </c>
      <c r="C133" s="2" t="s">
        <v>7399</v>
      </c>
      <c r="D133" s="2" t="s">
        <v>5541</v>
      </c>
      <c r="E133" s="5">
        <v>24</v>
      </c>
      <c r="F133" s="2" t="s">
        <v>1876</v>
      </c>
      <c r="G133" s="2" t="s">
        <v>7401</v>
      </c>
      <c r="H133" s="2" t="s">
        <v>135</v>
      </c>
      <c r="I133" s="4">
        <v>173</v>
      </c>
      <c r="J133" s="4">
        <v>0</v>
      </c>
      <c r="L133" s="31">
        <v>8.14</v>
      </c>
      <c r="M133" s="32">
        <v>21.3</v>
      </c>
      <c r="N133" s="33">
        <v>21.3</v>
      </c>
    </row>
    <row r="134" spans="1:14" x14ac:dyDescent="0.25">
      <c r="A134" s="30">
        <v>1</v>
      </c>
      <c r="B134" s="2" t="s">
        <v>7398</v>
      </c>
      <c r="C134" s="2" t="s">
        <v>7399</v>
      </c>
      <c r="D134" s="2" t="s">
        <v>5542</v>
      </c>
      <c r="E134" s="5">
        <v>12</v>
      </c>
      <c r="F134" s="2" t="s">
        <v>1877</v>
      </c>
      <c r="G134" s="2" t="s">
        <v>7401</v>
      </c>
      <c r="H134" s="2" t="s">
        <v>136</v>
      </c>
      <c r="I134" s="4">
        <v>1069</v>
      </c>
      <c r="J134" s="4">
        <v>80</v>
      </c>
      <c r="L134" s="31">
        <v>55.57</v>
      </c>
      <c r="M134" s="32">
        <v>20.7</v>
      </c>
      <c r="N134" s="33">
        <v>19.2</v>
      </c>
    </row>
    <row r="135" spans="1:14" x14ac:dyDescent="0.25">
      <c r="A135" s="30">
        <v>1</v>
      </c>
      <c r="B135" s="2" t="s">
        <v>7398</v>
      </c>
      <c r="C135" s="2" t="s">
        <v>7399</v>
      </c>
      <c r="D135" s="2" t="s">
        <v>5543</v>
      </c>
      <c r="E135" s="5">
        <v>12</v>
      </c>
      <c r="F135" s="2" t="s">
        <v>1877</v>
      </c>
      <c r="G135" s="2" t="s">
        <v>7401</v>
      </c>
      <c r="H135" s="2" t="s">
        <v>137</v>
      </c>
      <c r="I135" s="4">
        <v>998</v>
      </c>
      <c r="J135" s="4">
        <v>240</v>
      </c>
      <c r="L135" s="31">
        <v>54.28</v>
      </c>
      <c r="M135" s="32">
        <v>22.8</v>
      </c>
      <c r="N135" s="33">
        <v>18.399999999999999</v>
      </c>
    </row>
    <row r="136" spans="1:14" x14ac:dyDescent="0.25">
      <c r="A136" s="30">
        <v>1</v>
      </c>
      <c r="B136" s="2" t="s">
        <v>7398</v>
      </c>
      <c r="C136" s="2" t="s">
        <v>7399</v>
      </c>
      <c r="D136" s="2" t="s">
        <v>5544</v>
      </c>
      <c r="E136" s="5">
        <v>12</v>
      </c>
      <c r="F136" s="2" t="s">
        <v>1877</v>
      </c>
      <c r="G136" s="2" t="s">
        <v>7401</v>
      </c>
      <c r="H136" s="2" t="s">
        <v>138</v>
      </c>
      <c r="I136" s="4">
        <v>72</v>
      </c>
      <c r="J136" s="4">
        <v>0</v>
      </c>
      <c r="L136" s="31">
        <v>3</v>
      </c>
      <c r="M136" s="32">
        <v>24</v>
      </c>
      <c r="N136" s="33">
        <v>24</v>
      </c>
    </row>
    <row r="137" spans="1:14" x14ac:dyDescent="0.25">
      <c r="A137" s="30">
        <v>1</v>
      </c>
      <c r="B137" s="2" t="s">
        <v>7398</v>
      </c>
      <c r="C137" s="2" t="s">
        <v>7399</v>
      </c>
      <c r="D137" s="2" t="s">
        <v>5545</v>
      </c>
      <c r="E137" s="5">
        <v>12</v>
      </c>
      <c r="F137" s="2" t="s">
        <v>1877</v>
      </c>
      <c r="G137" s="2" t="s">
        <v>7401</v>
      </c>
      <c r="H137" s="2" t="s">
        <v>139</v>
      </c>
      <c r="I137" s="4">
        <v>391</v>
      </c>
      <c r="J137" s="4">
        <v>0</v>
      </c>
      <c r="L137" s="31">
        <v>19.57</v>
      </c>
      <c r="M137" s="32">
        <v>20</v>
      </c>
      <c r="N137" s="33">
        <v>20</v>
      </c>
    </row>
    <row r="138" spans="1:14" x14ac:dyDescent="0.25">
      <c r="A138" s="30">
        <v>1</v>
      </c>
      <c r="B138" s="2" t="s">
        <v>7398</v>
      </c>
      <c r="C138" s="2" t="s">
        <v>7399</v>
      </c>
      <c r="D138" s="2" t="s">
        <v>5546</v>
      </c>
      <c r="E138" s="5">
        <v>12</v>
      </c>
      <c r="F138" s="2" t="s">
        <v>1877</v>
      </c>
      <c r="G138" s="2" t="s">
        <v>7401</v>
      </c>
      <c r="H138" s="2" t="s">
        <v>140</v>
      </c>
      <c r="I138" s="4">
        <v>134</v>
      </c>
      <c r="J138" s="4">
        <v>0</v>
      </c>
      <c r="L138" s="31">
        <v>6.28</v>
      </c>
      <c r="M138" s="32">
        <v>21.3</v>
      </c>
      <c r="N138" s="33">
        <v>21.3</v>
      </c>
    </row>
    <row r="139" spans="1:14" x14ac:dyDescent="0.25">
      <c r="A139" s="30">
        <v>1</v>
      </c>
      <c r="B139" s="2" t="s">
        <v>7398</v>
      </c>
      <c r="C139" s="2" t="s">
        <v>7399</v>
      </c>
      <c r="D139" s="2" t="s">
        <v>5547</v>
      </c>
      <c r="E139" s="5">
        <v>12</v>
      </c>
      <c r="F139" s="2" t="s">
        <v>1877</v>
      </c>
      <c r="G139" s="2" t="s">
        <v>7401</v>
      </c>
      <c r="H139" s="2" t="s">
        <v>141</v>
      </c>
      <c r="I139" s="4">
        <v>1544</v>
      </c>
      <c r="J139" s="4">
        <v>80</v>
      </c>
      <c r="L139" s="31">
        <v>71.569999999999993</v>
      </c>
      <c r="M139" s="32">
        <v>22.7</v>
      </c>
      <c r="N139" s="33">
        <v>21.6</v>
      </c>
    </row>
    <row r="140" spans="1:14" x14ac:dyDescent="0.25">
      <c r="A140" s="30">
        <v>1</v>
      </c>
      <c r="B140" s="2" t="s">
        <v>7398</v>
      </c>
      <c r="C140" s="2" t="s">
        <v>7399</v>
      </c>
      <c r="D140" s="2" t="s">
        <v>5548</v>
      </c>
      <c r="E140" s="5">
        <v>12</v>
      </c>
      <c r="F140" s="2" t="s">
        <v>1881</v>
      </c>
      <c r="G140" s="2" t="s">
        <v>7401</v>
      </c>
      <c r="H140" s="2" t="s">
        <v>142</v>
      </c>
      <c r="I140" s="4">
        <v>0</v>
      </c>
      <c r="J140" s="4">
        <v>0</v>
      </c>
      <c r="L140" s="31">
        <v>0</v>
      </c>
      <c r="M140" s="32">
        <v>0</v>
      </c>
      <c r="N140" s="33">
        <v>9999</v>
      </c>
    </row>
    <row r="141" spans="1:14" x14ac:dyDescent="0.25">
      <c r="A141" s="30">
        <v>1</v>
      </c>
      <c r="B141" s="2" t="s">
        <v>7398</v>
      </c>
      <c r="C141" s="2" t="s">
        <v>7399</v>
      </c>
      <c r="D141" s="2" t="s">
        <v>5549</v>
      </c>
      <c r="E141" s="5">
        <v>24</v>
      </c>
      <c r="F141" s="2" t="s">
        <v>1869</v>
      </c>
      <c r="G141" s="2" t="s">
        <v>7401</v>
      </c>
      <c r="H141" s="2" t="s">
        <v>143</v>
      </c>
      <c r="I141" s="4">
        <v>543</v>
      </c>
      <c r="J141" s="4">
        <v>0</v>
      </c>
      <c r="L141" s="31">
        <v>27.85</v>
      </c>
      <c r="M141" s="32">
        <v>19.5</v>
      </c>
      <c r="N141" s="33">
        <v>19.5</v>
      </c>
    </row>
    <row r="142" spans="1:14" x14ac:dyDescent="0.25">
      <c r="A142" s="30">
        <v>1</v>
      </c>
      <c r="B142" s="2" t="s">
        <v>7398</v>
      </c>
      <c r="C142" s="2" t="s">
        <v>7399</v>
      </c>
      <c r="D142" s="2" t="s">
        <v>5550</v>
      </c>
      <c r="E142" s="5">
        <v>12</v>
      </c>
      <c r="F142" s="2" t="s">
        <v>1882</v>
      </c>
      <c r="G142" s="2" t="s">
        <v>7401</v>
      </c>
      <c r="H142" s="2" t="s">
        <v>144</v>
      </c>
      <c r="I142" s="4">
        <v>247</v>
      </c>
      <c r="J142" s="4">
        <v>0</v>
      </c>
      <c r="L142" s="31">
        <v>3.28</v>
      </c>
      <c r="M142" s="32">
        <v>75.3</v>
      </c>
      <c r="N142" s="33">
        <v>75.3</v>
      </c>
    </row>
    <row r="143" spans="1:14" x14ac:dyDescent="0.25">
      <c r="A143" s="30">
        <v>1</v>
      </c>
      <c r="B143" s="2" t="s">
        <v>7398</v>
      </c>
      <c r="C143" s="2" t="s">
        <v>7399</v>
      </c>
      <c r="D143" s="2" t="s">
        <v>5551</v>
      </c>
      <c r="E143" s="5">
        <v>12</v>
      </c>
      <c r="F143" s="2" t="s">
        <v>1841</v>
      </c>
      <c r="G143" s="2" t="s">
        <v>7403</v>
      </c>
      <c r="H143" s="2" t="s">
        <v>145</v>
      </c>
      <c r="I143" s="4">
        <v>1130</v>
      </c>
      <c r="J143" s="4">
        <v>840</v>
      </c>
      <c r="L143" s="31">
        <v>80.42</v>
      </c>
      <c r="M143" s="32">
        <v>24.5</v>
      </c>
      <c r="N143" s="33">
        <v>14.1</v>
      </c>
    </row>
    <row r="144" spans="1:14" x14ac:dyDescent="0.25">
      <c r="A144" s="30">
        <v>1</v>
      </c>
      <c r="B144" s="2" t="s">
        <v>7398</v>
      </c>
      <c r="C144" s="2" t="s">
        <v>7399</v>
      </c>
      <c r="D144" s="2" t="s">
        <v>5552</v>
      </c>
      <c r="E144" s="5">
        <v>12</v>
      </c>
      <c r="F144" s="2" t="s">
        <v>1841</v>
      </c>
      <c r="G144" s="2" t="s">
        <v>7403</v>
      </c>
      <c r="H144" s="2" t="s">
        <v>146</v>
      </c>
      <c r="I144" s="4">
        <v>802</v>
      </c>
      <c r="J144" s="4">
        <v>315</v>
      </c>
      <c r="L144" s="31">
        <v>8.7100000000000009</v>
      </c>
      <c r="M144" s="32">
        <v>128.19999999999999</v>
      </c>
      <c r="N144" s="33">
        <v>92.1</v>
      </c>
    </row>
    <row r="145" spans="1:14" x14ac:dyDescent="0.25">
      <c r="A145" s="30">
        <v>1</v>
      </c>
      <c r="B145" s="2" t="s">
        <v>7398</v>
      </c>
      <c r="C145" s="2" t="s">
        <v>7399</v>
      </c>
      <c r="D145" s="2" t="s">
        <v>5553</v>
      </c>
      <c r="E145" s="5">
        <v>12</v>
      </c>
      <c r="F145" s="2" t="s">
        <v>1841</v>
      </c>
      <c r="G145" s="2" t="s">
        <v>7403</v>
      </c>
      <c r="H145" s="2" t="s">
        <v>147</v>
      </c>
      <c r="I145" s="4">
        <v>703</v>
      </c>
      <c r="J145" s="4">
        <v>1155</v>
      </c>
      <c r="L145" s="31">
        <v>13.57</v>
      </c>
      <c r="M145" s="32">
        <v>136.9</v>
      </c>
      <c r="N145" s="33">
        <v>51.8</v>
      </c>
    </row>
    <row r="146" spans="1:14" x14ac:dyDescent="0.25">
      <c r="A146" s="30">
        <v>1</v>
      </c>
      <c r="B146" s="2" t="s">
        <v>7398</v>
      </c>
      <c r="C146" s="2" t="s">
        <v>7399</v>
      </c>
      <c r="D146" s="2" t="s">
        <v>5554</v>
      </c>
      <c r="E146" s="5">
        <v>24</v>
      </c>
      <c r="F146" s="2" t="s">
        <v>1876</v>
      </c>
      <c r="G146" s="2" t="s">
        <v>7401</v>
      </c>
      <c r="H146" s="2" t="s">
        <v>148</v>
      </c>
      <c r="I146" s="4">
        <v>52</v>
      </c>
      <c r="J146" s="4">
        <v>0</v>
      </c>
      <c r="L146" s="31">
        <v>1.85</v>
      </c>
      <c r="M146" s="32">
        <v>28.1</v>
      </c>
      <c r="N146" s="33">
        <v>28.1</v>
      </c>
    </row>
    <row r="147" spans="1:14" x14ac:dyDescent="0.25">
      <c r="A147" s="30">
        <v>1</v>
      </c>
      <c r="B147" s="2" t="s">
        <v>7398</v>
      </c>
      <c r="C147" s="2" t="s">
        <v>7399</v>
      </c>
      <c r="D147" s="2" t="s">
        <v>5555</v>
      </c>
      <c r="E147" s="5">
        <v>24</v>
      </c>
      <c r="F147" s="2" t="s">
        <v>1883</v>
      </c>
      <c r="G147" s="2" t="s">
        <v>7401</v>
      </c>
      <c r="H147" s="2" t="s">
        <v>149</v>
      </c>
      <c r="I147" s="4">
        <v>0</v>
      </c>
      <c r="J147" s="4">
        <v>0</v>
      </c>
      <c r="L147" s="31">
        <v>0</v>
      </c>
      <c r="M147" s="32">
        <v>0</v>
      </c>
      <c r="N147" s="33">
        <v>9999</v>
      </c>
    </row>
    <row r="148" spans="1:14" x14ac:dyDescent="0.25">
      <c r="A148" s="30">
        <v>1</v>
      </c>
      <c r="B148" s="2" t="s">
        <v>7398</v>
      </c>
      <c r="C148" s="2" t="s">
        <v>7399</v>
      </c>
      <c r="D148" s="2" t="s">
        <v>5556</v>
      </c>
      <c r="E148" s="5">
        <v>24</v>
      </c>
      <c r="F148" s="2" t="s">
        <v>1876</v>
      </c>
      <c r="G148" s="2" t="s">
        <v>7401</v>
      </c>
      <c r="H148" s="2" t="s">
        <v>150</v>
      </c>
      <c r="I148" s="4">
        <v>42</v>
      </c>
      <c r="J148" s="4">
        <v>0</v>
      </c>
      <c r="L148" s="31">
        <v>3.57</v>
      </c>
      <c r="M148" s="32">
        <v>11.8</v>
      </c>
      <c r="N148" s="33">
        <v>11.8</v>
      </c>
    </row>
    <row r="149" spans="1:14" x14ac:dyDescent="0.25">
      <c r="A149" s="30">
        <v>1</v>
      </c>
      <c r="B149" s="2" t="s">
        <v>7398</v>
      </c>
      <c r="C149" s="2" t="s">
        <v>7399</v>
      </c>
      <c r="D149" s="2" t="s">
        <v>5557</v>
      </c>
      <c r="E149" s="5">
        <v>24</v>
      </c>
      <c r="F149" s="2" t="s">
        <v>1876</v>
      </c>
      <c r="G149" s="2" t="s">
        <v>7401</v>
      </c>
      <c r="H149" s="2" t="s">
        <v>151</v>
      </c>
      <c r="I149" s="4">
        <v>19</v>
      </c>
      <c r="J149" s="4">
        <v>0</v>
      </c>
      <c r="L149" s="31">
        <v>4.71</v>
      </c>
      <c r="M149" s="32">
        <v>4</v>
      </c>
      <c r="N149" s="33">
        <v>4</v>
      </c>
    </row>
    <row r="150" spans="1:14" x14ac:dyDescent="0.25">
      <c r="A150" s="30">
        <v>1</v>
      </c>
      <c r="B150" s="2" t="s">
        <v>7398</v>
      </c>
      <c r="C150" s="2" t="s">
        <v>7399</v>
      </c>
      <c r="D150" s="2" t="s">
        <v>5558</v>
      </c>
      <c r="E150" s="5">
        <v>12</v>
      </c>
      <c r="F150" s="2" t="s">
        <v>1884</v>
      </c>
      <c r="G150" s="2" t="s">
        <v>7403</v>
      </c>
      <c r="H150" s="2" t="s">
        <v>152</v>
      </c>
      <c r="I150" s="4">
        <v>9</v>
      </c>
      <c r="J150" s="4">
        <v>172</v>
      </c>
      <c r="L150" s="31">
        <v>15.14</v>
      </c>
      <c r="M150" s="32">
        <v>12</v>
      </c>
      <c r="N150" s="33">
        <v>0.6</v>
      </c>
    </row>
    <row r="151" spans="1:14" x14ac:dyDescent="0.25">
      <c r="A151" s="30">
        <v>1</v>
      </c>
      <c r="B151" s="2" t="s">
        <v>7398</v>
      </c>
      <c r="C151" s="2" t="s">
        <v>7399</v>
      </c>
      <c r="D151" s="2" t="s">
        <v>5559</v>
      </c>
      <c r="E151" s="5">
        <v>24</v>
      </c>
      <c r="F151" s="2" t="s">
        <v>1874</v>
      </c>
      <c r="G151" s="2" t="s">
        <v>7403</v>
      </c>
      <c r="H151" s="2" t="s">
        <v>153</v>
      </c>
      <c r="I151" s="4">
        <v>8311</v>
      </c>
      <c r="J151" s="4">
        <v>3120</v>
      </c>
      <c r="L151" s="31">
        <v>962.28</v>
      </c>
      <c r="M151" s="32">
        <v>11.9</v>
      </c>
      <c r="N151" s="33">
        <v>8.6</v>
      </c>
    </row>
    <row r="152" spans="1:14" x14ac:dyDescent="0.25">
      <c r="A152" s="30">
        <v>1</v>
      </c>
      <c r="B152" s="2" t="s">
        <v>7398</v>
      </c>
      <c r="C152" s="2" t="s">
        <v>7399</v>
      </c>
      <c r="D152" s="2" t="s">
        <v>5560</v>
      </c>
      <c r="E152" s="5">
        <v>24</v>
      </c>
      <c r="F152" s="2" t="s">
        <v>1873</v>
      </c>
      <c r="G152" s="2" t="s">
        <v>7403</v>
      </c>
      <c r="H152" s="2" t="s">
        <v>154</v>
      </c>
      <c r="I152" s="4">
        <v>2240</v>
      </c>
      <c r="J152" s="4">
        <v>0</v>
      </c>
      <c r="L152" s="31">
        <v>130.71</v>
      </c>
      <c r="M152" s="32">
        <v>17.100000000000001</v>
      </c>
      <c r="N152" s="33">
        <v>17.100000000000001</v>
      </c>
    </row>
    <row r="153" spans="1:14" x14ac:dyDescent="0.25">
      <c r="A153" s="30">
        <v>1</v>
      </c>
      <c r="B153" s="2" t="s">
        <v>7398</v>
      </c>
      <c r="C153" s="2" t="s">
        <v>7399</v>
      </c>
      <c r="D153" s="2" t="s">
        <v>5561</v>
      </c>
      <c r="E153" s="5">
        <v>12</v>
      </c>
      <c r="F153" s="2" t="s">
        <v>1845</v>
      </c>
      <c r="G153" s="2" t="s">
        <v>7403</v>
      </c>
      <c r="H153" s="2" t="s">
        <v>155</v>
      </c>
      <c r="I153" s="4">
        <v>2019</v>
      </c>
      <c r="J153" s="4">
        <v>0</v>
      </c>
      <c r="L153" s="31">
        <v>143.85</v>
      </c>
      <c r="M153" s="32">
        <v>14</v>
      </c>
      <c r="N153" s="33">
        <v>14</v>
      </c>
    </row>
    <row r="154" spans="1:14" x14ac:dyDescent="0.25">
      <c r="A154" s="30">
        <v>1</v>
      </c>
      <c r="B154" s="2" t="s">
        <v>7398</v>
      </c>
      <c r="C154" s="2" t="s">
        <v>7399</v>
      </c>
      <c r="D154" s="2" t="s">
        <v>5562</v>
      </c>
      <c r="E154" s="5">
        <v>12</v>
      </c>
      <c r="F154" s="2" t="s">
        <v>1845</v>
      </c>
      <c r="G154" s="2" t="s">
        <v>7403</v>
      </c>
      <c r="H154" s="2" t="s">
        <v>156</v>
      </c>
      <c r="I154" s="4">
        <v>986</v>
      </c>
      <c r="J154" s="4">
        <v>264</v>
      </c>
      <c r="L154" s="31">
        <v>100</v>
      </c>
      <c r="M154" s="32">
        <v>12.5</v>
      </c>
      <c r="N154" s="33">
        <v>9.9</v>
      </c>
    </row>
    <row r="155" spans="1:14" x14ac:dyDescent="0.25">
      <c r="A155" s="30">
        <v>1</v>
      </c>
      <c r="B155" s="2" t="s">
        <v>7398</v>
      </c>
      <c r="C155" s="2" t="s">
        <v>7399</v>
      </c>
      <c r="D155" s="2" t="s">
        <v>5563</v>
      </c>
      <c r="E155" s="5">
        <v>24</v>
      </c>
      <c r="F155" s="2" t="s">
        <v>1873</v>
      </c>
      <c r="G155" s="2" t="s">
        <v>7403</v>
      </c>
      <c r="H155" s="2" t="s">
        <v>157</v>
      </c>
      <c r="I155" s="4">
        <v>1118</v>
      </c>
      <c r="J155" s="4">
        <v>0</v>
      </c>
      <c r="L155" s="31">
        <v>98.42</v>
      </c>
      <c r="M155" s="32">
        <v>11.4</v>
      </c>
      <c r="N155" s="33">
        <v>11.4</v>
      </c>
    </row>
    <row r="156" spans="1:14" x14ac:dyDescent="0.25">
      <c r="A156" s="30">
        <v>1</v>
      </c>
      <c r="B156" s="2" t="s">
        <v>7398</v>
      </c>
      <c r="C156" s="2" t="s">
        <v>7399</v>
      </c>
      <c r="D156" s="2" t="s">
        <v>5564</v>
      </c>
      <c r="E156" s="5">
        <v>24</v>
      </c>
      <c r="F156" s="2" t="s">
        <v>1874</v>
      </c>
      <c r="G156" s="2" t="s">
        <v>7403</v>
      </c>
      <c r="H156" s="2" t="s">
        <v>158</v>
      </c>
      <c r="I156" s="4">
        <v>1647</v>
      </c>
      <c r="J156" s="4">
        <v>1740</v>
      </c>
      <c r="L156" s="31">
        <v>445.57</v>
      </c>
      <c r="M156" s="32">
        <v>7.6</v>
      </c>
      <c r="N156" s="33">
        <v>3.7</v>
      </c>
    </row>
    <row r="157" spans="1:14" x14ac:dyDescent="0.25">
      <c r="A157" s="30">
        <v>1</v>
      </c>
      <c r="B157" s="2" t="s">
        <v>7398</v>
      </c>
      <c r="C157" s="2" t="s">
        <v>7399</v>
      </c>
      <c r="D157" s="2" t="s">
        <v>5565</v>
      </c>
      <c r="E157" s="5">
        <v>24</v>
      </c>
      <c r="F157" s="2" t="s">
        <v>1876</v>
      </c>
      <c r="G157" s="2" t="s">
        <v>7400</v>
      </c>
      <c r="H157" s="2" t="s">
        <v>159</v>
      </c>
      <c r="I157" s="4">
        <v>90</v>
      </c>
      <c r="J157" s="4">
        <v>0</v>
      </c>
      <c r="L157" s="31">
        <v>7.85</v>
      </c>
      <c r="M157" s="32">
        <v>11.5</v>
      </c>
      <c r="N157" s="33">
        <v>11.5</v>
      </c>
    </row>
    <row r="158" spans="1:14" x14ac:dyDescent="0.25">
      <c r="A158" s="30">
        <v>1</v>
      </c>
      <c r="B158" s="2" t="s">
        <v>7398</v>
      </c>
      <c r="C158" s="2" t="s">
        <v>7399</v>
      </c>
      <c r="D158" s="2" t="s">
        <v>5566</v>
      </c>
      <c r="E158" s="5">
        <v>12</v>
      </c>
      <c r="F158" s="2" t="s">
        <v>1879</v>
      </c>
      <c r="G158" s="2" t="s">
        <v>7400</v>
      </c>
      <c r="H158" s="2" t="s">
        <v>160</v>
      </c>
      <c r="I158" s="4">
        <v>493</v>
      </c>
      <c r="J158" s="4">
        <v>180</v>
      </c>
      <c r="L158" s="31">
        <v>51.28</v>
      </c>
      <c r="M158" s="32">
        <v>13.1</v>
      </c>
      <c r="N158" s="33">
        <v>9.6</v>
      </c>
    </row>
    <row r="159" spans="1:14" x14ac:dyDescent="0.25">
      <c r="A159" s="30">
        <v>1</v>
      </c>
      <c r="B159" s="2" t="s">
        <v>7398</v>
      </c>
      <c r="C159" s="2" t="s">
        <v>7399</v>
      </c>
      <c r="D159" s="2" t="s">
        <v>5567</v>
      </c>
      <c r="E159" s="5">
        <v>24</v>
      </c>
      <c r="F159" s="2" t="s">
        <v>1874</v>
      </c>
      <c r="G159" s="2" t="s">
        <v>7401</v>
      </c>
      <c r="H159" s="2" t="s">
        <v>161</v>
      </c>
      <c r="I159" s="4">
        <v>308</v>
      </c>
      <c r="J159" s="4">
        <v>200</v>
      </c>
      <c r="L159" s="31">
        <v>17.14</v>
      </c>
      <c r="M159" s="32">
        <v>29.6</v>
      </c>
      <c r="N159" s="33">
        <v>18</v>
      </c>
    </row>
    <row r="160" spans="1:14" x14ac:dyDescent="0.25">
      <c r="A160" s="30">
        <v>1</v>
      </c>
      <c r="B160" s="2" t="s">
        <v>7398</v>
      </c>
      <c r="C160" s="2" t="s">
        <v>7399</v>
      </c>
      <c r="D160" s="2" t="s">
        <v>5568</v>
      </c>
      <c r="E160" s="5">
        <v>24</v>
      </c>
      <c r="F160" s="2" t="s">
        <v>1885</v>
      </c>
      <c r="G160" s="2" t="s">
        <v>7401</v>
      </c>
      <c r="H160" s="2" t="s">
        <v>162</v>
      </c>
      <c r="I160" s="4">
        <v>46</v>
      </c>
      <c r="J160" s="4">
        <v>15</v>
      </c>
      <c r="L160" s="31">
        <v>2.85</v>
      </c>
      <c r="M160" s="32">
        <v>21.4</v>
      </c>
      <c r="N160" s="33">
        <v>16.100000000000001</v>
      </c>
    </row>
    <row r="161" spans="1:14" x14ac:dyDescent="0.25">
      <c r="A161" s="30">
        <v>1</v>
      </c>
      <c r="B161" s="2" t="s">
        <v>7398</v>
      </c>
      <c r="C161" s="2" t="s">
        <v>7399</v>
      </c>
      <c r="D161" s="2" t="s">
        <v>5569</v>
      </c>
      <c r="E161" s="5">
        <v>12</v>
      </c>
      <c r="F161" s="2" t="s">
        <v>5372</v>
      </c>
      <c r="G161" s="2" t="s">
        <v>7401</v>
      </c>
      <c r="H161" s="2" t="s">
        <v>5371</v>
      </c>
      <c r="I161" s="4">
        <v>0</v>
      </c>
      <c r="J161" s="4">
        <v>0</v>
      </c>
      <c r="L161" s="31">
        <v>0</v>
      </c>
      <c r="M161" s="32">
        <v>0</v>
      </c>
      <c r="N161" s="33">
        <v>9999</v>
      </c>
    </row>
    <row r="162" spans="1:14" x14ac:dyDescent="0.25">
      <c r="A162" s="30">
        <v>1</v>
      </c>
      <c r="B162" s="2" t="s">
        <v>7398</v>
      </c>
      <c r="C162" s="2" t="s">
        <v>7399</v>
      </c>
      <c r="D162" s="2" t="s">
        <v>5570</v>
      </c>
      <c r="E162" s="5">
        <v>24</v>
      </c>
      <c r="F162" s="2" t="s">
        <v>1876</v>
      </c>
      <c r="G162" s="2" t="s">
        <v>7401</v>
      </c>
      <c r="H162" s="2" t="s">
        <v>163</v>
      </c>
      <c r="I162" s="4">
        <v>3367</v>
      </c>
      <c r="J162" s="4">
        <v>6770</v>
      </c>
      <c r="L162" s="31">
        <v>251.85</v>
      </c>
      <c r="M162" s="32">
        <v>40.299999999999997</v>
      </c>
      <c r="N162" s="33">
        <v>13.4</v>
      </c>
    </row>
    <row r="163" spans="1:14" x14ac:dyDescent="0.25">
      <c r="A163" s="30">
        <v>1</v>
      </c>
      <c r="B163" s="2" t="s">
        <v>7398</v>
      </c>
      <c r="C163" s="2" t="s">
        <v>7399</v>
      </c>
      <c r="D163" s="2" t="s">
        <v>5571</v>
      </c>
      <c r="E163" s="5">
        <v>24</v>
      </c>
      <c r="F163" s="2" t="s">
        <v>1883</v>
      </c>
      <c r="G163" s="2" t="s">
        <v>7401</v>
      </c>
      <c r="H163" s="2" t="s">
        <v>164</v>
      </c>
      <c r="I163" s="4">
        <v>29043</v>
      </c>
      <c r="J163" s="4">
        <v>18824</v>
      </c>
      <c r="L163" s="31">
        <v>1581.14</v>
      </c>
      <c r="M163" s="32">
        <v>30.3</v>
      </c>
      <c r="N163" s="33">
        <v>18.399999999999999</v>
      </c>
    </row>
    <row r="164" spans="1:14" x14ac:dyDescent="0.25">
      <c r="A164" s="30">
        <v>1</v>
      </c>
      <c r="B164" s="2" t="s">
        <v>7398</v>
      </c>
      <c r="C164" s="2" t="s">
        <v>7399</v>
      </c>
      <c r="D164" s="2" t="s">
        <v>5572</v>
      </c>
      <c r="E164" s="5">
        <v>24</v>
      </c>
      <c r="F164" s="2" t="s">
        <v>1883</v>
      </c>
      <c r="G164" s="2" t="s">
        <v>7401</v>
      </c>
      <c r="H164" s="2" t="s">
        <v>165</v>
      </c>
      <c r="I164" s="4">
        <v>1702</v>
      </c>
      <c r="J164" s="4">
        <v>1344</v>
      </c>
      <c r="L164" s="31">
        <v>165.28</v>
      </c>
      <c r="M164" s="32">
        <v>18.399999999999999</v>
      </c>
      <c r="N164" s="33">
        <v>10.3</v>
      </c>
    </row>
    <row r="165" spans="1:14" x14ac:dyDescent="0.25">
      <c r="A165" s="30">
        <v>1</v>
      </c>
      <c r="B165" s="2" t="s">
        <v>7398</v>
      </c>
      <c r="C165" s="2" t="s">
        <v>7399</v>
      </c>
      <c r="D165" s="2" t="s">
        <v>5573</v>
      </c>
      <c r="E165" s="5">
        <v>48</v>
      </c>
      <c r="F165" s="2" t="s">
        <v>1876</v>
      </c>
      <c r="G165" s="2" t="s">
        <v>7404</v>
      </c>
      <c r="H165" s="2" t="s">
        <v>166</v>
      </c>
      <c r="I165" s="4">
        <v>1177</v>
      </c>
      <c r="J165" s="4">
        <v>0</v>
      </c>
      <c r="L165" s="31">
        <v>1.57</v>
      </c>
      <c r="M165" s="32">
        <v>749.7</v>
      </c>
      <c r="N165" s="33">
        <v>749.7</v>
      </c>
    </row>
    <row r="166" spans="1:14" x14ac:dyDescent="0.25">
      <c r="A166" s="30">
        <v>1</v>
      </c>
      <c r="B166" s="2" t="s">
        <v>7398</v>
      </c>
      <c r="C166" s="2" t="s">
        <v>7399</v>
      </c>
      <c r="D166" s="2" t="s">
        <v>5574</v>
      </c>
      <c r="E166" s="5">
        <v>12</v>
      </c>
      <c r="F166" s="2" t="s">
        <v>1886</v>
      </c>
      <c r="G166" s="2" t="s">
        <v>7401</v>
      </c>
      <c r="H166" s="2" t="s">
        <v>167</v>
      </c>
      <c r="I166" s="4">
        <v>4163</v>
      </c>
      <c r="J166" s="4">
        <v>0</v>
      </c>
      <c r="L166" s="31">
        <v>120.71</v>
      </c>
      <c r="M166" s="32">
        <v>34.5</v>
      </c>
      <c r="N166" s="33">
        <v>34.5</v>
      </c>
    </row>
    <row r="167" spans="1:14" x14ac:dyDescent="0.25">
      <c r="A167" s="30">
        <v>1</v>
      </c>
      <c r="B167" s="2" t="s">
        <v>7398</v>
      </c>
      <c r="C167" s="2" t="s">
        <v>7399</v>
      </c>
      <c r="D167" s="2" t="s">
        <v>5575</v>
      </c>
      <c r="E167" s="5">
        <v>24</v>
      </c>
      <c r="F167" s="2" t="s">
        <v>1880</v>
      </c>
      <c r="G167" s="2" t="s">
        <v>7401</v>
      </c>
      <c r="H167" s="2" t="s">
        <v>168</v>
      </c>
      <c r="I167" s="4">
        <v>376</v>
      </c>
      <c r="J167" s="4">
        <v>0</v>
      </c>
      <c r="L167" s="31">
        <v>21.14</v>
      </c>
      <c r="M167" s="32">
        <v>17.8</v>
      </c>
      <c r="N167" s="33">
        <v>17.8</v>
      </c>
    </row>
    <row r="168" spans="1:14" x14ac:dyDescent="0.25">
      <c r="A168" s="30">
        <v>1</v>
      </c>
      <c r="B168" s="2" t="s">
        <v>7398</v>
      </c>
      <c r="C168" s="2" t="s">
        <v>7399</v>
      </c>
      <c r="D168" s="2" t="s">
        <v>5576</v>
      </c>
      <c r="E168" s="5">
        <v>528</v>
      </c>
      <c r="F168" s="2" t="s">
        <v>1883</v>
      </c>
      <c r="G168" s="2" t="s">
        <v>7401</v>
      </c>
      <c r="H168" s="2" t="s">
        <v>169</v>
      </c>
      <c r="I168" s="4">
        <v>49</v>
      </c>
      <c r="J168" s="4">
        <v>0</v>
      </c>
      <c r="L168" s="31">
        <v>4.1399999999999997</v>
      </c>
      <c r="M168" s="32">
        <v>11.8</v>
      </c>
      <c r="N168" s="33">
        <v>11.8</v>
      </c>
    </row>
    <row r="169" spans="1:14" x14ac:dyDescent="0.25">
      <c r="A169" s="30">
        <v>1</v>
      </c>
      <c r="B169" s="2" t="s">
        <v>7398</v>
      </c>
      <c r="C169" s="2" t="s">
        <v>7399</v>
      </c>
      <c r="D169" s="2" t="s">
        <v>5577</v>
      </c>
      <c r="E169" s="5">
        <v>24</v>
      </c>
      <c r="F169" s="2" t="s">
        <v>1869</v>
      </c>
      <c r="G169" s="2" t="s">
        <v>7401</v>
      </c>
      <c r="H169" s="2" t="s">
        <v>170</v>
      </c>
      <c r="I169" s="4">
        <v>92</v>
      </c>
      <c r="J169" s="4">
        <v>60</v>
      </c>
      <c r="L169" s="31">
        <v>3.57</v>
      </c>
      <c r="M169" s="32">
        <v>42.6</v>
      </c>
      <c r="N169" s="33">
        <v>25.8</v>
      </c>
    </row>
    <row r="170" spans="1:14" x14ac:dyDescent="0.25">
      <c r="A170" s="30">
        <v>1</v>
      </c>
      <c r="B170" s="2" t="s">
        <v>7398</v>
      </c>
      <c r="C170" s="2" t="s">
        <v>7399</v>
      </c>
      <c r="D170" s="2" t="s">
        <v>5578</v>
      </c>
      <c r="E170" s="5">
        <v>12</v>
      </c>
      <c r="F170" s="2" t="s">
        <v>1883</v>
      </c>
      <c r="G170" s="2" t="s">
        <v>7400</v>
      </c>
      <c r="H170" s="2" t="s">
        <v>171</v>
      </c>
      <c r="I170" s="4">
        <v>2542</v>
      </c>
      <c r="J170" s="4">
        <v>2268</v>
      </c>
      <c r="L170" s="31">
        <v>146</v>
      </c>
      <c r="M170" s="32">
        <v>32.9</v>
      </c>
      <c r="N170" s="33">
        <v>17.399999999999999</v>
      </c>
    </row>
    <row r="171" spans="1:14" x14ac:dyDescent="0.25">
      <c r="A171" s="30">
        <v>1</v>
      </c>
      <c r="B171" s="2" t="s">
        <v>7398</v>
      </c>
      <c r="C171" s="2" t="s">
        <v>7399</v>
      </c>
      <c r="D171" s="2" t="s">
        <v>5579</v>
      </c>
      <c r="E171" s="5">
        <v>24</v>
      </c>
      <c r="F171" s="2" t="s">
        <v>1866</v>
      </c>
      <c r="G171" s="2" t="s">
        <v>7405</v>
      </c>
      <c r="H171" s="2" t="s">
        <v>7406</v>
      </c>
      <c r="I171" s="4">
        <v>29</v>
      </c>
      <c r="J171" s="4">
        <v>0</v>
      </c>
      <c r="L171" s="31">
        <v>6.57</v>
      </c>
      <c r="M171" s="32">
        <v>4.4000000000000004</v>
      </c>
      <c r="N171" s="33">
        <v>4.4000000000000004</v>
      </c>
    </row>
    <row r="172" spans="1:14" x14ac:dyDescent="0.25">
      <c r="A172" s="30">
        <v>1</v>
      </c>
      <c r="B172" s="2" t="s">
        <v>7398</v>
      </c>
      <c r="C172" s="2" t="s">
        <v>7399</v>
      </c>
      <c r="D172" s="2" t="s">
        <v>5580</v>
      </c>
      <c r="E172" s="5">
        <v>24</v>
      </c>
      <c r="F172" s="2" t="s">
        <v>1866</v>
      </c>
      <c r="G172" s="2" t="s">
        <v>7405</v>
      </c>
      <c r="H172" s="2" t="s">
        <v>7407</v>
      </c>
      <c r="I172" s="4">
        <v>7</v>
      </c>
      <c r="J172" s="4">
        <v>0</v>
      </c>
      <c r="L172" s="31">
        <v>7</v>
      </c>
      <c r="M172" s="32">
        <v>1</v>
      </c>
      <c r="N172" s="33">
        <v>1</v>
      </c>
    </row>
    <row r="173" spans="1:14" x14ac:dyDescent="0.25">
      <c r="A173" s="30">
        <v>1</v>
      </c>
      <c r="B173" s="2" t="s">
        <v>7398</v>
      </c>
      <c r="C173" s="2" t="s">
        <v>7399</v>
      </c>
      <c r="D173" s="2" t="s">
        <v>5581</v>
      </c>
      <c r="E173" s="5">
        <v>24</v>
      </c>
      <c r="F173" s="2" t="s">
        <v>1866</v>
      </c>
      <c r="G173" s="2" t="s">
        <v>7405</v>
      </c>
      <c r="H173" s="2" t="s">
        <v>7408</v>
      </c>
      <c r="I173" s="4">
        <v>81</v>
      </c>
      <c r="J173" s="4">
        <v>0</v>
      </c>
      <c r="L173" s="31">
        <v>5.42</v>
      </c>
      <c r="M173" s="32">
        <v>14.9</v>
      </c>
      <c r="N173" s="33">
        <v>14.9</v>
      </c>
    </row>
    <row r="174" spans="1:14" x14ac:dyDescent="0.25">
      <c r="A174" s="30">
        <v>1</v>
      </c>
      <c r="B174" s="2" t="s">
        <v>7398</v>
      </c>
      <c r="C174" s="2" t="s">
        <v>7399</v>
      </c>
      <c r="D174" s="2" t="s">
        <v>5582</v>
      </c>
      <c r="E174" s="5">
        <v>12</v>
      </c>
      <c r="F174" s="2" t="s">
        <v>1876</v>
      </c>
      <c r="G174" s="2" t="s">
        <v>7401</v>
      </c>
      <c r="H174" s="2" t="s">
        <v>172</v>
      </c>
      <c r="I174" s="4">
        <v>1544</v>
      </c>
      <c r="J174" s="4">
        <v>612</v>
      </c>
      <c r="L174" s="31">
        <v>137</v>
      </c>
      <c r="M174" s="32">
        <v>15.7</v>
      </c>
      <c r="N174" s="33">
        <v>11.3</v>
      </c>
    </row>
    <row r="175" spans="1:14" x14ac:dyDescent="0.25">
      <c r="A175" s="30">
        <v>1</v>
      </c>
      <c r="B175" s="2" t="s">
        <v>7398</v>
      </c>
      <c r="C175" s="2" t="s">
        <v>7399</v>
      </c>
      <c r="D175" s="2" t="s">
        <v>5583</v>
      </c>
      <c r="E175" s="5">
        <v>12</v>
      </c>
      <c r="F175" s="2" t="s">
        <v>1876</v>
      </c>
      <c r="G175" s="2" t="s">
        <v>7401</v>
      </c>
      <c r="H175" s="2" t="s">
        <v>173</v>
      </c>
      <c r="I175" s="4">
        <v>257</v>
      </c>
      <c r="J175" s="4">
        <v>612</v>
      </c>
      <c r="L175" s="31">
        <v>31.85</v>
      </c>
      <c r="M175" s="32">
        <v>27.3</v>
      </c>
      <c r="N175" s="33">
        <v>8.1</v>
      </c>
    </row>
    <row r="176" spans="1:14" x14ac:dyDescent="0.25">
      <c r="A176" s="30">
        <v>1</v>
      </c>
      <c r="B176" s="2" t="s">
        <v>7398</v>
      </c>
      <c r="C176" s="2" t="s">
        <v>7399</v>
      </c>
      <c r="D176" s="2" t="s">
        <v>5584</v>
      </c>
      <c r="E176" s="5">
        <v>12</v>
      </c>
      <c r="F176" s="2" t="s">
        <v>1887</v>
      </c>
      <c r="G176" s="2" t="s">
        <v>7401</v>
      </c>
      <c r="H176" s="2" t="s">
        <v>174</v>
      </c>
      <c r="I176" s="4">
        <v>551</v>
      </c>
      <c r="J176" s="4">
        <v>0</v>
      </c>
      <c r="L176" s="31">
        <v>10.42</v>
      </c>
      <c r="M176" s="32">
        <v>52.9</v>
      </c>
      <c r="N176" s="33">
        <v>52.9</v>
      </c>
    </row>
    <row r="177" spans="1:14" x14ac:dyDescent="0.25">
      <c r="A177" s="30">
        <v>1</v>
      </c>
      <c r="B177" s="2" t="s">
        <v>7398</v>
      </c>
      <c r="C177" s="2" t="s">
        <v>7399</v>
      </c>
      <c r="D177" s="2" t="s">
        <v>5585</v>
      </c>
      <c r="E177" s="5">
        <v>12</v>
      </c>
      <c r="F177" s="2" t="s">
        <v>1876</v>
      </c>
      <c r="G177" s="2" t="s">
        <v>7401</v>
      </c>
      <c r="H177" s="2" t="s">
        <v>175</v>
      </c>
      <c r="I177" s="4">
        <v>350</v>
      </c>
      <c r="J177" s="4">
        <v>0</v>
      </c>
      <c r="L177" s="31">
        <v>14.85</v>
      </c>
      <c r="M177" s="32">
        <v>23.6</v>
      </c>
      <c r="N177" s="33">
        <v>23.6</v>
      </c>
    </row>
    <row r="178" spans="1:14" x14ac:dyDescent="0.25">
      <c r="A178" s="30">
        <v>1</v>
      </c>
      <c r="B178" s="2" t="s">
        <v>7398</v>
      </c>
      <c r="C178" s="2" t="s">
        <v>7399</v>
      </c>
      <c r="D178" s="2" t="s">
        <v>5586</v>
      </c>
      <c r="E178" s="5">
        <v>6</v>
      </c>
      <c r="F178" s="2" t="s">
        <v>1888</v>
      </c>
      <c r="G178" s="2" t="s">
        <v>7401</v>
      </c>
      <c r="H178" s="2" t="s">
        <v>176</v>
      </c>
      <c r="I178" s="4">
        <v>581</v>
      </c>
      <c r="J178" s="4">
        <v>392</v>
      </c>
      <c r="L178" s="31">
        <v>80.28</v>
      </c>
      <c r="M178" s="32">
        <v>12.1</v>
      </c>
      <c r="N178" s="33">
        <v>7.2</v>
      </c>
    </row>
    <row r="179" spans="1:14" x14ac:dyDescent="0.25">
      <c r="A179" s="30">
        <v>1</v>
      </c>
      <c r="B179" s="2" t="s">
        <v>7398</v>
      </c>
      <c r="C179" s="2" t="s">
        <v>7399</v>
      </c>
      <c r="D179" s="2" t="s">
        <v>5587</v>
      </c>
      <c r="E179" s="5">
        <v>12</v>
      </c>
      <c r="F179" s="2" t="s">
        <v>1877</v>
      </c>
      <c r="G179" s="2" t="s">
        <v>7401</v>
      </c>
      <c r="H179" s="2" t="s">
        <v>176</v>
      </c>
      <c r="I179" s="4">
        <v>385</v>
      </c>
      <c r="J179" s="4">
        <v>200</v>
      </c>
      <c r="L179" s="31">
        <v>41.28</v>
      </c>
      <c r="M179" s="32">
        <v>14.2</v>
      </c>
      <c r="N179" s="33">
        <v>9.3000000000000007</v>
      </c>
    </row>
    <row r="180" spans="1:14" x14ac:dyDescent="0.25">
      <c r="A180" s="30">
        <v>1</v>
      </c>
      <c r="B180" s="2" t="s">
        <v>7398</v>
      </c>
      <c r="C180" s="2" t="s">
        <v>7399</v>
      </c>
      <c r="D180" s="2" t="s">
        <v>5588</v>
      </c>
      <c r="E180" s="5">
        <v>1</v>
      </c>
      <c r="F180" s="2" t="s">
        <v>1889</v>
      </c>
      <c r="H180" s="2" t="s">
        <v>177</v>
      </c>
      <c r="I180" s="4">
        <v>0</v>
      </c>
      <c r="J180" s="4">
        <v>0</v>
      </c>
      <c r="L180" s="31">
        <v>0.28000000000000003</v>
      </c>
      <c r="M180" s="32">
        <v>0</v>
      </c>
      <c r="N180" s="33">
        <v>0</v>
      </c>
    </row>
    <row r="181" spans="1:14" x14ac:dyDescent="0.25">
      <c r="A181" s="30">
        <v>1</v>
      </c>
      <c r="B181" s="2" t="s">
        <v>7398</v>
      </c>
      <c r="C181" s="2" t="s">
        <v>7399</v>
      </c>
      <c r="D181" s="2" t="s">
        <v>5589</v>
      </c>
      <c r="E181" s="5">
        <v>24</v>
      </c>
      <c r="F181" s="2" t="s">
        <v>1880</v>
      </c>
      <c r="G181" s="2" t="s">
        <v>7401</v>
      </c>
      <c r="H181" s="2" t="s">
        <v>178</v>
      </c>
      <c r="I181" s="4">
        <v>381</v>
      </c>
      <c r="J181" s="4">
        <v>480</v>
      </c>
      <c r="L181" s="31">
        <v>51.57</v>
      </c>
      <c r="M181" s="32">
        <v>16.7</v>
      </c>
      <c r="N181" s="33">
        <v>7.4</v>
      </c>
    </row>
    <row r="182" spans="1:14" x14ac:dyDescent="0.25">
      <c r="A182" s="30">
        <v>1</v>
      </c>
      <c r="B182" s="2" t="s">
        <v>7398</v>
      </c>
      <c r="C182" s="2" t="s">
        <v>7399</v>
      </c>
      <c r="D182" s="2" t="s">
        <v>5590</v>
      </c>
      <c r="E182" s="5">
        <v>24</v>
      </c>
      <c r="F182" s="2" t="s">
        <v>1880</v>
      </c>
      <c r="G182" s="2" t="s">
        <v>7401</v>
      </c>
      <c r="H182" s="2" t="s">
        <v>179</v>
      </c>
      <c r="I182" s="4">
        <v>2283</v>
      </c>
      <c r="J182" s="4">
        <v>0</v>
      </c>
      <c r="L182" s="31">
        <v>173.57</v>
      </c>
      <c r="M182" s="32">
        <v>13.2</v>
      </c>
      <c r="N182" s="33">
        <v>13.2</v>
      </c>
    </row>
    <row r="183" spans="1:14" x14ac:dyDescent="0.25">
      <c r="A183" s="30">
        <v>1</v>
      </c>
      <c r="B183" s="2" t="s">
        <v>7398</v>
      </c>
      <c r="C183" s="2" t="s">
        <v>7399</v>
      </c>
      <c r="D183" s="2" t="s">
        <v>5591</v>
      </c>
      <c r="E183" s="5">
        <v>24</v>
      </c>
      <c r="F183" s="2" t="s">
        <v>1849</v>
      </c>
      <c r="G183" s="2" t="s">
        <v>7409</v>
      </c>
      <c r="H183" s="2" t="s">
        <v>180</v>
      </c>
      <c r="I183" s="4">
        <v>132</v>
      </c>
      <c r="J183" s="4">
        <v>0</v>
      </c>
      <c r="L183" s="31">
        <v>7</v>
      </c>
      <c r="M183" s="32">
        <v>18.899999999999999</v>
      </c>
      <c r="N183" s="33">
        <v>18.899999999999999</v>
      </c>
    </row>
    <row r="184" spans="1:14" x14ac:dyDescent="0.25">
      <c r="A184" s="30">
        <v>1</v>
      </c>
      <c r="B184" s="2" t="s">
        <v>7398</v>
      </c>
      <c r="C184" s="2" t="s">
        <v>7399</v>
      </c>
      <c r="D184" s="2" t="s">
        <v>5592</v>
      </c>
      <c r="E184" s="5">
        <v>528</v>
      </c>
      <c r="F184" s="2" t="s">
        <v>1880</v>
      </c>
      <c r="G184" s="2" t="s">
        <v>7401</v>
      </c>
      <c r="H184" s="2" t="s">
        <v>181</v>
      </c>
      <c r="I184" s="4">
        <v>64</v>
      </c>
      <c r="J184" s="4">
        <v>0</v>
      </c>
      <c r="L184" s="31">
        <v>0</v>
      </c>
      <c r="M184" s="32">
        <v>0</v>
      </c>
      <c r="N184" s="33">
        <v>9999</v>
      </c>
    </row>
    <row r="185" spans="1:14" x14ac:dyDescent="0.25">
      <c r="A185" s="30">
        <v>1</v>
      </c>
      <c r="B185" s="2" t="s">
        <v>7398</v>
      </c>
      <c r="C185" s="2" t="s">
        <v>7399</v>
      </c>
      <c r="D185" s="2" t="s">
        <v>5593</v>
      </c>
      <c r="E185" s="5">
        <v>24</v>
      </c>
      <c r="F185" s="2" t="s">
        <v>1880</v>
      </c>
      <c r="G185" s="2" t="s">
        <v>7401</v>
      </c>
      <c r="H185" s="2" t="s">
        <v>182</v>
      </c>
      <c r="I185" s="4">
        <v>4022</v>
      </c>
      <c r="J185" s="4">
        <v>1760</v>
      </c>
      <c r="L185" s="31">
        <v>399.71</v>
      </c>
      <c r="M185" s="32">
        <v>14.5</v>
      </c>
      <c r="N185" s="33">
        <v>10.1</v>
      </c>
    </row>
    <row r="186" spans="1:14" x14ac:dyDescent="0.25">
      <c r="A186" s="30">
        <v>1</v>
      </c>
      <c r="B186" s="2" t="s">
        <v>7398</v>
      </c>
      <c r="C186" s="2" t="s">
        <v>7399</v>
      </c>
      <c r="D186" s="2" t="s">
        <v>5594</v>
      </c>
      <c r="E186" s="5">
        <v>24</v>
      </c>
      <c r="F186" s="2" t="s">
        <v>1880</v>
      </c>
      <c r="G186" s="2" t="s">
        <v>7401</v>
      </c>
      <c r="H186" s="2" t="s">
        <v>183</v>
      </c>
      <c r="I186" s="4">
        <v>4682</v>
      </c>
      <c r="J186" s="4">
        <v>0</v>
      </c>
      <c r="L186" s="31">
        <v>315.57</v>
      </c>
      <c r="M186" s="32">
        <v>14.8</v>
      </c>
      <c r="N186" s="33">
        <v>14.8</v>
      </c>
    </row>
    <row r="187" spans="1:14" x14ac:dyDescent="0.25">
      <c r="A187" s="30">
        <v>1</v>
      </c>
      <c r="B187" s="2" t="s">
        <v>7398</v>
      </c>
      <c r="C187" s="2" t="s">
        <v>7399</v>
      </c>
      <c r="D187" s="2" t="s">
        <v>5595</v>
      </c>
      <c r="E187" s="5">
        <v>24</v>
      </c>
      <c r="F187" s="2" t="s">
        <v>1880</v>
      </c>
      <c r="G187" s="2" t="s">
        <v>7401</v>
      </c>
      <c r="H187" s="2" t="s">
        <v>184</v>
      </c>
      <c r="I187" s="4">
        <v>8516</v>
      </c>
      <c r="J187" s="4">
        <v>12320</v>
      </c>
      <c r="L187" s="31">
        <v>1155.8499999999999</v>
      </c>
      <c r="M187" s="32">
        <v>18</v>
      </c>
      <c r="N187" s="33">
        <v>7.4</v>
      </c>
    </row>
    <row r="188" spans="1:14" x14ac:dyDescent="0.25">
      <c r="A188" s="30">
        <v>1</v>
      </c>
      <c r="B188" s="2" t="s">
        <v>7398</v>
      </c>
      <c r="C188" s="2" t="s">
        <v>7399</v>
      </c>
      <c r="D188" s="2" t="s">
        <v>5596</v>
      </c>
      <c r="E188" s="5">
        <v>24</v>
      </c>
      <c r="F188" s="2" t="s">
        <v>1880</v>
      </c>
      <c r="G188" s="2" t="s">
        <v>7401</v>
      </c>
      <c r="H188" s="2" t="s">
        <v>185</v>
      </c>
      <c r="I188" s="4">
        <v>3340</v>
      </c>
      <c r="J188" s="4">
        <v>4560</v>
      </c>
      <c r="L188" s="31">
        <v>759</v>
      </c>
      <c r="M188" s="32">
        <v>10.4</v>
      </c>
      <c r="N188" s="33">
        <v>4.4000000000000004</v>
      </c>
    </row>
    <row r="189" spans="1:14" x14ac:dyDescent="0.25">
      <c r="A189" s="30">
        <v>1</v>
      </c>
      <c r="B189" s="2" t="s">
        <v>7398</v>
      </c>
      <c r="C189" s="2" t="s">
        <v>7399</v>
      </c>
      <c r="D189" s="2" t="s">
        <v>5597</v>
      </c>
      <c r="E189" s="5">
        <v>24</v>
      </c>
      <c r="F189" s="2" t="s">
        <v>1880</v>
      </c>
      <c r="G189" s="2" t="s">
        <v>7401</v>
      </c>
      <c r="H189" s="2" t="s">
        <v>186</v>
      </c>
      <c r="I189" s="4">
        <v>2032</v>
      </c>
      <c r="J189" s="4">
        <v>720</v>
      </c>
      <c r="L189" s="31">
        <v>177.14</v>
      </c>
      <c r="M189" s="32">
        <v>15.5</v>
      </c>
      <c r="N189" s="33">
        <v>11.5</v>
      </c>
    </row>
    <row r="190" spans="1:14" x14ac:dyDescent="0.25">
      <c r="A190" s="30">
        <v>1</v>
      </c>
      <c r="B190" s="2" t="s">
        <v>7398</v>
      </c>
      <c r="C190" s="2" t="s">
        <v>7399</v>
      </c>
      <c r="D190" s="2" t="s">
        <v>5598</v>
      </c>
      <c r="E190" s="5">
        <v>24</v>
      </c>
      <c r="F190" s="2" t="s">
        <v>1880</v>
      </c>
      <c r="G190" s="2" t="s">
        <v>7401</v>
      </c>
      <c r="H190" s="2" t="s">
        <v>187</v>
      </c>
      <c r="I190" s="4">
        <v>1666</v>
      </c>
      <c r="J190" s="4">
        <v>800</v>
      </c>
      <c r="L190" s="31">
        <v>121.71</v>
      </c>
      <c r="M190" s="32">
        <v>20.3</v>
      </c>
      <c r="N190" s="33">
        <v>13.7</v>
      </c>
    </row>
    <row r="191" spans="1:14" x14ac:dyDescent="0.25">
      <c r="A191" s="30">
        <v>1</v>
      </c>
      <c r="B191" s="2" t="s">
        <v>7398</v>
      </c>
      <c r="C191" s="2" t="s">
        <v>7399</v>
      </c>
      <c r="D191" s="2" t="s">
        <v>5599</v>
      </c>
      <c r="E191" s="5">
        <v>24</v>
      </c>
      <c r="F191" s="2" t="s">
        <v>1880</v>
      </c>
      <c r="G191" s="2" t="s">
        <v>7401</v>
      </c>
      <c r="H191" s="2" t="s">
        <v>188</v>
      </c>
      <c r="I191" s="4">
        <v>3541</v>
      </c>
      <c r="J191" s="4">
        <v>0</v>
      </c>
      <c r="L191" s="31">
        <v>283.57</v>
      </c>
      <c r="M191" s="32">
        <v>12.5</v>
      </c>
      <c r="N191" s="33">
        <v>12.5</v>
      </c>
    </row>
    <row r="192" spans="1:14" x14ac:dyDescent="0.25">
      <c r="A192" s="30">
        <v>1</v>
      </c>
      <c r="B192" s="2" t="s">
        <v>7398</v>
      </c>
      <c r="C192" s="2" t="s">
        <v>7399</v>
      </c>
      <c r="D192" s="2" t="s">
        <v>5600</v>
      </c>
      <c r="E192" s="5">
        <v>24</v>
      </c>
      <c r="F192" s="2" t="s">
        <v>1880</v>
      </c>
      <c r="G192" s="2" t="s">
        <v>7401</v>
      </c>
      <c r="H192" s="2" t="s">
        <v>189</v>
      </c>
      <c r="I192" s="4">
        <v>1130</v>
      </c>
      <c r="J192" s="4">
        <v>0</v>
      </c>
      <c r="L192" s="31">
        <v>73.28</v>
      </c>
      <c r="M192" s="32">
        <v>15.4</v>
      </c>
      <c r="N192" s="33">
        <v>15.4</v>
      </c>
    </row>
    <row r="193" spans="1:14" x14ac:dyDescent="0.25">
      <c r="A193" s="30">
        <v>1</v>
      </c>
      <c r="B193" s="2" t="s">
        <v>7398</v>
      </c>
      <c r="C193" s="2" t="s">
        <v>7399</v>
      </c>
      <c r="D193" s="2" t="s">
        <v>5601</v>
      </c>
      <c r="E193" s="5">
        <v>24</v>
      </c>
      <c r="F193" s="2" t="s">
        <v>1880</v>
      </c>
      <c r="G193" s="2" t="s">
        <v>7401</v>
      </c>
      <c r="H193" s="2" t="s">
        <v>190</v>
      </c>
      <c r="I193" s="4">
        <v>5186</v>
      </c>
      <c r="J193" s="4">
        <v>5280</v>
      </c>
      <c r="L193" s="31">
        <v>720</v>
      </c>
      <c r="M193" s="32">
        <v>14.5</v>
      </c>
      <c r="N193" s="33">
        <v>7.2</v>
      </c>
    </row>
    <row r="194" spans="1:14" x14ac:dyDescent="0.25">
      <c r="A194" s="30">
        <v>1</v>
      </c>
      <c r="B194" s="2" t="s">
        <v>7398</v>
      </c>
      <c r="C194" s="2" t="s">
        <v>7399</v>
      </c>
      <c r="D194" s="2" t="s">
        <v>5602</v>
      </c>
      <c r="E194" s="5">
        <v>24</v>
      </c>
      <c r="F194" s="2" t="s">
        <v>1880</v>
      </c>
      <c r="G194" s="2" t="s">
        <v>7401</v>
      </c>
      <c r="H194" s="2" t="s">
        <v>191</v>
      </c>
      <c r="I194" s="4">
        <v>1197</v>
      </c>
      <c r="J194" s="4">
        <v>240</v>
      </c>
      <c r="L194" s="31">
        <v>133.85</v>
      </c>
      <c r="M194" s="32">
        <v>10.7</v>
      </c>
      <c r="N194" s="33">
        <v>8.9</v>
      </c>
    </row>
    <row r="195" spans="1:14" x14ac:dyDescent="0.25">
      <c r="A195" s="30">
        <v>1</v>
      </c>
      <c r="B195" s="2" t="s">
        <v>7398</v>
      </c>
      <c r="C195" s="2" t="s">
        <v>7399</v>
      </c>
      <c r="D195" s="2" t="s">
        <v>5603</v>
      </c>
      <c r="E195" s="5">
        <v>24</v>
      </c>
      <c r="F195" s="2" t="s">
        <v>1880</v>
      </c>
      <c r="G195" s="2" t="s">
        <v>7401</v>
      </c>
      <c r="H195" s="2" t="s">
        <v>192</v>
      </c>
      <c r="I195" s="4">
        <v>6309</v>
      </c>
      <c r="J195" s="4">
        <v>7040</v>
      </c>
      <c r="L195" s="31">
        <v>771.42</v>
      </c>
      <c r="M195" s="32">
        <v>17.3</v>
      </c>
      <c r="N195" s="33">
        <v>8.1999999999999993</v>
      </c>
    </row>
    <row r="196" spans="1:14" x14ac:dyDescent="0.25">
      <c r="A196" s="30">
        <v>1</v>
      </c>
      <c r="B196" s="2" t="s">
        <v>7398</v>
      </c>
      <c r="C196" s="2" t="s">
        <v>7399</v>
      </c>
      <c r="D196" s="2" t="s">
        <v>5604</v>
      </c>
      <c r="E196" s="5">
        <v>24</v>
      </c>
      <c r="F196" s="2" t="s">
        <v>1880</v>
      </c>
      <c r="G196" s="2" t="s">
        <v>7401</v>
      </c>
      <c r="H196" s="2" t="s">
        <v>193</v>
      </c>
      <c r="I196" s="4">
        <v>2920</v>
      </c>
      <c r="J196" s="4">
        <v>1040</v>
      </c>
      <c r="L196" s="31">
        <v>313.70999999999998</v>
      </c>
      <c r="M196" s="32">
        <v>12.6</v>
      </c>
      <c r="N196" s="33">
        <v>9.3000000000000007</v>
      </c>
    </row>
    <row r="197" spans="1:14" x14ac:dyDescent="0.25">
      <c r="A197" s="30">
        <v>1</v>
      </c>
      <c r="B197" s="2" t="s">
        <v>7398</v>
      </c>
      <c r="C197" s="2" t="s">
        <v>7399</v>
      </c>
      <c r="D197" s="2" t="s">
        <v>5605</v>
      </c>
      <c r="E197" s="5">
        <v>12</v>
      </c>
      <c r="F197" s="2" t="s">
        <v>1890</v>
      </c>
      <c r="G197" s="2" t="s">
        <v>7401</v>
      </c>
      <c r="H197" s="2" t="s">
        <v>194</v>
      </c>
      <c r="I197" s="4">
        <v>217</v>
      </c>
      <c r="J197" s="4">
        <v>1040</v>
      </c>
      <c r="L197" s="31">
        <v>100.57</v>
      </c>
      <c r="M197" s="32">
        <v>12.5</v>
      </c>
      <c r="N197" s="33">
        <v>2.2000000000000002</v>
      </c>
    </row>
    <row r="198" spans="1:14" x14ac:dyDescent="0.25">
      <c r="A198" s="30">
        <v>1</v>
      </c>
      <c r="B198" s="2" t="s">
        <v>7398</v>
      </c>
      <c r="C198" s="2" t="s">
        <v>7399</v>
      </c>
      <c r="D198" s="2" t="s">
        <v>5606</v>
      </c>
      <c r="E198" s="5">
        <v>12</v>
      </c>
      <c r="F198" s="2" t="s">
        <v>1890</v>
      </c>
      <c r="G198" s="2" t="s">
        <v>7401</v>
      </c>
      <c r="H198" s="2" t="s">
        <v>195</v>
      </c>
      <c r="I198" s="4">
        <v>504</v>
      </c>
      <c r="J198" s="4">
        <v>0</v>
      </c>
      <c r="L198" s="31">
        <v>47.85</v>
      </c>
      <c r="M198" s="32">
        <v>10.5</v>
      </c>
      <c r="N198" s="33">
        <v>10.5</v>
      </c>
    </row>
    <row r="199" spans="1:14" x14ac:dyDescent="0.25">
      <c r="A199" s="30">
        <v>1</v>
      </c>
      <c r="B199" s="2" t="s">
        <v>7398</v>
      </c>
      <c r="C199" s="2" t="s">
        <v>7399</v>
      </c>
      <c r="D199" s="2" t="s">
        <v>5607</v>
      </c>
      <c r="E199" s="5">
        <v>12</v>
      </c>
      <c r="F199" s="2" t="s">
        <v>1890</v>
      </c>
      <c r="G199" s="2" t="s">
        <v>7401</v>
      </c>
      <c r="H199" s="2" t="s">
        <v>196</v>
      </c>
      <c r="I199" s="4">
        <v>954</v>
      </c>
      <c r="J199" s="4">
        <v>801</v>
      </c>
      <c r="L199" s="31">
        <v>149.13999999999999</v>
      </c>
      <c r="M199" s="32">
        <v>11.8</v>
      </c>
      <c r="N199" s="33">
        <v>6.4</v>
      </c>
    </row>
    <row r="200" spans="1:14" x14ac:dyDescent="0.25">
      <c r="A200" s="30">
        <v>1</v>
      </c>
      <c r="B200" s="2" t="s">
        <v>7398</v>
      </c>
      <c r="C200" s="2" t="s">
        <v>7399</v>
      </c>
      <c r="D200" s="2" t="s">
        <v>5608</v>
      </c>
      <c r="E200" s="5">
        <v>12</v>
      </c>
      <c r="F200" s="2" t="s">
        <v>1890</v>
      </c>
      <c r="G200" s="2" t="s">
        <v>7401</v>
      </c>
      <c r="H200" s="2" t="s">
        <v>197</v>
      </c>
      <c r="I200" s="4">
        <v>557</v>
      </c>
      <c r="J200" s="4">
        <v>0</v>
      </c>
      <c r="L200" s="31">
        <v>56.85</v>
      </c>
      <c r="M200" s="32">
        <v>9.8000000000000007</v>
      </c>
      <c r="N200" s="33">
        <v>9.8000000000000007</v>
      </c>
    </row>
    <row r="201" spans="1:14" x14ac:dyDescent="0.25">
      <c r="A201" s="30">
        <v>1</v>
      </c>
      <c r="B201" s="2" t="s">
        <v>7398</v>
      </c>
      <c r="C201" s="2" t="s">
        <v>7399</v>
      </c>
      <c r="D201" s="2" t="s">
        <v>5609</v>
      </c>
      <c r="E201" s="5">
        <v>12</v>
      </c>
      <c r="F201" s="2" t="s">
        <v>1890</v>
      </c>
      <c r="G201" s="2" t="s">
        <v>7401</v>
      </c>
      <c r="H201" s="2" t="s">
        <v>198</v>
      </c>
      <c r="I201" s="4">
        <v>57</v>
      </c>
      <c r="J201" s="4">
        <v>0</v>
      </c>
      <c r="L201" s="31">
        <v>9.85</v>
      </c>
      <c r="M201" s="32">
        <v>5.8</v>
      </c>
      <c r="N201" s="33">
        <v>5.8</v>
      </c>
    </row>
    <row r="202" spans="1:14" x14ac:dyDescent="0.25">
      <c r="A202" s="30">
        <v>1</v>
      </c>
      <c r="B202" s="2" t="s">
        <v>7398</v>
      </c>
      <c r="C202" s="2" t="s">
        <v>7399</v>
      </c>
      <c r="D202" s="2" t="s">
        <v>5610</v>
      </c>
      <c r="E202" s="5">
        <v>12</v>
      </c>
      <c r="F202" s="2" t="s">
        <v>1890</v>
      </c>
      <c r="G202" s="2" t="s">
        <v>7401</v>
      </c>
      <c r="H202" s="2" t="s">
        <v>199</v>
      </c>
      <c r="I202" s="4">
        <v>196</v>
      </c>
      <c r="J202" s="4">
        <v>360</v>
      </c>
      <c r="L202" s="31">
        <v>33.28</v>
      </c>
      <c r="M202" s="32">
        <v>16.7</v>
      </c>
      <c r="N202" s="33">
        <v>5.9</v>
      </c>
    </row>
    <row r="203" spans="1:14" x14ac:dyDescent="0.25">
      <c r="A203" s="30">
        <v>1</v>
      </c>
      <c r="B203" s="2" t="s">
        <v>7398</v>
      </c>
      <c r="C203" s="2" t="s">
        <v>7399</v>
      </c>
      <c r="D203" s="2" t="s">
        <v>5611</v>
      </c>
      <c r="E203" s="5">
        <v>12</v>
      </c>
      <c r="F203" s="2" t="s">
        <v>1890</v>
      </c>
      <c r="G203" s="2" t="s">
        <v>7401</v>
      </c>
      <c r="H203" s="2" t="s">
        <v>200</v>
      </c>
      <c r="I203" s="4">
        <v>2152</v>
      </c>
      <c r="J203" s="4">
        <v>2194</v>
      </c>
      <c r="L203" s="31">
        <v>340.57</v>
      </c>
      <c r="M203" s="32">
        <v>12.8</v>
      </c>
      <c r="N203" s="33">
        <v>6.3</v>
      </c>
    </row>
    <row r="204" spans="1:14" x14ac:dyDescent="0.25">
      <c r="A204" s="30">
        <v>1</v>
      </c>
      <c r="B204" s="2" t="s">
        <v>7398</v>
      </c>
      <c r="C204" s="2" t="s">
        <v>7399</v>
      </c>
      <c r="D204" s="2" t="s">
        <v>5612</v>
      </c>
      <c r="E204" s="5">
        <v>24</v>
      </c>
      <c r="F204" s="2" t="s">
        <v>1880</v>
      </c>
      <c r="G204" s="2" t="s">
        <v>7401</v>
      </c>
      <c r="H204" s="2" t="s">
        <v>201</v>
      </c>
      <c r="I204" s="4">
        <v>2562</v>
      </c>
      <c r="J204" s="4">
        <v>2240</v>
      </c>
      <c r="L204" s="31">
        <v>401.42</v>
      </c>
      <c r="M204" s="32">
        <v>12</v>
      </c>
      <c r="N204" s="33">
        <v>6.4</v>
      </c>
    </row>
    <row r="205" spans="1:14" x14ac:dyDescent="0.25">
      <c r="A205" s="30">
        <v>1</v>
      </c>
      <c r="B205" s="2" t="s">
        <v>7398</v>
      </c>
      <c r="C205" s="2" t="s">
        <v>7399</v>
      </c>
      <c r="D205" s="2" t="s">
        <v>5613</v>
      </c>
      <c r="E205" s="5">
        <v>1</v>
      </c>
      <c r="F205" s="2" t="s">
        <v>1891</v>
      </c>
      <c r="G205" s="2" t="s">
        <v>7409</v>
      </c>
      <c r="H205" s="2" t="s">
        <v>202</v>
      </c>
      <c r="I205" s="4">
        <v>267</v>
      </c>
      <c r="J205" s="4">
        <v>0</v>
      </c>
      <c r="L205" s="31">
        <v>1.1399999999999999</v>
      </c>
      <c r="M205" s="32">
        <v>234.2</v>
      </c>
      <c r="N205" s="33">
        <v>234.2</v>
      </c>
    </row>
    <row r="206" spans="1:14" x14ac:dyDescent="0.25">
      <c r="A206" s="30">
        <v>1</v>
      </c>
      <c r="B206" s="2" t="s">
        <v>7398</v>
      </c>
      <c r="C206" s="2" t="s">
        <v>7399</v>
      </c>
      <c r="D206" s="2" t="s">
        <v>5614</v>
      </c>
      <c r="E206" s="5">
        <v>1</v>
      </c>
      <c r="F206" s="2" t="s">
        <v>1891</v>
      </c>
      <c r="G206" s="2" t="s">
        <v>7409</v>
      </c>
      <c r="H206" s="2" t="s">
        <v>203</v>
      </c>
      <c r="I206" s="4">
        <v>188</v>
      </c>
      <c r="J206" s="4">
        <v>205</v>
      </c>
      <c r="L206" s="31">
        <v>12.42</v>
      </c>
      <c r="M206" s="32">
        <v>31.6</v>
      </c>
      <c r="N206" s="33">
        <v>15.1</v>
      </c>
    </row>
    <row r="207" spans="1:14" x14ac:dyDescent="0.25">
      <c r="A207" s="30">
        <v>1</v>
      </c>
      <c r="B207" s="2" t="s">
        <v>7398</v>
      </c>
      <c r="C207" s="2" t="s">
        <v>7399</v>
      </c>
      <c r="D207" s="2" t="s">
        <v>5615</v>
      </c>
      <c r="E207" s="5">
        <v>1</v>
      </c>
      <c r="F207" s="2" t="s">
        <v>1892</v>
      </c>
      <c r="G207" s="2" t="s">
        <v>7409</v>
      </c>
      <c r="H207" s="2" t="s">
        <v>204</v>
      </c>
      <c r="I207" s="4">
        <v>516</v>
      </c>
      <c r="J207" s="4">
        <v>0</v>
      </c>
      <c r="L207" s="31">
        <v>0.85</v>
      </c>
      <c r="M207" s="32">
        <v>607.1</v>
      </c>
      <c r="N207" s="33">
        <v>607.1</v>
      </c>
    </row>
    <row r="208" spans="1:14" x14ac:dyDescent="0.25">
      <c r="A208" s="30">
        <v>1</v>
      </c>
      <c r="B208" s="2" t="s">
        <v>7398</v>
      </c>
      <c r="C208" s="2" t="s">
        <v>7399</v>
      </c>
      <c r="D208" s="2" t="s">
        <v>5616</v>
      </c>
      <c r="E208" s="5">
        <v>1</v>
      </c>
      <c r="F208" s="2" t="s">
        <v>1891</v>
      </c>
      <c r="G208" s="2" t="s">
        <v>7409</v>
      </c>
      <c r="H208" s="2" t="s">
        <v>205</v>
      </c>
      <c r="I208" s="4">
        <v>346</v>
      </c>
      <c r="J208" s="4">
        <v>0</v>
      </c>
      <c r="L208" s="31">
        <v>0.85</v>
      </c>
      <c r="M208" s="32">
        <v>407.1</v>
      </c>
      <c r="N208" s="33">
        <v>407.1</v>
      </c>
    </row>
    <row r="209" spans="1:14" x14ac:dyDescent="0.25">
      <c r="A209" s="30">
        <v>1</v>
      </c>
      <c r="B209" s="2" t="s">
        <v>7398</v>
      </c>
      <c r="C209" s="2" t="s">
        <v>7399</v>
      </c>
      <c r="D209" s="2" t="s">
        <v>5617</v>
      </c>
      <c r="E209" s="5">
        <v>12</v>
      </c>
      <c r="F209" s="2" t="s">
        <v>1877</v>
      </c>
      <c r="G209" s="2" t="s">
        <v>7401</v>
      </c>
      <c r="H209" s="2" t="s">
        <v>206</v>
      </c>
      <c r="I209" s="4">
        <v>713</v>
      </c>
      <c r="J209" s="4">
        <v>0</v>
      </c>
      <c r="L209" s="31">
        <v>84.85</v>
      </c>
      <c r="M209" s="32">
        <v>8.4</v>
      </c>
      <c r="N209" s="33">
        <v>8.4</v>
      </c>
    </row>
    <row r="210" spans="1:14" x14ac:dyDescent="0.25">
      <c r="A210" s="30">
        <v>1</v>
      </c>
      <c r="B210" s="2" t="s">
        <v>7398</v>
      </c>
      <c r="C210" s="2" t="s">
        <v>7399</v>
      </c>
      <c r="D210" s="2" t="s">
        <v>5618</v>
      </c>
      <c r="E210" s="5">
        <v>12</v>
      </c>
      <c r="F210" s="2" t="s">
        <v>1877</v>
      </c>
      <c r="G210" s="2" t="s">
        <v>7401</v>
      </c>
      <c r="H210" s="2" t="s">
        <v>207</v>
      </c>
      <c r="I210" s="4">
        <v>315</v>
      </c>
      <c r="J210" s="4">
        <v>0</v>
      </c>
      <c r="L210" s="31">
        <v>37.42</v>
      </c>
      <c r="M210" s="32">
        <v>8.4</v>
      </c>
      <c r="N210" s="33">
        <v>8.4</v>
      </c>
    </row>
    <row r="211" spans="1:14" x14ac:dyDescent="0.25">
      <c r="A211" s="30">
        <v>1</v>
      </c>
      <c r="B211" s="2" t="s">
        <v>7398</v>
      </c>
      <c r="C211" s="2" t="s">
        <v>7399</v>
      </c>
      <c r="D211" s="2" t="s">
        <v>5619</v>
      </c>
      <c r="E211" s="5">
        <v>12</v>
      </c>
      <c r="F211" s="2" t="s">
        <v>1877</v>
      </c>
      <c r="G211" s="2" t="s">
        <v>7401</v>
      </c>
      <c r="H211" s="2" t="s">
        <v>208</v>
      </c>
      <c r="I211" s="4">
        <v>1247</v>
      </c>
      <c r="J211" s="4">
        <v>480</v>
      </c>
      <c r="L211" s="31">
        <v>144.13999999999999</v>
      </c>
      <c r="M211" s="32">
        <v>12</v>
      </c>
      <c r="N211" s="33">
        <v>8.6999999999999993</v>
      </c>
    </row>
    <row r="212" spans="1:14" x14ac:dyDescent="0.25">
      <c r="A212" s="30">
        <v>1</v>
      </c>
      <c r="B212" s="2" t="s">
        <v>7398</v>
      </c>
      <c r="C212" s="2" t="s">
        <v>7399</v>
      </c>
      <c r="D212" s="2" t="s">
        <v>5620</v>
      </c>
      <c r="E212" s="5">
        <v>12</v>
      </c>
      <c r="F212" s="2" t="s">
        <v>1877</v>
      </c>
      <c r="G212" s="2" t="s">
        <v>7401</v>
      </c>
      <c r="H212" s="2" t="s">
        <v>209</v>
      </c>
      <c r="I212" s="4">
        <v>190</v>
      </c>
      <c r="J212" s="4">
        <v>0</v>
      </c>
      <c r="L212" s="31">
        <v>28.57</v>
      </c>
      <c r="M212" s="32">
        <v>6.7</v>
      </c>
      <c r="N212" s="33">
        <v>6.7</v>
      </c>
    </row>
    <row r="213" spans="1:14" x14ac:dyDescent="0.25">
      <c r="A213" s="30">
        <v>1</v>
      </c>
      <c r="B213" s="2" t="s">
        <v>7398</v>
      </c>
      <c r="C213" s="2" t="s">
        <v>7399</v>
      </c>
      <c r="D213" s="2" t="s">
        <v>5621</v>
      </c>
      <c r="E213" s="5">
        <v>12</v>
      </c>
      <c r="F213" s="2" t="s">
        <v>1877</v>
      </c>
      <c r="G213" s="2" t="s">
        <v>7401</v>
      </c>
      <c r="H213" s="2" t="s">
        <v>210</v>
      </c>
      <c r="I213" s="4">
        <v>2712</v>
      </c>
      <c r="J213" s="4">
        <v>0</v>
      </c>
      <c r="L213" s="31">
        <v>201.42</v>
      </c>
      <c r="M213" s="32">
        <v>13.5</v>
      </c>
      <c r="N213" s="33">
        <v>13.5</v>
      </c>
    </row>
    <row r="214" spans="1:14" x14ac:dyDescent="0.25">
      <c r="A214" s="30">
        <v>1</v>
      </c>
      <c r="B214" s="2" t="s">
        <v>7398</v>
      </c>
      <c r="C214" s="2" t="s">
        <v>7399</v>
      </c>
      <c r="D214" s="2" t="s">
        <v>5622</v>
      </c>
      <c r="E214" s="5">
        <v>12</v>
      </c>
      <c r="F214" s="2" t="s">
        <v>1877</v>
      </c>
      <c r="G214" s="2" t="s">
        <v>7401</v>
      </c>
      <c r="H214" s="2" t="s">
        <v>211</v>
      </c>
      <c r="I214" s="4">
        <v>0</v>
      </c>
      <c r="J214" s="4">
        <v>80</v>
      </c>
      <c r="L214" s="31">
        <v>3.85</v>
      </c>
      <c r="M214" s="32">
        <v>20.8</v>
      </c>
      <c r="N214" s="33">
        <v>0</v>
      </c>
    </row>
    <row r="215" spans="1:14" x14ac:dyDescent="0.25">
      <c r="A215" s="30">
        <v>1</v>
      </c>
      <c r="B215" s="2" t="s">
        <v>7398</v>
      </c>
      <c r="C215" s="2" t="s">
        <v>7399</v>
      </c>
      <c r="D215" s="2" t="s">
        <v>5623</v>
      </c>
      <c r="E215" s="5">
        <v>24</v>
      </c>
      <c r="F215" s="2" t="s">
        <v>1880</v>
      </c>
      <c r="G215" s="2" t="s">
        <v>7401</v>
      </c>
      <c r="H215" s="2" t="s">
        <v>212</v>
      </c>
      <c r="I215" s="4">
        <v>1344</v>
      </c>
      <c r="J215" s="4">
        <v>0</v>
      </c>
      <c r="L215" s="31">
        <v>68.14</v>
      </c>
      <c r="M215" s="32">
        <v>19.7</v>
      </c>
      <c r="N215" s="33">
        <v>19.7</v>
      </c>
    </row>
    <row r="216" spans="1:14" x14ac:dyDescent="0.25">
      <c r="A216" s="30">
        <v>1</v>
      </c>
      <c r="B216" s="2" t="s">
        <v>7398</v>
      </c>
      <c r="C216" s="2" t="s">
        <v>7399</v>
      </c>
      <c r="D216" s="2" t="s">
        <v>5624</v>
      </c>
      <c r="E216" s="5">
        <v>24</v>
      </c>
      <c r="F216" s="2" t="s">
        <v>1880</v>
      </c>
      <c r="G216" s="2" t="s">
        <v>7401</v>
      </c>
      <c r="H216" s="2" t="s">
        <v>213</v>
      </c>
      <c r="I216" s="4">
        <v>475</v>
      </c>
      <c r="J216" s="4">
        <v>0</v>
      </c>
      <c r="L216" s="31">
        <v>16.850000000000001</v>
      </c>
      <c r="M216" s="32">
        <v>28.2</v>
      </c>
      <c r="N216" s="33">
        <v>28.2</v>
      </c>
    </row>
    <row r="217" spans="1:14" x14ac:dyDescent="0.25">
      <c r="A217" s="30">
        <v>1</v>
      </c>
      <c r="B217" s="2" t="s">
        <v>7398</v>
      </c>
      <c r="C217" s="2" t="s">
        <v>7399</v>
      </c>
      <c r="D217" s="2" t="s">
        <v>5625</v>
      </c>
      <c r="E217" s="5">
        <v>528</v>
      </c>
      <c r="F217" s="2" t="s">
        <v>1880</v>
      </c>
      <c r="G217" s="2" t="s">
        <v>7401</v>
      </c>
      <c r="H217" s="2" t="s">
        <v>214</v>
      </c>
      <c r="I217" s="4">
        <v>58</v>
      </c>
      <c r="J217" s="4">
        <v>0</v>
      </c>
      <c r="L217" s="31">
        <v>0.28000000000000003</v>
      </c>
      <c r="M217" s="32">
        <v>207.1</v>
      </c>
      <c r="N217" s="33">
        <v>207.1</v>
      </c>
    </row>
    <row r="218" spans="1:14" x14ac:dyDescent="0.25">
      <c r="A218" s="30">
        <v>1</v>
      </c>
      <c r="B218" s="2" t="s">
        <v>7398</v>
      </c>
      <c r="C218" s="2" t="s">
        <v>7399</v>
      </c>
      <c r="D218" s="2" t="s">
        <v>5626</v>
      </c>
      <c r="E218" s="5">
        <v>12</v>
      </c>
      <c r="F218" s="2" t="s">
        <v>1890</v>
      </c>
      <c r="G218" s="2" t="s">
        <v>7401</v>
      </c>
      <c r="H218" s="2" t="s">
        <v>215</v>
      </c>
      <c r="I218" s="4">
        <v>306</v>
      </c>
      <c r="J218" s="4">
        <v>320</v>
      </c>
      <c r="L218" s="31">
        <v>42.71</v>
      </c>
      <c r="M218" s="32">
        <v>14.7</v>
      </c>
      <c r="N218" s="33">
        <v>7.2</v>
      </c>
    </row>
    <row r="219" spans="1:14" x14ac:dyDescent="0.25">
      <c r="A219" s="30">
        <v>1</v>
      </c>
      <c r="B219" s="2" t="s">
        <v>7398</v>
      </c>
      <c r="C219" s="2" t="s">
        <v>7399</v>
      </c>
      <c r="D219" s="2" t="s">
        <v>5627</v>
      </c>
      <c r="E219" s="5">
        <v>24</v>
      </c>
      <c r="F219" s="2" t="s">
        <v>1849</v>
      </c>
      <c r="G219" s="2" t="s">
        <v>7409</v>
      </c>
      <c r="H219" s="2" t="s">
        <v>216</v>
      </c>
      <c r="I219" s="4">
        <v>680</v>
      </c>
      <c r="J219" s="4">
        <v>0</v>
      </c>
      <c r="L219" s="31">
        <v>7.28</v>
      </c>
      <c r="M219" s="32">
        <v>93.4</v>
      </c>
      <c r="N219" s="33">
        <v>93.4</v>
      </c>
    </row>
    <row r="220" spans="1:14" x14ac:dyDescent="0.25">
      <c r="A220" s="30">
        <v>1</v>
      </c>
      <c r="B220" s="2" t="s">
        <v>7398</v>
      </c>
      <c r="C220" s="2" t="s">
        <v>7399</v>
      </c>
      <c r="D220" s="2" t="s">
        <v>5628</v>
      </c>
      <c r="E220" s="5">
        <v>12</v>
      </c>
      <c r="F220" s="2" t="s">
        <v>1877</v>
      </c>
      <c r="G220" s="2" t="s">
        <v>7401</v>
      </c>
      <c r="H220" s="2" t="s">
        <v>217</v>
      </c>
      <c r="I220" s="4">
        <v>4783</v>
      </c>
      <c r="J220" s="4">
        <v>3840</v>
      </c>
      <c r="L220" s="31">
        <v>702.57</v>
      </c>
      <c r="M220" s="32">
        <v>12.3</v>
      </c>
      <c r="N220" s="33">
        <v>6.8</v>
      </c>
    </row>
    <row r="221" spans="1:14" x14ac:dyDescent="0.25">
      <c r="A221" s="30">
        <v>1</v>
      </c>
      <c r="B221" s="2" t="s">
        <v>7398</v>
      </c>
      <c r="C221" s="2" t="s">
        <v>7399</v>
      </c>
      <c r="D221" s="2" t="s">
        <v>5629</v>
      </c>
      <c r="E221" s="5">
        <v>24</v>
      </c>
      <c r="F221" s="2" t="s">
        <v>1880</v>
      </c>
      <c r="G221" s="2" t="s">
        <v>7401</v>
      </c>
      <c r="H221" s="2" t="s">
        <v>218</v>
      </c>
      <c r="I221" s="4">
        <v>19625</v>
      </c>
      <c r="J221" s="4">
        <v>12320</v>
      </c>
      <c r="L221" s="31">
        <v>2185.5700000000002</v>
      </c>
      <c r="M221" s="32">
        <v>14.6</v>
      </c>
      <c r="N221" s="33">
        <v>9</v>
      </c>
    </row>
    <row r="222" spans="1:14" x14ac:dyDescent="0.25">
      <c r="A222" s="30">
        <v>1</v>
      </c>
      <c r="B222" s="2" t="s">
        <v>7398</v>
      </c>
      <c r="C222" s="2" t="s">
        <v>7399</v>
      </c>
      <c r="D222" s="2" t="s">
        <v>5630</v>
      </c>
      <c r="E222" s="5">
        <v>24</v>
      </c>
      <c r="F222" s="2" t="s">
        <v>1875</v>
      </c>
      <c r="G222" s="2" t="s">
        <v>7401</v>
      </c>
      <c r="H222" s="2" t="s">
        <v>219</v>
      </c>
      <c r="I222" s="4">
        <v>1173</v>
      </c>
      <c r="J222" s="4">
        <v>0</v>
      </c>
      <c r="L222" s="31">
        <v>150.13999999999999</v>
      </c>
      <c r="M222" s="32">
        <v>7.8</v>
      </c>
      <c r="N222" s="33">
        <v>7.8</v>
      </c>
    </row>
    <row r="223" spans="1:14" x14ac:dyDescent="0.25">
      <c r="A223" s="30">
        <v>1</v>
      </c>
      <c r="B223" s="2" t="s">
        <v>7398</v>
      </c>
      <c r="C223" s="2" t="s">
        <v>7399</v>
      </c>
      <c r="D223" s="2" t="s">
        <v>5631</v>
      </c>
      <c r="E223" s="5">
        <v>24</v>
      </c>
      <c r="F223" s="2" t="s">
        <v>1880</v>
      </c>
      <c r="G223" s="2" t="s">
        <v>7401</v>
      </c>
      <c r="H223" s="2" t="s">
        <v>220</v>
      </c>
      <c r="I223" s="4">
        <v>13180</v>
      </c>
      <c r="J223" s="4">
        <v>1760</v>
      </c>
      <c r="L223" s="31">
        <v>2454.14</v>
      </c>
      <c r="M223" s="32">
        <v>6.1</v>
      </c>
      <c r="N223" s="33">
        <v>5.4</v>
      </c>
    </row>
    <row r="224" spans="1:14" x14ac:dyDescent="0.25">
      <c r="A224" s="30">
        <v>1</v>
      </c>
      <c r="B224" s="2" t="s">
        <v>7398</v>
      </c>
      <c r="C224" s="2" t="s">
        <v>7399</v>
      </c>
      <c r="D224" s="2" t="s">
        <v>5632</v>
      </c>
      <c r="E224" s="5">
        <v>24</v>
      </c>
      <c r="F224" s="2" t="s">
        <v>1875</v>
      </c>
      <c r="G224" s="2" t="s">
        <v>7401</v>
      </c>
      <c r="H224" s="2" t="s">
        <v>221</v>
      </c>
      <c r="I224" s="4">
        <v>969</v>
      </c>
      <c r="J224" s="4">
        <v>0</v>
      </c>
      <c r="L224" s="31">
        <v>160</v>
      </c>
      <c r="M224" s="32">
        <v>6.1</v>
      </c>
      <c r="N224" s="33">
        <v>6.1</v>
      </c>
    </row>
    <row r="225" spans="1:14" x14ac:dyDescent="0.25">
      <c r="A225" s="30">
        <v>1</v>
      </c>
      <c r="B225" s="2" t="s">
        <v>7398</v>
      </c>
      <c r="C225" s="2" t="s">
        <v>7399</v>
      </c>
      <c r="D225" s="2" t="s">
        <v>5633</v>
      </c>
      <c r="E225" s="5">
        <v>12</v>
      </c>
      <c r="F225" s="2" t="s">
        <v>1877</v>
      </c>
      <c r="G225" s="2" t="s">
        <v>7401</v>
      </c>
      <c r="H225" s="2" t="s">
        <v>222</v>
      </c>
      <c r="I225" s="4">
        <v>0</v>
      </c>
      <c r="J225" s="4">
        <v>1840</v>
      </c>
      <c r="L225" s="31">
        <v>142.71</v>
      </c>
      <c r="M225" s="32">
        <v>12.9</v>
      </c>
      <c r="N225" s="33">
        <v>0</v>
      </c>
    </row>
    <row r="226" spans="1:14" x14ac:dyDescent="0.25">
      <c r="A226" s="30">
        <v>1</v>
      </c>
      <c r="B226" s="2" t="s">
        <v>7398</v>
      </c>
      <c r="C226" s="2" t="s">
        <v>7399</v>
      </c>
      <c r="D226" s="2" t="s">
        <v>5634</v>
      </c>
      <c r="E226" s="5">
        <v>12</v>
      </c>
      <c r="F226" s="2" t="s">
        <v>1877</v>
      </c>
      <c r="G226" s="2" t="s">
        <v>7401</v>
      </c>
      <c r="H226" s="2" t="s">
        <v>223</v>
      </c>
      <c r="I226" s="4">
        <v>4341</v>
      </c>
      <c r="J226" s="4">
        <v>0</v>
      </c>
      <c r="L226" s="31">
        <v>460.57</v>
      </c>
      <c r="M226" s="32">
        <v>9.4</v>
      </c>
      <c r="N226" s="33">
        <v>9.4</v>
      </c>
    </row>
    <row r="227" spans="1:14" x14ac:dyDescent="0.25">
      <c r="A227" s="30">
        <v>1</v>
      </c>
      <c r="B227" s="2" t="s">
        <v>7398</v>
      </c>
      <c r="C227" s="2" t="s">
        <v>7399</v>
      </c>
      <c r="D227" s="2" t="s">
        <v>5635</v>
      </c>
      <c r="E227" s="5">
        <v>24</v>
      </c>
      <c r="F227" s="2" t="s">
        <v>1880</v>
      </c>
      <c r="G227" s="2" t="s">
        <v>7401</v>
      </c>
      <c r="H227" s="2" t="s">
        <v>224</v>
      </c>
      <c r="I227" s="4">
        <v>5877</v>
      </c>
      <c r="J227" s="4">
        <v>1760</v>
      </c>
      <c r="L227" s="31">
        <v>521</v>
      </c>
      <c r="M227" s="32">
        <v>14.7</v>
      </c>
      <c r="N227" s="33">
        <v>11.3</v>
      </c>
    </row>
    <row r="228" spans="1:14" x14ac:dyDescent="0.25">
      <c r="A228" s="30">
        <v>1</v>
      </c>
      <c r="B228" s="2" t="s">
        <v>7398</v>
      </c>
      <c r="C228" s="2" t="s">
        <v>7399</v>
      </c>
      <c r="D228" s="2" t="s">
        <v>5636</v>
      </c>
      <c r="E228" s="5">
        <v>24</v>
      </c>
      <c r="F228" s="2" t="s">
        <v>1875</v>
      </c>
      <c r="G228" s="2" t="s">
        <v>7401</v>
      </c>
      <c r="H228" s="2" t="s">
        <v>225</v>
      </c>
      <c r="I228" s="4">
        <v>240</v>
      </c>
      <c r="J228" s="4">
        <v>0</v>
      </c>
      <c r="L228" s="31">
        <v>32</v>
      </c>
      <c r="M228" s="32">
        <v>7.5</v>
      </c>
      <c r="N228" s="33">
        <v>7.5</v>
      </c>
    </row>
    <row r="229" spans="1:14" x14ac:dyDescent="0.25">
      <c r="A229" s="30">
        <v>1</v>
      </c>
      <c r="B229" s="2" t="s">
        <v>7398</v>
      </c>
      <c r="C229" s="2" t="s">
        <v>7399</v>
      </c>
      <c r="D229" s="2" t="s">
        <v>5637</v>
      </c>
      <c r="E229" s="5">
        <v>24</v>
      </c>
      <c r="F229" s="2" t="s">
        <v>1880</v>
      </c>
      <c r="G229" s="2" t="s">
        <v>7401</v>
      </c>
      <c r="H229" s="2" t="s">
        <v>226</v>
      </c>
      <c r="I229" s="4">
        <v>217</v>
      </c>
      <c r="J229" s="4">
        <v>160</v>
      </c>
      <c r="L229" s="31">
        <v>23.57</v>
      </c>
      <c r="M229" s="32">
        <v>16</v>
      </c>
      <c r="N229" s="33">
        <v>9.1999999999999993</v>
      </c>
    </row>
    <row r="230" spans="1:14" x14ac:dyDescent="0.25">
      <c r="A230" s="30">
        <v>1</v>
      </c>
      <c r="B230" s="2" t="s">
        <v>7398</v>
      </c>
      <c r="C230" s="2" t="s">
        <v>7399</v>
      </c>
      <c r="D230" s="2" t="s">
        <v>5638</v>
      </c>
      <c r="E230" s="5">
        <v>12</v>
      </c>
      <c r="F230" s="2" t="s">
        <v>1877</v>
      </c>
      <c r="G230" s="2" t="s">
        <v>7401</v>
      </c>
      <c r="H230" s="2" t="s">
        <v>227</v>
      </c>
      <c r="I230" s="4">
        <v>4115</v>
      </c>
      <c r="J230" s="4">
        <v>0</v>
      </c>
      <c r="L230" s="31">
        <v>314.85000000000002</v>
      </c>
      <c r="M230" s="32">
        <v>13.1</v>
      </c>
      <c r="N230" s="33">
        <v>13.1</v>
      </c>
    </row>
    <row r="231" spans="1:14" x14ac:dyDescent="0.25">
      <c r="A231" s="30">
        <v>1</v>
      </c>
      <c r="B231" s="2" t="s">
        <v>7398</v>
      </c>
      <c r="C231" s="2" t="s">
        <v>7399</v>
      </c>
      <c r="D231" s="2" t="s">
        <v>5639</v>
      </c>
      <c r="E231" s="5">
        <v>24</v>
      </c>
      <c r="F231" s="2" t="s">
        <v>1880</v>
      </c>
      <c r="G231" s="2" t="s">
        <v>7401</v>
      </c>
      <c r="H231" s="2" t="s">
        <v>228</v>
      </c>
      <c r="I231" s="4">
        <v>10795</v>
      </c>
      <c r="J231" s="4">
        <v>3520</v>
      </c>
      <c r="L231" s="31">
        <v>1043.42</v>
      </c>
      <c r="M231" s="32">
        <v>13.7</v>
      </c>
      <c r="N231" s="33">
        <v>10.3</v>
      </c>
    </row>
    <row r="232" spans="1:14" x14ac:dyDescent="0.25">
      <c r="A232" s="30">
        <v>1</v>
      </c>
      <c r="B232" s="2" t="s">
        <v>7398</v>
      </c>
      <c r="C232" s="2" t="s">
        <v>7399</v>
      </c>
      <c r="D232" s="2" t="s">
        <v>5640</v>
      </c>
      <c r="E232" s="5">
        <v>12</v>
      </c>
      <c r="F232" s="2" t="s">
        <v>1877</v>
      </c>
      <c r="G232" s="2" t="s">
        <v>7401</v>
      </c>
      <c r="H232" s="2" t="s">
        <v>229</v>
      </c>
      <c r="I232" s="4">
        <v>4045</v>
      </c>
      <c r="J232" s="4">
        <v>0</v>
      </c>
      <c r="L232" s="31">
        <v>331.71</v>
      </c>
      <c r="M232" s="32">
        <v>12.2</v>
      </c>
      <c r="N232" s="33">
        <v>12.2</v>
      </c>
    </row>
    <row r="233" spans="1:14" x14ac:dyDescent="0.25">
      <c r="A233" s="30">
        <v>1</v>
      </c>
      <c r="B233" s="2" t="s">
        <v>7398</v>
      </c>
      <c r="C233" s="2" t="s">
        <v>7399</v>
      </c>
      <c r="D233" s="2" t="s">
        <v>5641</v>
      </c>
      <c r="E233" s="5">
        <v>24</v>
      </c>
      <c r="F233" s="2" t="s">
        <v>1880</v>
      </c>
      <c r="G233" s="2" t="s">
        <v>7401</v>
      </c>
      <c r="H233" s="2" t="s">
        <v>230</v>
      </c>
      <c r="I233" s="4">
        <v>120</v>
      </c>
      <c r="J233" s="4">
        <v>80</v>
      </c>
      <c r="L233" s="31">
        <v>9.57</v>
      </c>
      <c r="M233" s="32">
        <v>20.9</v>
      </c>
      <c r="N233" s="33">
        <v>12.5</v>
      </c>
    </row>
    <row r="234" spans="1:14" x14ac:dyDescent="0.25">
      <c r="A234" s="30">
        <v>1</v>
      </c>
      <c r="B234" s="2" t="s">
        <v>7398</v>
      </c>
      <c r="C234" s="2" t="s">
        <v>7399</v>
      </c>
      <c r="D234" s="2" t="s">
        <v>5642</v>
      </c>
      <c r="E234" s="5">
        <v>12</v>
      </c>
      <c r="F234" s="2" t="s">
        <v>1877</v>
      </c>
      <c r="G234" s="2" t="s">
        <v>7401</v>
      </c>
      <c r="H234" s="2" t="s">
        <v>231</v>
      </c>
      <c r="I234" s="4">
        <v>12449</v>
      </c>
      <c r="J234" s="4">
        <v>1316</v>
      </c>
      <c r="L234" s="31">
        <v>1250.71</v>
      </c>
      <c r="M234" s="32">
        <v>11</v>
      </c>
      <c r="N234" s="33">
        <v>10</v>
      </c>
    </row>
    <row r="235" spans="1:14" x14ac:dyDescent="0.25">
      <c r="A235" s="30">
        <v>1</v>
      </c>
      <c r="B235" s="2" t="s">
        <v>7398</v>
      </c>
      <c r="C235" s="2" t="s">
        <v>7399</v>
      </c>
      <c r="D235" s="2" t="s">
        <v>5643</v>
      </c>
      <c r="E235" s="5">
        <v>24</v>
      </c>
      <c r="F235" s="2" t="s">
        <v>1880</v>
      </c>
      <c r="G235" s="2" t="s">
        <v>7401</v>
      </c>
      <c r="H235" s="2" t="s">
        <v>232</v>
      </c>
      <c r="I235" s="4">
        <v>18587</v>
      </c>
      <c r="J235" s="4">
        <v>7040</v>
      </c>
      <c r="L235" s="31">
        <v>1985.42</v>
      </c>
      <c r="M235" s="32">
        <v>12.9</v>
      </c>
      <c r="N235" s="33">
        <v>9.4</v>
      </c>
    </row>
    <row r="236" spans="1:14" x14ac:dyDescent="0.25">
      <c r="A236" s="30">
        <v>1</v>
      </c>
      <c r="B236" s="2" t="s">
        <v>7398</v>
      </c>
      <c r="C236" s="2" t="s">
        <v>7399</v>
      </c>
      <c r="D236" s="2" t="s">
        <v>5644</v>
      </c>
      <c r="E236" s="5">
        <v>24</v>
      </c>
      <c r="F236" s="2" t="s">
        <v>1880</v>
      </c>
      <c r="G236" s="2" t="s">
        <v>7401</v>
      </c>
      <c r="H236" s="2" t="s">
        <v>233</v>
      </c>
      <c r="I236" s="4">
        <v>153</v>
      </c>
      <c r="J236" s="4">
        <v>80</v>
      </c>
      <c r="L236" s="31">
        <v>14.14</v>
      </c>
      <c r="M236" s="32">
        <v>16.5</v>
      </c>
      <c r="N236" s="33">
        <v>10.8</v>
      </c>
    </row>
    <row r="237" spans="1:14" x14ac:dyDescent="0.25">
      <c r="A237" s="30">
        <v>1</v>
      </c>
      <c r="B237" s="2" t="s">
        <v>7398</v>
      </c>
      <c r="C237" s="2" t="s">
        <v>7399</v>
      </c>
      <c r="D237" s="2" t="s">
        <v>5645</v>
      </c>
      <c r="E237" s="5">
        <v>24</v>
      </c>
      <c r="F237" s="2" t="s">
        <v>1880</v>
      </c>
      <c r="G237" s="2" t="s">
        <v>7401</v>
      </c>
      <c r="H237" s="2" t="s">
        <v>234</v>
      </c>
      <c r="I237" s="4">
        <v>17953</v>
      </c>
      <c r="J237" s="4">
        <v>13861</v>
      </c>
      <c r="L237" s="31">
        <v>3491.28</v>
      </c>
      <c r="M237" s="32">
        <v>9.1</v>
      </c>
      <c r="N237" s="33">
        <v>5.0999999999999996</v>
      </c>
    </row>
    <row r="238" spans="1:14" x14ac:dyDescent="0.25">
      <c r="A238" s="30">
        <v>1</v>
      </c>
      <c r="B238" s="2" t="s">
        <v>7398</v>
      </c>
      <c r="C238" s="2" t="s">
        <v>7399</v>
      </c>
      <c r="D238" s="2" t="s">
        <v>5646</v>
      </c>
      <c r="E238" s="5">
        <v>24</v>
      </c>
      <c r="F238" s="2" t="s">
        <v>1875</v>
      </c>
      <c r="G238" s="2" t="s">
        <v>7401</v>
      </c>
      <c r="H238" s="2" t="s">
        <v>235</v>
      </c>
      <c r="I238" s="4">
        <v>2155</v>
      </c>
      <c r="J238" s="4">
        <v>0</v>
      </c>
      <c r="L238" s="31">
        <v>200.14</v>
      </c>
      <c r="M238" s="32">
        <v>10.8</v>
      </c>
      <c r="N238" s="33">
        <v>10.8</v>
      </c>
    </row>
    <row r="239" spans="1:14" x14ac:dyDescent="0.25">
      <c r="A239" s="30">
        <v>1</v>
      </c>
      <c r="B239" s="2" t="s">
        <v>7398</v>
      </c>
      <c r="C239" s="2" t="s">
        <v>7399</v>
      </c>
      <c r="D239" s="2" t="s">
        <v>5647</v>
      </c>
      <c r="E239" s="5">
        <v>24</v>
      </c>
      <c r="F239" s="2" t="s">
        <v>1876</v>
      </c>
      <c r="G239" s="2" t="s">
        <v>7401</v>
      </c>
      <c r="H239" s="2" t="s">
        <v>236</v>
      </c>
      <c r="I239" s="4">
        <v>121</v>
      </c>
      <c r="J239" s="4">
        <v>0</v>
      </c>
      <c r="L239" s="31">
        <v>4.1399999999999997</v>
      </c>
      <c r="M239" s="32">
        <v>29.2</v>
      </c>
      <c r="N239" s="33">
        <v>29.2</v>
      </c>
    </row>
    <row r="240" spans="1:14" x14ac:dyDescent="0.25">
      <c r="A240" s="30">
        <v>1</v>
      </c>
      <c r="B240" s="2" t="s">
        <v>7398</v>
      </c>
      <c r="C240" s="2" t="s">
        <v>7399</v>
      </c>
      <c r="D240" s="2" t="s">
        <v>5648</v>
      </c>
      <c r="E240" s="5">
        <v>24</v>
      </c>
      <c r="F240" s="2" t="s">
        <v>1880</v>
      </c>
      <c r="G240" s="2" t="s">
        <v>7401</v>
      </c>
      <c r="H240" s="2" t="s">
        <v>237</v>
      </c>
      <c r="I240" s="4">
        <v>8648</v>
      </c>
      <c r="J240" s="4">
        <v>1760</v>
      </c>
      <c r="L240" s="31">
        <v>369.14</v>
      </c>
      <c r="M240" s="32">
        <v>28.2</v>
      </c>
      <c r="N240" s="33">
        <v>23.4</v>
      </c>
    </row>
    <row r="241" spans="1:14" x14ac:dyDescent="0.25">
      <c r="A241" s="30">
        <v>1</v>
      </c>
      <c r="B241" s="2" t="s">
        <v>7398</v>
      </c>
      <c r="C241" s="2" t="s">
        <v>7399</v>
      </c>
      <c r="D241" s="2" t="s">
        <v>5649</v>
      </c>
      <c r="E241" s="5">
        <v>24</v>
      </c>
      <c r="F241" s="2" t="s">
        <v>1875</v>
      </c>
      <c r="G241" s="2" t="s">
        <v>7401</v>
      </c>
      <c r="H241" s="2" t="s">
        <v>238</v>
      </c>
      <c r="I241" s="4">
        <v>119</v>
      </c>
      <c r="J241" s="4">
        <v>0</v>
      </c>
      <c r="L241" s="31">
        <v>17</v>
      </c>
      <c r="M241" s="32">
        <v>7</v>
      </c>
      <c r="N241" s="33">
        <v>7</v>
      </c>
    </row>
    <row r="242" spans="1:14" x14ac:dyDescent="0.25">
      <c r="A242" s="30">
        <v>1</v>
      </c>
      <c r="B242" s="2" t="s">
        <v>7398</v>
      </c>
      <c r="C242" s="2" t="s">
        <v>7399</v>
      </c>
      <c r="D242" s="2" t="s">
        <v>5650</v>
      </c>
      <c r="E242" s="5">
        <v>4</v>
      </c>
      <c r="F242" s="2" t="s">
        <v>1893</v>
      </c>
      <c r="G242" s="2" t="s">
        <v>7409</v>
      </c>
      <c r="H242" s="2" t="s">
        <v>239</v>
      </c>
      <c r="I242" s="4">
        <v>308</v>
      </c>
      <c r="J242" s="4">
        <v>0</v>
      </c>
      <c r="L242" s="31">
        <v>27.14</v>
      </c>
      <c r="M242" s="32">
        <v>11.3</v>
      </c>
      <c r="N242" s="33">
        <v>11.3</v>
      </c>
    </row>
    <row r="243" spans="1:14" x14ac:dyDescent="0.25">
      <c r="A243" s="30">
        <v>1</v>
      </c>
      <c r="B243" s="2" t="s">
        <v>7398</v>
      </c>
      <c r="C243" s="2" t="s">
        <v>7399</v>
      </c>
      <c r="D243" s="2" t="s">
        <v>5651</v>
      </c>
      <c r="E243" s="5">
        <v>12</v>
      </c>
      <c r="F243" s="2" t="s">
        <v>1877</v>
      </c>
      <c r="G243" s="2" t="s">
        <v>7401</v>
      </c>
      <c r="H243" s="2" t="s">
        <v>240</v>
      </c>
      <c r="I243" s="4">
        <v>390</v>
      </c>
      <c r="J243" s="4">
        <v>1840</v>
      </c>
      <c r="L243" s="31">
        <v>107.28</v>
      </c>
      <c r="M243" s="32">
        <v>20.8</v>
      </c>
      <c r="N243" s="33">
        <v>3.6</v>
      </c>
    </row>
    <row r="244" spans="1:14" x14ac:dyDescent="0.25">
      <c r="A244" s="30">
        <v>1</v>
      </c>
      <c r="B244" s="2" t="s">
        <v>7398</v>
      </c>
      <c r="C244" s="2" t="s">
        <v>7399</v>
      </c>
      <c r="D244" s="2" t="s">
        <v>5652</v>
      </c>
      <c r="E244" s="5">
        <v>24</v>
      </c>
      <c r="F244" s="2" t="s">
        <v>1880</v>
      </c>
      <c r="G244" s="2" t="s">
        <v>7401</v>
      </c>
      <c r="H244" s="2" t="s">
        <v>241</v>
      </c>
      <c r="I244" s="4">
        <v>2934</v>
      </c>
      <c r="J244" s="4">
        <v>1920</v>
      </c>
      <c r="L244" s="31">
        <v>396.85</v>
      </c>
      <c r="M244" s="32">
        <v>12.2</v>
      </c>
      <c r="N244" s="33">
        <v>7.4</v>
      </c>
    </row>
    <row r="245" spans="1:14" x14ac:dyDescent="0.25">
      <c r="A245" s="30">
        <v>1</v>
      </c>
      <c r="B245" s="2" t="s">
        <v>7398</v>
      </c>
      <c r="C245" s="2" t="s">
        <v>7399</v>
      </c>
      <c r="D245" s="2" t="s">
        <v>5653</v>
      </c>
      <c r="E245" s="5">
        <v>24</v>
      </c>
      <c r="F245" s="2" t="s">
        <v>1880</v>
      </c>
      <c r="G245" s="2" t="s">
        <v>7401</v>
      </c>
      <c r="H245" s="2" t="s">
        <v>242</v>
      </c>
      <c r="I245" s="4">
        <v>1667</v>
      </c>
      <c r="J245" s="4">
        <v>400</v>
      </c>
      <c r="L245" s="31">
        <v>125.28</v>
      </c>
      <c r="M245" s="32">
        <v>16.5</v>
      </c>
      <c r="N245" s="33">
        <v>13.3</v>
      </c>
    </row>
    <row r="246" spans="1:14" x14ac:dyDescent="0.25">
      <c r="A246" s="30">
        <v>1</v>
      </c>
      <c r="B246" s="2" t="s">
        <v>7398</v>
      </c>
      <c r="C246" s="2" t="s">
        <v>7399</v>
      </c>
      <c r="D246" s="2" t="s">
        <v>5654</v>
      </c>
      <c r="E246" s="5">
        <v>24</v>
      </c>
      <c r="F246" s="2" t="s">
        <v>1880</v>
      </c>
      <c r="G246" s="2" t="s">
        <v>7401</v>
      </c>
      <c r="H246" s="2" t="s">
        <v>243</v>
      </c>
      <c r="I246" s="4">
        <v>7919</v>
      </c>
      <c r="J246" s="4">
        <v>7040</v>
      </c>
      <c r="L246" s="31">
        <v>1105.1400000000001</v>
      </c>
      <c r="M246" s="32">
        <v>13.5</v>
      </c>
      <c r="N246" s="33">
        <v>7.2</v>
      </c>
    </row>
    <row r="247" spans="1:14" x14ac:dyDescent="0.25">
      <c r="A247" s="30">
        <v>1</v>
      </c>
      <c r="B247" s="2" t="s">
        <v>7398</v>
      </c>
      <c r="C247" s="2" t="s">
        <v>7399</v>
      </c>
      <c r="D247" s="2" t="s">
        <v>5655</v>
      </c>
      <c r="E247" s="5">
        <v>24</v>
      </c>
      <c r="F247" s="2" t="s">
        <v>1880</v>
      </c>
      <c r="G247" s="2" t="s">
        <v>7401</v>
      </c>
      <c r="H247" s="2" t="s">
        <v>244</v>
      </c>
      <c r="I247" s="4">
        <v>12785</v>
      </c>
      <c r="J247" s="4">
        <v>8800</v>
      </c>
      <c r="L247" s="31">
        <v>1198.8499999999999</v>
      </c>
      <c r="M247" s="32">
        <v>18</v>
      </c>
      <c r="N247" s="33">
        <v>10.7</v>
      </c>
    </row>
    <row r="248" spans="1:14" x14ac:dyDescent="0.25">
      <c r="A248" s="30">
        <v>1</v>
      </c>
      <c r="B248" s="2" t="s">
        <v>7398</v>
      </c>
      <c r="C248" s="2" t="s">
        <v>7399</v>
      </c>
      <c r="D248" s="2" t="s">
        <v>5656</v>
      </c>
      <c r="E248" s="5">
        <v>12</v>
      </c>
      <c r="F248" s="2" t="s">
        <v>1877</v>
      </c>
      <c r="G248" s="2" t="s">
        <v>7401</v>
      </c>
      <c r="H248" s="2" t="s">
        <v>245</v>
      </c>
      <c r="I248" s="4">
        <v>24</v>
      </c>
      <c r="J248" s="4">
        <v>0</v>
      </c>
      <c r="L248" s="31">
        <v>2.57</v>
      </c>
      <c r="M248" s="32">
        <v>9.3000000000000007</v>
      </c>
      <c r="N248" s="33">
        <v>9.3000000000000007</v>
      </c>
    </row>
    <row r="249" spans="1:14" x14ac:dyDescent="0.25">
      <c r="A249" s="30">
        <v>1</v>
      </c>
      <c r="B249" s="2" t="s">
        <v>7398</v>
      </c>
      <c r="C249" s="2" t="s">
        <v>7399</v>
      </c>
      <c r="D249" s="2" t="s">
        <v>5657</v>
      </c>
      <c r="E249" s="5">
        <v>24</v>
      </c>
      <c r="F249" s="2" t="s">
        <v>1875</v>
      </c>
      <c r="G249" s="2" t="s">
        <v>7401</v>
      </c>
      <c r="H249" s="2" t="s">
        <v>246</v>
      </c>
      <c r="I249" s="4">
        <v>357</v>
      </c>
      <c r="J249" s="4">
        <v>0</v>
      </c>
      <c r="L249" s="31">
        <v>42.42</v>
      </c>
      <c r="M249" s="32">
        <v>8.4</v>
      </c>
      <c r="N249" s="33">
        <v>8.4</v>
      </c>
    </row>
    <row r="250" spans="1:14" x14ac:dyDescent="0.25">
      <c r="A250" s="30">
        <v>1</v>
      </c>
      <c r="B250" s="2" t="s">
        <v>7398</v>
      </c>
      <c r="C250" s="2" t="s">
        <v>7399</v>
      </c>
      <c r="D250" s="2" t="s">
        <v>5658</v>
      </c>
      <c r="E250" s="5">
        <v>12</v>
      </c>
      <c r="F250" s="2" t="s">
        <v>1877</v>
      </c>
      <c r="G250" s="2" t="s">
        <v>7401</v>
      </c>
      <c r="H250" s="2" t="s">
        <v>247</v>
      </c>
      <c r="I250" s="4">
        <v>3556</v>
      </c>
      <c r="J250" s="4">
        <v>1840</v>
      </c>
      <c r="L250" s="31">
        <v>608.41999999999996</v>
      </c>
      <c r="M250" s="32">
        <v>8.9</v>
      </c>
      <c r="N250" s="33">
        <v>5.8</v>
      </c>
    </row>
    <row r="251" spans="1:14" x14ac:dyDescent="0.25">
      <c r="A251" s="30">
        <v>1</v>
      </c>
      <c r="B251" s="2" t="s">
        <v>7398</v>
      </c>
      <c r="C251" s="2" t="s">
        <v>7399</v>
      </c>
      <c r="D251" s="2" t="s">
        <v>5659</v>
      </c>
      <c r="E251" s="5">
        <v>24</v>
      </c>
      <c r="F251" s="2" t="s">
        <v>1880</v>
      </c>
      <c r="G251" s="2" t="s">
        <v>7401</v>
      </c>
      <c r="H251" s="2" t="s">
        <v>248</v>
      </c>
      <c r="I251" s="4">
        <v>5808</v>
      </c>
      <c r="J251" s="4">
        <v>3520</v>
      </c>
      <c r="L251" s="31">
        <v>560.41999999999996</v>
      </c>
      <c r="M251" s="32">
        <v>16.600000000000001</v>
      </c>
      <c r="N251" s="33">
        <v>10.4</v>
      </c>
    </row>
    <row r="252" spans="1:14" x14ac:dyDescent="0.25">
      <c r="A252" s="30">
        <v>1</v>
      </c>
      <c r="B252" s="2" t="s">
        <v>7398</v>
      </c>
      <c r="C252" s="2" t="s">
        <v>7399</v>
      </c>
      <c r="D252" s="2" t="s">
        <v>5660</v>
      </c>
      <c r="E252" s="5">
        <v>12</v>
      </c>
      <c r="F252" s="2" t="s">
        <v>1877</v>
      </c>
      <c r="G252" s="2" t="s">
        <v>7401</v>
      </c>
      <c r="H252" s="2" t="s">
        <v>249</v>
      </c>
      <c r="I252" s="4">
        <v>3127</v>
      </c>
      <c r="J252" s="4">
        <v>0</v>
      </c>
      <c r="L252" s="31">
        <v>217.14</v>
      </c>
      <c r="M252" s="32">
        <v>14.4</v>
      </c>
      <c r="N252" s="33">
        <v>14.4</v>
      </c>
    </row>
    <row r="253" spans="1:14" x14ac:dyDescent="0.25">
      <c r="A253" s="30">
        <v>1</v>
      </c>
      <c r="B253" s="2" t="s">
        <v>7398</v>
      </c>
      <c r="C253" s="2" t="s">
        <v>7399</v>
      </c>
      <c r="D253" s="2" t="s">
        <v>5661</v>
      </c>
      <c r="E253" s="5">
        <v>24</v>
      </c>
      <c r="F253" s="2" t="s">
        <v>1880</v>
      </c>
      <c r="G253" s="2" t="s">
        <v>7401</v>
      </c>
      <c r="H253" s="2" t="s">
        <v>250</v>
      </c>
      <c r="I253" s="4">
        <v>4839</v>
      </c>
      <c r="J253" s="4">
        <v>7040</v>
      </c>
      <c r="L253" s="31">
        <v>978.85</v>
      </c>
      <c r="M253" s="32">
        <v>12.1</v>
      </c>
      <c r="N253" s="33">
        <v>4.9000000000000004</v>
      </c>
    </row>
    <row r="254" spans="1:14" x14ac:dyDescent="0.25">
      <c r="A254" s="30">
        <v>1</v>
      </c>
      <c r="B254" s="2" t="s">
        <v>7398</v>
      </c>
      <c r="C254" s="2" t="s">
        <v>7399</v>
      </c>
      <c r="D254" s="2" t="s">
        <v>5662</v>
      </c>
      <c r="E254" s="5">
        <v>12</v>
      </c>
      <c r="F254" s="2" t="s">
        <v>1877</v>
      </c>
      <c r="G254" s="2" t="s">
        <v>7401</v>
      </c>
      <c r="H254" s="2" t="s">
        <v>251</v>
      </c>
      <c r="I254" s="4">
        <v>1615</v>
      </c>
      <c r="J254" s="4">
        <v>2080</v>
      </c>
      <c r="L254" s="31">
        <v>419.57</v>
      </c>
      <c r="M254" s="32">
        <v>8.8000000000000007</v>
      </c>
      <c r="N254" s="33">
        <v>3.8</v>
      </c>
    </row>
    <row r="255" spans="1:14" x14ac:dyDescent="0.25">
      <c r="A255" s="30">
        <v>1</v>
      </c>
      <c r="B255" s="2" t="s">
        <v>7398</v>
      </c>
      <c r="C255" s="2" t="s">
        <v>7399</v>
      </c>
      <c r="D255" s="2" t="s">
        <v>5663</v>
      </c>
      <c r="E255" s="5">
        <v>24</v>
      </c>
      <c r="F255" s="2" t="s">
        <v>1880</v>
      </c>
      <c r="G255" s="2" t="s">
        <v>7401</v>
      </c>
      <c r="H255" s="2" t="s">
        <v>252</v>
      </c>
      <c r="I255" s="4">
        <v>831</v>
      </c>
      <c r="J255" s="4">
        <v>240</v>
      </c>
      <c r="L255" s="31">
        <v>66</v>
      </c>
      <c r="M255" s="32">
        <v>16.2</v>
      </c>
      <c r="N255" s="33">
        <v>12.6</v>
      </c>
    </row>
    <row r="256" spans="1:14" x14ac:dyDescent="0.25">
      <c r="A256" s="30">
        <v>1</v>
      </c>
      <c r="B256" s="2" t="s">
        <v>7398</v>
      </c>
      <c r="C256" s="2" t="s">
        <v>7399</v>
      </c>
      <c r="D256" s="2" t="s">
        <v>5664</v>
      </c>
      <c r="E256" s="5">
        <v>12</v>
      </c>
      <c r="F256" s="2" t="s">
        <v>1877</v>
      </c>
      <c r="G256" s="2" t="s">
        <v>7401</v>
      </c>
      <c r="H256" s="2" t="s">
        <v>253</v>
      </c>
      <c r="I256" s="4">
        <v>1109</v>
      </c>
      <c r="J256" s="4">
        <v>0</v>
      </c>
      <c r="L256" s="31">
        <v>101.42</v>
      </c>
      <c r="M256" s="32">
        <v>10.9</v>
      </c>
      <c r="N256" s="33">
        <v>10.9</v>
      </c>
    </row>
    <row r="257" spans="1:14" x14ac:dyDescent="0.25">
      <c r="A257" s="30">
        <v>1</v>
      </c>
      <c r="B257" s="2" t="s">
        <v>7398</v>
      </c>
      <c r="C257" s="2" t="s">
        <v>7399</v>
      </c>
      <c r="D257" s="2" t="s">
        <v>5665</v>
      </c>
      <c r="E257" s="5">
        <v>6</v>
      </c>
      <c r="F257" s="2" t="s">
        <v>1894</v>
      </c>
      <c r="G257" s="2" t="s">
        <v>7401</v>
      </c>
      <c r="H257" s="2" t="s">
        <v>254</v>
      </c>
      <c r="I257" s="4">
        <v>80</v>
      </c>
      <c r="J257" s="4">
        <v>0</v>
      </c>
      <c r="L257" s="31">
        <v>3.57</v>
      </c>
      <c r="M257" s="32">
        <v>22.4</v>
      </c>
      <c r="N257" s="33">
        <v>22.4</v>
      </c>
    </row>
    <row r="258" spans="1:14" x14ac:dyDescent="0.25">
      <c r="A258" s="30">
        <v>1</v>
      </c>
      <c r="B258" s="2" t="s">
        <v>7398</v>
      </c>
      <c r="C258" s="2" t="s">
        <v>7399</v>
      </c>
      <c r="D258" s="2" t="s">
        <v>5666</v>
      </c>
      <c r="E258" s="5">
        <v>6</v>
      </c>
      <c r="F258" s="2" t="s">
        <v>1894</v>
      </c>
      <c r="G258" s="2" t="s">
        <v>7401</v>
      </c>
      <c r="H258" s="2" t="s">
        <v>255</v>
      </c>
      <c r="I258" s="4">
        <v>384</v>
      </c>
      <c r="J258" s="4">
        <v>448</v>
      </c>
      <c r="L258" s="31">
        <v>61.14</v>
      </c>
      <c r="M258" s="32">
        <v>13.6</v>
      </c>
      <c r="N258" s="33">
        <v>6.3</v>
      </c>
    </row>
    <row r="259" spans="1:14" x14ac:dyDescent="0.25">
      <c r="A259" s="30">
        <v>1</v>
      </c>
      <c r="B259" s="2" t="s">
        <v>7398</v>
      </c>
      <c r="C259" s="2" t="s">
        <v>7399</v>
      </c>
      <c r="D259" s="2" t="s">
        <v>5667</v>
      </c>
      <c r="E259" s="5">
        <v>6</v>
      </c>
      <c r="F259" s="2" t="s">
        <v>1894</v>
      </c>
      <c r="G259" s="2" t="s">
        <v>7401</v>
      </c>
      <c r="H259" s="2" t="s">
        <v>256</v>
      </c>
      <c r="I259" s="4">
        <v>530</v>
      </c>
      <c r="J259" s="4">
        <v>448</v>
      </c>
      <c r="L259" s="31">
        <v>60.14</v>
      </c>
      <c r="M259" s="32">
        <v>16.3</v>
      </c>
      <c r="N259" s="33">
        <v>8.8000000000000007</v>
      </c>
    </row>
    <row r="260" spans="1:14" x14ac:dyDescent="0.25">
      <c r="A260" s="30">
        <v>1</v>
      </c>
      <c r="B260" s="2" t="s">
        <v>7398</v>
      </c>
      <c r="C260" s="2" t="s">
        <v>7399</v>
      </c>
      <c r="D260" s="2" t="s">
        <v>5668</v>
      </c>
      <c r="E260" s="5">
        <v>24</v>
      </c>
      <c r="F260" s="2" t="s">
        <v>1880</v>
      </c>
      <c r="G260" s="2" t="s">
        <v>7401</v>
      </c>
      <c r="H260" s="2" t="s">
        <v>257</v>
      </c>
      <c r="I260" s="4">
        <v>3655</v>
      </c>
      <c r="J260" s="4">
        <v>960</v>
      </c>
      <c r="L260" s="31">
        <v>303.27999999999997</v>
      </c>
      <c r="M260" s="32">
        <v>15.2</v>
      </c>
      <c r="N260" s="33">
        <v>12.1</v>
      </c>
    </row>
    <row r="261" spans="1:14" x14ac:dyDescent="0.25">
      <c r="A261" s="30">
        <v>1</v>
      </c>
      <c r="B261" s="2" t="s">
        <v>7398</v>
      </c>
      <c r="C261" s="2" t="s">
        <v>7399</v>
      </c>
      <c r="D261" s="2" t="s">
        <v>5669</v>
      </c>
      <c r="E261" s="5">
        <v>6</v>
      </c>
      <c r="F261" s="2" t="s">
        <v>1894</v>
      </c>
      <c r="G261" s="2" t="s">
        <v>7401</v>
      </c>
      <c r="H261" s="2" t="s">
        <v>258</v>
      </c>
      <c r="I261" s="4">
        <v>352</v>
      </c>
      <c r="J261" s="4">
        <v>336</v>
      </c>
      <c r="L261" s="31">
        <v>54</v>
      </c>
      <c r="M261" s="32">
        <v>12.7</v>
      </c>
      <c r="N261" s="33">
        <v>6.5</v>
      </c>
    </row>
    <row r="262" spans="1:14" x14ac:dyDescent="0.25">
      <c r="A262" s="30">
        <v>1</v>
      </c>
      <c r="B262" s="2" t="s">
        <v>7398</v>
      </c>
      <c r="C262" s="2" t="s">
        <v>7399</v>
      </c>
      <c r="D262" s="2" t="s">
        <v>5670</v>
      </c>
      <c r="E262" s="5">
        <v>24</v>
      </c>
      <c r="F262" s="2" t="s">
        <v>1880</v>
      </c>
      <c r="G262" s="2" t="s">
        <v>7401</v>
      </c>
      <c r="H262" s="2" t="s">
        <v>259</v>
      </c>
      <c r="I262" s="4">
        <v>2369</v>
      </c>
      <c r="J262" s="4">
        <v>0</v>
      </c>
      <c r="L262" s="31">
        <v>188.57</v>
      </c>
      <c r="M262" s="32">
        <v>12.6</v>
      </c>
      <c r="N262" s="33">
        <v>12.6</v>
      </c>
    </row>
    <row r="263" spans="1:14" x14ac:dyDescent="0.25">
      <c r="A263" s="30">
        <v>1</v>
      </c>
      <c r="B263" s="2" t="s">
        <v>7398</v>
      </c>
      <c r="C263" s="2" t="s">
        <v>7399</v>
      </c>
      <c r="D263" s="2" t="s">
        <v>5671</v>
      </c>
      <c r="E263" s="5">
        <v>6</v>
      </c>
      <c r="F263" s="2" t="s">
        <v>1894</v>
      </c>
      <c r="G263" s="2" t="s">
        <v>7401</v>
      </c>
      <c r="H263" s="2" t="s">
        <v>260</v>
      </c>
      <c r="I263" s="4">
        <v>1013</v>
      </c>
      <c r="J263" s="4">
        <v>3136</v>
      </c>
      <c r="L263" s="31">
        <v>327</v>
      </c>
      <c r="M263" s="32">
        <v>12.7</v>
      </c>
      <c r="N263" s="33">
        <v>3.1</v>
      </c>
    </row>
    <row r="264" spans="1:14" x14ac:dyDescent="0.25">
      <c r="A264" s="30">
        <v>1</v>
      </c>
      <c r="B264" s="2" t="s">
        <v>7398</v>
      </c>
      <c r="C264" s="2" t="s">
        <v>7399</v>
      </c>
      <c r="D264" s="2" t="s">
        <v>5672</v>
      </c>
      <c r="E264" s="5">
        <v>6</v>
      </c>
      <c r="F264" s="2" t="s">
        <v>1894</v>
      </c>
      <c r="G264" s="2" t="s">
        <v>7401</v>
      </c>
      <c r="H264" s="2" t="s">
        <v>261</v>
      </c>
      <c r="I264" s="4">
        <v>1344</v>
      </c>
      <c r="J264" s="4">
        <v>1008</v>
      </c>
      <c r="L264" s="31">
        <v>214.14</v>
      </c>
      <c r="M264" s="32">
        <v>11</v>
      </c>
      <c r="N264" s="33">
        <v>6.3</v>
      </c>
    </row>
    <row r="265" spans="1:14" x14ac:dyDescent="0.25">
      <c r="A265" s="30">
        <v>1</v>
      </c>
      <c r="B265" s="2" t="s">
        <v>7398</v>
      </c>
      <c r="C265" s="2" t="s">
        <v>7399</v>
      </c>
      <c r="D265" s="2" t="s">
        <v>5673</v>
      </c>
      <c r="E265" s="5">
        <v>24</v>
      </c>
      <c r="F265" s="2" t="s">
        <v>1880</v>
      </c>
      <c r="G265" s="2" t="s">
        <v>7401</v>
      </c>
      <c r="H265" s="2" t="s">
        <v>262</v>
      </c>
      <c r="I265" s="4">
        <v>943</v>
      </c>
      <c r="J265" s="4">
        <v>960</v>
      </c>
      <c r="L265" s="31">
        <v>108.42</v>
      </c>
      <c r="M265" s="32">
        <v>17.600000000000001</v>
      </c>
      <c r="N265" s="33">
        <v>8.6999999999999993</v>
      </c>
    </row>
    <row r="266" spans="1:14" x14ac:dyDescent="0.25">
      <c r="A266" s="30">
        <v>1</v>
      </c>
      <c r="B266" s="2" t="s">
        <v>7398</v>
      </c>
      <c r="C266" s="2" t="s">
        <v>7399</v>
      </c>
      <c r="D266" s="2" t="s">
        <v>5674</v>
      </c>
      <c r="E266" s="5">
        <v>24</v>
      </c>
      <c r="F266" s="2" t="s">
        <v>1880</v>
      </c>
      <c r="G266" s="2" t="s">
        <v>7401</v>
      </c>
      <c r="H266" s="2" t="s">
        <v>263</v>
      </c>
      <c r="I266" s="4">
        <v>2963</v>
      </c>
      <c r="J266" s="4">
        <v>0</v>
      </c>
      <c r="L266" s="31">
        <v>155</v>
      </c>
      <c r="M266" s="32">
        <v>19.100000000000001</v>
      </c>
      <c r="N266" s="33">
        <v>19.100000000000001</v>
      </c>
    </row>
    <row r="267" spans="1:14" x14ac:dyDescent="0.25">
      <c r="A267" s="30">
        <v>1</v>
      </c>
      <c r="B267" s="2" t="s">
        <v>7398</v>
      </c>
      <c r="C267" s="2" t="s">
        <v>7399</v>
      </c>
      <c r="D267" s="2" t="s">
        <v>5675</v>
      </c>
      <c r="E267" s="5">
        <v>12</v>
      </c>
      <c r="F267" s="2" t="s">
        <v>1877</v>
      </c>
      <c r="G267" s="2" t="s">
        <v>7401</v>
      </c>
      <c r="H267" s="2" t="s">
        <v>264</v>
      </c>
      <c r="I267" s="4">
        <v>10955</v>
      </c>
      <c r="J267" s="4">
        <v>11520</v>
      </c>
      <c r="L267" s="31">
        <v>2140</v>
      </c>
      <c r="M267" s="32">
        <v>10.5</v>
      </c>
      <c r="N267" s="33">
        <v>5.0999999999999996</v>
      </c>
    </row>
    <row r="268" spans="1:14" x14ac:dyDescent="0.25">
      <c r="A268" s="30">
        <v>1</v>
      </c>
      <c r="B268" s="2" t="s">
        <v>7398</v>
      </c>
      <c r="C268" s="2" t="s">
        <v>7399</v>
      </c>
      <c r="D268" s="2" t="s">
        <v>5676</v>
      </c>
      <c r="E268" s="5">
        <v>24</v>
      </c>
      <c r="F268" s="2" t="s">
        <v>1880</v>
      </c>
      <c r="G268" s="2" t="s">
        <v>7401</v>
      </c>
      <c r="H268" s="2" t="s">
        <v>265</v>
      </c>
      <c r="I268" s="4">
        <v>51607</v>
      </c>
      <c r="J268" s="4">
        <v>29920</v>
      </c>
      <c r="L268" s="31">
        <v>5158.42</v>
      </c>
      <c r="M268" s="32">
        <v>15.8</v>
      </c>
      <c r="N268" s="33">
        <v>10</v>
      </c>
    </row>
    <row r="269" spans="1:14" x14ac:dyDescent="0.25">
      <c r="A269" s="30">
        <v>1</v>
      </c>
      <c r="B269" s="2" t="s">
        <v>7398</v>
      </c>
      <c r="C269" s="2" t="s">
        <v>7399</v>
      </c>
      <c r="D269" s="2" t="s">
        <v>5677</v>
      </c>
      <c r="E269" s="5">
        <v>24</v>
      </c>
      <c r="F269" s="2" t="s">
        <v>1875</v>
      </c>
      <c r="G269" s="2" t="s">
        <v>7401</v>
      </c>
      <c r="H269" s="2" t="s">
        <v>266</v>
      </c>
      <c r="I269" s="4">
        <v>135</v>
      </c>
      <c r="J269" s="4">
        <v>0</v>
      </c>
      <c r="L269" s="31">
        <v>10.14</v>
      </c>
      <c r="M269" s="32">
        <v>13.3</v>
      </c>
      <c r="N269" s="33">
        <v>13.3</v>
      </c>
    </row>
    <row r="270" spans="1:14" x14ac:dyDescent="0.25">
      <c r="A270" s="30">
        <v>1</v>
      </c>
      <c r="B270" s="2" t="s">
        <v>7398</v>
      </c>
      <c r="C270" s="2" t="s">
        <v>7399</v>
      </c>
      <c r="D270" s="2" t="s">
        <v>5678</v>
      </c>
      <c r="E270" s="5">
        <v>24</v>
      </c>
      <c r="F270" s="2" t="s">
        <v>1895</v>
      </c>
      <c r="G270" s="2" t="s">
        <v>7409</v>
      </c>
      <c r="H270" s="2" t="s">
        <v>267</v>
      </c>
      <c r="I270" s="4">
        <v>0</v>
      </c>
      <c r="J270" s="4">
        <v>0</v>
      </c>
      <c r="L270" s="31">
        <v>0</v>
      </c>
      <c r="M270" s="32">
        <v>0</v>
      </c>
      <c r="N270" s="33">
        <v>9999</v>
      </c>
    </row>
    <row r="271" spans="1:14" x14ac:dyDescent="0.25">
      <c r="A271" s="30">
        <v>1</v>
      </c>
      <c r="B271" s="2" t="s">
        <v>7398</v>
      </c>
      <c r="C271" s="2" t="s">
        <v>7399</v>
      </c>
      <c r="D271" s="2" t="s">
        <v>5679</v>
      </c>
      <c r="E271" s="5">
        <v>24</v>
      </c>
      <c r="F271" s="2" t="s">
        <v>1875</v>
      </c>
      <c r="G271" s="2" t="s">
        <v>7401</v>
      </c>
      <c r="H271" s="2" t="s">
        <v>268</v>
      </c>
      <c r="I271" s="4">
        <v>2796</v>
      </c>
      <c r="J271" s="4">
        <v>0</v>
      </c>
      <c r="L271" s="31">
        <v>355.85</v>
      </c>
      <c r="M271" s="32">
        <v>7.9</v>
      </c>
      <c r="N271" s="33">
        <v>7.9</v>
      </c>
    </row>
    <row r="272" spans="1:14" x14ac:dyDescent="0.25">
      <c r="A272" s="30">
        <v>1</v>
      </c>
      <c r="B272" s="2" t="s">
        <v>7398</v>
      </c>
      <c r="C272" s="2" t="s">
        <v>7399</v>
      </c>
      <c r="D272" s="2" t="s">
        <v>5680</v>
      </c>
      <c r="E272" s="5">
        <v>24</v>
      </c>
      <c r="F272" s="2" t="s">
        <v>1849</v>
      </c>
      <c r="G272" s="2" t="s">
        <v>7409</v>
      </c>
      <c r="H272" s="2" t="s">
        <v>269</v>
      </c>
      <c r="I272" s="4">
        <v>1247</v>
      </c>
      <c r="J272" s="4">
        <v>0</v>
      </c>
      <c r="L272" s="31">
        <v>116.85</v>
      </c>
      <c r="M272" s="32">
        <v>11.1</v>
      </c>
      <c r="N272" s="33">
        <v>10.7</v>
      </c>
    </row>
    <row r="273" spans="1:14" x14ac:dyDescent="0.25">
      <c r="A273" s="30">
        <v>1</v>
      </c>
      <c r="B273" s="2" t="s">
        <v>7398</v>
      </c>
      <c r="C273" s="2" t="s">
        <v>7399</v>
      </c>
      <c r="D273" s="2" t="s">
        <v>5681</v>
      </c>
      <c r="E273" s="5">
        <v>24</v>
      </c>
      <c r="F273" s="2" t="s">
        <v>1849</v>
      </c>
      <c r="G273" s="2" t="s">
        <v>7409</v>
      </c>
      <c r="H273" s="2" t="s">
        <v>270</v>
      </c>
      <c r="I273" s="4">
        <v>7798</v>
      </c>
      <c r="J273" s="4">
        <v>0</v>
      </c>
      <c r="L273" s="31">
        <v>935.42</v>
      </c>
      <c r="M273" s="32">
        <v>8.3000000000000007</v>
      </c>
      <c r="N273" s="33">
        <v>8.3000000000000007</v>
      </c>
    </row>
    <row r="274" spans="1:14" x14ac:dyDescent="0.25">
      <c r="A274" s="30">
        <v>1</v>
      </c>
      <c r="B274" s="2" t="s">
        <v>7398</v>
      </c>
      <c r="C274" s="2" t="s">
        <v>7399</v>
      </c>
      <c r="D274" s="2" t="s">
        <v>5682</v>
      </c>
      <c r="E274" s="5">
        <v>24</v>
      </c>
      <c r="F274" s="2" t="s">
        <v>1849</v>
      </c>
      <c r="G274" s="2" t="s">
        <v>7409</v>
      </c>
      <c r="H274" s="2" t="s">
        <v>271</v>
      </c>
      <c r="I274" s="4">
        <v>6119</v>
      </c>
      <c r="J274" s="4">
        <v>0</v>
      </c>
      <c r="L274" s="31">
        <v>663</v>
      </c>
      <c r="M274" s="32">
        <v>9.1999999999999993</v>
      </c>
      <c r="N274" s="33">
        <v>9.1999999999999993</v>
      </c>
    </row>
    <row r="275" spans="1:14" x14ac:dyDescent="0.25">
      <c r="A275" s="30">
        <v>1</v>
      </c>
      <c r="B275" s="2" t="s">
        <v>7398</v>
      </c>
      <c r="C275" s="2" t="s">
        <v>7399</v>
      </c>
      <c r="D275" s="2" t="s">
        <v>5683</v>
      </c>
      <c r="E275" s="5">
        <v>24</v>
      </c>
      <c r="F275" s="2" t="s">
        <v>1849</v>
      </c>
      <c r="G275" s="2" t="s">
        <v>7409</v>
      </c>
      <c r="H275" s="2" t="s">
        <v>272</v>
      </c>
      <c r="I275" s="4">
        <v>1171</v>
      </c>
      <c r="J275" s="4">
        <v>0</v>
      </c>
      <c r="L275" s="31">
        <v>117.14</v>
      </c>
      <c r="M275" s="32">
        <v>10</v>
      </c>
      <c r="N275" s="33">
        <v>10</v>
      </c>
    </row>
    <row r="276" spans="1:14" x14ac:dyDescent="0.25">
      <c r="A276" s="30">
        <v>1</v>
      </c>
      <c r="B276" s="2" t="s">
        <v>7398</v>
      </c>
      <c r="C276" s="2" t="s">
        <v>7399</v>
      </c>
      <c r="D276" s="2" t="s">
        <v>5684</v>
      </c>
      <c r="E276" s="5">
        <v>24</v>
      </c>
      <c r="F276" s="2" t="s">
        <v>1849</v>
      </c>
      <c r="G276" s="2" t="s">
        <v>7409</v>
      </c>
      <c r="H276" s="2" t="s">
        <v>273</v>
      </c>
      <c r="I276" s="4">
        <v>5410</v>
      </c>
      <c r="J276" s="4">
        <v>0</v>
      </c>
      <c r="L276" s="31">
        <v>356.28</v>
      </c>
      <c r="M276" s="32">
        <v>15.2</v>
      </c>
      <c r="N276" s="33">
        <v>15.2</v>
      </c>
    </row>
    <row r="277" spans="1:14" x14ac:dyDescent="0.25">
      <c r="A277" s="30">
        <v>1</v>
      </c>
      <c r="B277" s="2" t="s">
        <v>7398</v>
      </c>
      <c r="C277" s="2" t="s">
        <v>7399</v>
      </c>
      <c r="D277" s="2" t="s">
        <v>5685</v>
      </c>
      <c r="E277" s="5">
        <v>24</v>
      </c>
      <c r="F277" s="2" t="s">
        <v>1849</v>
      </c>
      <c r="G277" s="2" t="s">
        <v>7409</v>
      </c>
      <c r="H277" s="2" t="s">
        <v>274</v>
      </c>
      <c r="I277" s="4">
        <v>1502</v>
      </c>
      <c r="J277" s="4">
        <v>0</v>
      </c>
      <c r="L277" s="31">
        <v>149</v>
      </c>
      <c r="M277" s="32">
        <v>10.1</v>
      </c>
      <c r="N277" s="33">
        <v>10.1</v>
      </c>
    </row>
    <row r="278" spans="1:14" x14ac:dyDescent="0.25">
      <c r="A278" s="30">
        <v>1</v>
      </c>
      <c r="B278" s="2" t="s">
        <v>7398</v>
      </c>
      <c r="C278" s="2" t="s">
        <v>7399</v>
      </c>
      <c r="D278" s="2" t="s">
        <v>5686</v>
      </c>
      <c r="E278" s="5">
        <v>24</v>
      </c>
      <c r="F278" s="2" t="s">
        <v>1849</v>
      </c>
      <c r="G278" s="2" t="s">
        <v>7409</v>
      </c>
      <c r="H278" s="2" t="s">
        <v>275</v>
      </c>
      <c r="I278" s="4">
        <v>11723</v>
      </c>
      <c r="J278" s="4">
        <v>0</v>
      </c>
      <c r="L278" s="31">
        <v>2224.2800000000002</v>
      </c>
      <c r="M278" s="32">
        <v>5.3</v>
      </c>
      <c r="N278" s="33">
        <v>5.3</v>
      </c>
    </row>
    <row r="279" spans="1:14" x14ac:dyDescent="0.25">
      <c r="A279" s="30">
        <v>1</v>
      </c>
      <c r="B279" s="2" t="s">
        <v>7398</v>
      </c>
      <c r="C279" s="2" t="s">
        <v>7399</v>
      </c>
      <c r="D279" s="2" t="s">
        <v>5687</v>
      </c>
      <c r="E279" s="5">
        <v>24</v>
      </c>
      <c r="F279" s="2" t="s">
        <v>1849</v>
      </c>
      <c r="G279" s="2" t="s">
        <v>7409</v>
      </c>
      <c r="H279" s="2" t="s">
        <v>276</v>
      </c>
      <c r="I279" s="4">
        <v>4457</v>
      </c>
      <c r="J279" s="4">
        <v>0</v>
      </c>
      <c r="L279" s="31">
        <v>360.85</v>
      </c>
      <c r="M279" s="32">
        <v>12.4</v>
      </c>
      <c r="N279" s="33">
        <v>12.4</v>
      </c>
    </row>
    <row r="280" spans="1:14" x14ac:dyDescent="0.25">
      <c r="A280" s="30">
        <v>1</v>
      </c>
      <c r="B280" s="2" t="s">
        <v>7398</v>
      </c>
      <c r="C280" s="2" t="s">
        <v>7399</v>
      </c>
      <c r="D280" s="2" t="s">
        <v>5688</v>
      </c>
      <c r="E280" s="5">
        <v>24</v>
      </c>
      <c r="F280" s="2" t="s">
        <v>1849</v>
      </c>
      <c r="G280" s="2" t="s">
        <v>7409</v>
      </c>
      <c r="H280" s="2" t="s">
        <v>277</v>
      </c>
      <c r="I280" s="4">
        <v>5782</v>
      </c>
      <c r="J280" s="4">
        <v>0</v>
      </c>
      <c r="L280" s="31">
        <v>562.41999999999996</v>
      </c>
      <c r="M280" s="32">
        <v>10.3</v>
      </c>
      <c r="N280" s="33">
        <v>10.3</v>
      </c>
    </row>
    <row r="281" spans="1:14" x14ac:dyDescent="0.25">
      <c r="A281" s="30">
        <v>1</v>
      </c>
      <c r="B281" s="2" t="s">
        <v>7398</v>
      </c>
      <c r="C281" s="2" t="s">
        <v>7399</v>
      </c>
      <c r="D281" s="2" t="s">
        <v>5689</v>
      </c>
      <c r="E281" s="5">
        <v>24</v>
      </c>
      <c r="F281" s="2" t="s">
        <v>1849</v>
      </c>
      <c r="G281" s="2" t="s">
        <v>7409</v>
      </c>
      <c r="H281" s="2" t="s">
        <v>278</v>
      </c>
      <c r="I281" s="4">
        <v>14331</v>
      </c>
      <c r="J281" s="4">
        <v>0</v>
      </c>
      <c r="L281" s="31">
        <v>2596.85</v>
      </c>
      <c r="M281" s="32">
        <v>5.5</v>
      </c>
      <c r="N281" s="33">
        <v>5.5</v>
      </c>
    </row>
    <row r="282" spans="1:14" x14ac:dyDescent="0.25">
      <c r="A282" s="30">
        <v>1</v>
      </c>
      <c r="B282" s="2" t="s">
        <v>7398</v>
      </c>
      <c r="C282" s="2" t="s">
        <v>7399</v>
      </c>
      <c r="D282" s="2" t="s">
        <v>5690</v>
      </c>
      <c r="E282" s="5">
        <v>24</v>
      </c>
      <c r="F282" s="2" t="s">
        <v>1849</v>
      </c>
      <c r="G282" s="2" t="s">
        <v>7409</v>
      </c>
      <c r="H282" s="2" t="s">
        <v>279</v>
      </c>
      <c r="I282" s="4">
        <v>2305</v>
      </c>
      <c r="J282" s="4">
        <v>0</v>
      </c>
      <c r="L282" s="31">
        <v>1232.42</v>
      </c>
      <c r="M282" s="32">
        <v>1.9</v>
      </c>
      <c r="N282" s="33">
        <v>1.9</v>
      </c>
    </row>
    <row r="283" spans="1:14" x14ac:dyDescent="0.25">
      <c r="A283" s="30">
        <v>1</v>
      </c>
      <c r="B283" s="2" t="s">
        <v>7398</v>
      </c>
      <c r="C283" s="2" t="s">
        <v>7399</v>
      </c>
      <c r="D283" s="2" t="s">
        <v>5691</v>
      </c>
      <c r="E283" s="5">
        <v>24</v>
      </c>
      <c r="F283" s="2" t="s">
        <v>1849</v>
      </c>
      <c r="G283" s="2" t="s">
        <v>7409</v>
      </c>
      <c r="H283" s="2" t="s">
        <v>280</v>
      </c>
      <c r="I283" s="4">
        <v>1327</v>
      </c>
      <c r="J283" s="4">
        <v>0</v>
      </c>
      <c r="L283" s="31">
        <v>179.85</v>
      </c>
      <c r="M283" s="32">
        <v>7.4</v>
      </c>
      <c r="N283" s="33">
        <v>7.4</v>
      </c>
    </row>
    <row r="284" spans="1:14" x14ac:dyDescent="0.25">
      <c r="A284" s="30">
        <v>1</v>
      </c>
      <c r="B284" s="2" t="s">
        <v>7398</v>
      </c>
      <c r="C284" s="2" t="s">
        <v>7399</v>
      </c>
      <c r="D284" s="2" t="s">
        <v>5692</v>
      </c>
      <c r="E284" s="5">
        <v>24</v>
      </c>
      <c r="F284" s="2" t="s">
        <v>1849</v>
      </c>
      <c r="G284" s="2" t="s">
        <v>7409</v>
      </c>
      <c r="H284" s="2" t="s">
        <v>281</v>
      </c>
      <c r="I284" s="4">
        <v>1720</v>
      </c>
      <c r="J284" s="4">
        <v>0</v>
      </c>
      <c r="L284" s="31">
        <v>127.14</v>
      </c>
      <c r="M284" s="32">
        <v>18.2</v>
      </c>
      <c r="N284" s="33">
        <v>13.5</v>
      </c>
    </row>
    <row r="285" spans="1:14" x14ac:dyDescent="0.25">
      <c r="A285" s="30">
        <v>1</v>
      </c>
      <c r="B285" s="2" t="s">
        <v>7398</v>
      </c>
      <c r="C285" s="2" t="s">
        <v>7399</v>
      </c>
      <c r="D285" s="2" t="s">
        <v>5693</v>
      </c>
      <c r="E285" s="5">
        <v>24</v>
      </c>
      <c r="F285" s="2" t="s">
        <v>1849</v>
      </c>
      <c r="G285" s="2" t="s">
        <v>7409</v>
      </c>
      <c r="H285" s="2" t="s">
        <v>282</v>
      </c>
      <c r="I285" s="4">
        <v>9228</v>
      </c>
      <c r="J285" s="4">
        <v>0</v>
      </c>
      <c r="L285" s="31">
        <v>892.71</v>
      </c>
      <c r="M285" s="32">
        <v>10.3</v>
      </c>
      <c r="N285" s="33">
        <v>10.3</v>
      </c>
    </row>
    <row r="286" spans="1:14" x14ac:dyDescent="0.25">
      <c r="A286" s="30">
        <v>1</v>
      </c>
      <c r="B286" s="2" t="s">
        <v>7398</v>
      </c>
      <c r="C286" s="2" t="s">
        <v>7399</v>
      </c>
      <c r="D286" s="2" t="s">
        <v>5694</v>
      </c>
      <c r="E286" s="5">
        <v>24</v>
      </c>
      <c r="F286" s="2" t="s">
        <v>1849</v>
      </c>
      <c r="G286" s="2" t="s">
        <v>7409</v>
      </c>
      <c r="H286" s="2" t="s">
        <v>283</v>
      </c>
      <c r="I286" s="4">
        <v>1110</v>
      </c>
      <c r="J286" s="4">
        <v>0</v>
      </c>
      <c r="L286" s="31">
        <v>54.57</v>
      </c>
      <c r="M286" s="32">
        <v>20.3</v>
      </c>
      <c r="N286" s="33">
        <v>20.3</v>
      </c>
    </row>
    <row r="287" spans="1:14" x14ac:dyDescent="0.25">
      <c r="A287" s="30">
        <v>1</v>
      </c>
      <c r="B287" s="2" t="s">
        <v>7398</v>
      </c>
      <c r="C287" s="2" t="s">
        <v>7399</v>
      </c>
      <c r="D287" s="2" t="s">
        <v>5695</v>
      </c>
      <c r="E287" s="5">
        <v>24</v>
      </c>
      <c r="F287" s="2" t="s">
        <v>1849</v>
      </c>
      <c r="G287" s="2" t="s">
        <v>7409</v>
      </c>
      <c r="H287" s="2" t="s">
        <v>284</v>
      </c>
      <c r="I287" s="4">
        <v>2208</v>
      </c>
      <c r="J287" s="4">
        <v>0</v>
      </c>
      <c r="L287" s="31">
        <v>243.42</v>
      </c>
      <c r="M287" s="32">
        <v>10.5</v>
      </c>
      <c r="N287" s="33">
        <v>9.1</v>
      </c>
    </row>
    <row r="288" spans="1:14" x14ac:dyDescent="0.25">
      <c r="A288" s="30">
        <v>1</v>
      </c>
      <c r="B288" s="2" t="s">
        <v>7398</v>
      </c>
      <c r="C288" s="2" t="s">
        <v>7399</v>
      </c>
      <c r="D288" s="2" t="s">
        <v>5696</v>
      </c>
      <c r="E288" s="5">
        <v>24</v>
      </c>
      <c r="F288" s="2" t="s">
        <v>1849</v>
      </c>
      <c r="G288" s="2" t="s">
        <v>7409</v>
      </c>
      <c r="H288" s="2" t="s">
        <v>285</v>
      </c>
      <c r="I288" s="4">
        <v>5326</v>
      </c>
      <c r="J288" s="4">
        <v>0</v>
      </c>
      <c r="L288" s="31">
        <v>609.41999999999996</v>
      </c>
      <c r="M288" s="32">
        <v>8.6999999999999993</v>
      </c>
      <c r="N288" s="33">
        <v>8.6999999999999993</v>
      </c>
    </row>
    <row r="289" spans="1:14" x14ac:dyDescent="0.25">
      <c r="A289" s="30">
        <v>1</v>
      </c>
      <c r="B289" s="2" t="s">
        <v>7398</v>
      </c>
      <c r="C289" s="2" t="s">
        <v>7399</v>
      </c>
      <c r="D289" s="2" t="s">
        <v>5697</v>
      </c>
      <c r="E289" s="5">
        <v>24</v>
      </c>
      <c r="F289" s="2" t="s">
        <v>1849</v>
      </c>
      <c r="G289" s="2" t="s">
        <v>7409</v>
      </c>
      <c r="H289" s="2" t="s">
        <v>286</v>
      </c>
      <c r="I289" s="4">
        <v>816</v>
      </c>
      <c r="J289" s="4">
        <v>992</v>
      </c>
      <c r="L289" s="31">
        <v>775.42</v>
      </c>
      <c r="M289" s="32">
        <v>2.2999999999999998</v>
      </c>
      <c r="N289" s="33">
        <v>1.1000000000000001</v>
      </c>
    </row>
    <row r="290" spans="1:14" x14ac:dyDescent="0.25">
      <c r="A290" s="30">
        <v>1</v>
      </c>
      <c r="B290" s="2" t="s">
        <v>7398</v>
      </c>
      <c r="C290" s="2" t="s">
        <v>7399</v>
      </c>
      <c r="D290" s="2" t="s">
        <v>5698</v>
      </c>
      <c r="E290" s="5">
        <v>24</v>
      </c>
      <c r="F290" s="2" t="s">
        <v>1849</v>
      </c>
      <c r="G290" s="2" t="s">
        <v>7409</v>
      </c>
      <c r="H290" s="2" t="s">
        <v>287</v>
      </c>
      <c r="I290" s="4">
        <v>2749</v>
      </c>
      <c r="J290" s="4">
        <v>0</v>
      </c>
      <c r="L290" s="31">
        <v>331.71</v>
      </c>
      <c r="M290" s="32">
        <v>8.3000000000000007</v>
      </c>
      <c r="N290" s="33">
        <v>8.3000000000000007</v>
      </c>
    </row>
    <row r="291" spans="1:14" x14ac:dyDescent="0.25">
      <c r="A291" s="30">
        <v>1</v>
      </c>
      <c r="B291" s="2" t="s">
        <v>7398</v>
      </c>
      <c r="C291" s="2" t="s">
        <v>7399</v>
      </c>
      <c r="D291" s="2" t="s">
        <v>5699</v>
      </c>
      <c r="E291" s="5">
        <v>24</v>
      </c>
      <c r="F291" s="2" t="s">
        <v>1849</v>
      </c>
      <c r="G291" s="2" t="s">
        <v>7409</v>
      </c>
      <c r="H291" s="2" t="s">
        <v>288</v>
      </c>
      <c r="I291" s="4">
        <v>320</v>
      </c>
      <c r="J291" s="4">
        <v>0</v>
      </c>
      <c r="L291" s="31">
        <v>41.71</v>
      </c>
      <c r="M291" s="32">
        <v>7.7</v>
      </c>
      <c r="N291" s="33">
        <v>7.7</v>
      </c>
    </row>
    <row r="292" spans="1:14" x14ac:dyDescent="0.25">
      <c r="A292" s="30">
        <v>1</v>
      </c>
      <c r="B292" s="2" t="s">
        <v>7398</v>
      </c>
      <c r="C292" s="2" t="s">
        <v>7399</v>
      </c>
      <c r="D292" s="2" t="s">
        <v>5700</v>
      </c>
      <c r="E292" s="5">
        <v>24</v>
      </c>
      <c r="F292" s="2" t="s">
        <v>1849</v>
      </c>
      <c r="G292" s="2" t="s">
        <v>7409</v>
      </c>
      <c r="H292" s="2" t="s">
        <v>289</v>
      </c>
      <c r="I292" s="4">
        <v>2048</v>
      </c>
      <c r="J292" s="4">
        <v>0</v>
      </c>
      <c r="L292" s="31">
        <v>150.13999999999999</v>
      </c>
      <c r="M292" s="32">
        <v>13.6</v>
      </c>
      <c r="N292" s="33">
        <v>13.6</v>
      </c>
    </row>
    <row r="293" spans="1:14" x14ac:dyDescent="0.25">
      <c r="A293" s="30">
        <v>1</v>
      </c>
      <c r="B293" s="2" t="s">
        <v>7398</v>
      </c>
      <c r="C293" s="2" t="s">
        <v>7399</v>
      </c>
      <c r="D293" s="2" t="s">
        <v>5701</v>
      </c>
      <c r="E293" s="5">
        <v>24</v>
      </c>
      <c r="F293" s="2" t="s">
        <v>1849</v>
      </c>
      <c r="G293" s="2" t="s">
        <v>7409</v>
      </c>
      <c r="H293" s="2" t="s">
        <v>290</v>
      </c>
      <c r="I293" s="4">
        <v>4165</v>
      </c>
      <c r="J293" s="4">
        <v>37</v>
      </c>
      <c r="L293" s="31">
        <v>602</v>
      </c>
      <c r="M293" s="32">
        <v>7</v>
      </c>
      <c r="N293" s="33">
        <v>6.9</v>
      </c>
    </row>
    <row r="294" spans="1:14" x14ac:dyDescent="0.25">
      <c r="A294" s="30">
        <v>1</v>
      </c>
      <c r="B294" s="2" t="s">
        <v>7398</v>
      </c>
      <c r="C294" s="2" t="s">
        <v>7399</v>
      </c>
      <c r="D294" s="2" t="s">
        <v>5702</v>
      </c>
      <c r="E294" s="5">
        <v>24</v>
      </c>
      <c r="F294" s="2" t="s">
        <v>1849</v>
      </c>
      <c r="G294" s="2" t="s">
        <v>7409</v>
      </c>
      <c r="H294" s="2" t="s">
        <v>291</v>
      </c>
      <c r="I294" s="4">
        <v>2561</v>
      </c>
      <c r="J294" s="4">
        <v>0</v>
      </c>
      <c r="L294" s="31">
        <v>281.27999999999997</v>
      </c>
      <c r="M294" s="32">
        <v>9.1</v>
      </c>
      <c r="N294" s="33">
        <v>9.1</v>
      </c>
    </row>
    <row r="295" spans="1:14" x14ac:dyDescent="0.25">
      <c r="A295" s="30">
        <v>1</v>
      </c>
      <c r="B295" s="2" t="s">
        <v>7398</v>
      </c>
      <c r="C295" s="2" t="s">
        <v>7399</v>
      </c>
      <c r="D295" s="2" t="s">
        <v>5703</v>
      </c>
      <c r="E295" s="5">
        <v>24</v>
      </c>
      <c r="F295" s="2" t="s">
        <v>1849</v>
      </c>
      <c r="G295" s="2" t="s">
        <v>7409</v>
      </c>
      <c r="H295" s="2" t="s">
        <v>292</v>
      </c>
      <c r="I295" s="4">
        <v>474</v>
      </c>
      <c r="J295" s="4">
        <v>0</v>
      </c>
      <c r="L295" s="31">
        <v>47.28</v>
      </c>
      <c r="M295" s="32">
        <v>10</v>
      </c>
      <c r="N295" s="33">
        <v>10</v>
      </c>
    </row>
    <row r="296" spans="1:14" x14ac:dyDescent="0.25">
      <c r="A296" s="30">
        <v>1</v>
      </c>
      <c r="B296" s="2" t="s">
        <v>7398</v>
      </c>
      <c r="C296" s="2" t="s">
        <v>7399</v>
      </c>
      <c r="D296" s="2" t="s">
        <v>5704</v>
      </c>
      <c r="E296" s="5">
        <v>24</v>
      </c>
      <c r="F296" s="2" t="s">
        <v>1849</v>
      </c>
      <c r="G296" s="2" t="s">
        <v>7409</v>
      </c>
      <c r="H296" s="2" t="s">
        <v>293</v>
      </c>
      <c r="I296" s="4">
        <v>1821</v>
      </c>
      <c r="J296" s="4">
        <v>0</v>
      </c>
      <c r="L296" s="31">
        <v>341.14</v>
      </c>
      <c r="M296" s="32">
        <v>5.3</v>
      </c>
      <c r="N296" s="33">
        <v>5.3</v>
      </c>
    </row>
    <row r="297" spans="1:14" x14ac:dyDescent="0.25">
      <c r="A297" s="30">
        <v>1</v>
      </c>
      <c r="B297" s="2" t="s">
        <v>7398</v>
      </c>
      <c r="C297" s="2" t="s">
        <v>7399</v>
      </c>
      <c r="D297" s="2" t="s">
        <v>5705</v>
      </c>
      <c r="E297" s="5">
        <v>24</v>
      </c>
      <c r="F297" s="2" t="s">
        <v>1849</v>
      </c>
      <c r="G297" s="2" t="s">
        <v>7409</v>
      </c>
      <c r="H297" s="2" t="s">
        <v>294</v>
      </c>
      <c r="I297" s="4">
        <v>1093</v>
      </c>
      <c r="J297" s="4">
        <v>0</v>
      </c>
      <c r="L297" s="31">
        <v>156.13999999999999</v>
      </c>
      <c r="M297" s="32">
        <v>7</v>
      </c>
      <c r="N297" s="33">
        <v>7</v>
      </c>
    </row>
    <row r="298" spans="1:14" x14ac:dyDescent="0.25">
      <c r="A298" s="30">
        <v>1</v>
      </c>
      <c r="B298" s="2" t="s">
        <v>7398</v>
      </c>
      <c r="C298" s="2" t="s">
        <v>7399</v>
      </c>
      <c r="D298" s="2" t="s">
        <v>5706</v>
      </c>
      <c r="E298" s="5">
        <v>24</v>
      </c>
      <c r="F298" s="2" t="s">
        <v>1849</v>
      </c>
      <c r="G298" s="2" t="s">
        <v>7409</v>
      </c>
      <c r="H298" s="2" t="s">
        <v>295</v>
      </c>
      <c r="I298" s="4">
        <v>3885</v>
      </c>
      <c r="J298" s="4">
        <v>22</v>
      </c>
      <c r="L298" s="31">
        <v>524.85</v>
      </c>
      <c r="M298" s="32">
        <v>7.4</v>
      </c>
      <c r="N298" s="33">
        <v>7.4</v>
      </c>
    </row>
    <row r="299" spans="1:14" x14ac:dyDescent="0.25">
      <c r="A299" s="30">
        <v>1</v>
      </c>
      <c r="B299" s="2" t="s">
        <v>7398</v>
      </c>
      <c r="C299" s="2" t="s">
        <v>7399</v>
      </c>
      <c r="D299" s="2" t="s">
        <v>5707</v>
      </c>
      <c r="E299" s="5">
        <v>24</v>
      </c>
      <c r="F299" s="2" t="s">
        <v>1849</v>
      </c>
      <c r="G299" s="2" t="s">
        <v>7409</v>
      </c>
      <c r="H299" s="2" t="s">
        <v>296</v>
      </c>
      <c r="I299" s="4">
        <v>1478</v>
      </c>
      <c r="J299" s="4">
        <v>0</v>
      </c>
      <c r="L299" s="31">
        <v>190.57</v>
      </c>
      <c r="M299" s="32">
        <v>7.8</v>
      </c>
      <c r="N299" s="33">
        <v>7.8</v>
      </c>
    </row>
    <row r="300" spans="1:14" x14ac:dyDescent="0.25">
      <c r="A300" s="30">
        <v>1</v>
      </c>
      <c r="B300" s="2" t="s">
        <v>7398</v>
      </c>
      <c r="C300" s="2" t="s">
        <v>7399</v>
      </c>
      <c r="D300" s="2" t="s">
        <v>5708</v>
      </c>
      <c r="E300" s="5">
        <v>24</v>
      </c>
      <c r="F300" s="2" t="s">
        <v>1849</v>
      </c>
      <c r="G300" s="2" t="s">
        <v>7409</v>
      </c>
      <c r="H300" s="2" t="s">
        <v>297</v>
      </c>
      <c r="I300" s="4">
        <v>1015</v>
      </c>
      <c r="J300" s="4">
        <v>0</v>
      </c>
      <c r="L300" s="31">
        <v>136.57</v>
      </c>
      <c r="M300" s="32">
        <v>7.4</v>
      </c>
      <c r="N300" s="33">
        <v>7.4</v>
      </c>
    </row>
    <row r="301" spans="1:14" x14ac:dyDescent="0.25">
      <c r="A301" s="30">
        <v>1</v>
      </c>
      <c r="B301" s="2" t="s">
        <v>7398</v>
      </c>
      <c r="C301" s="2" t="s">
        <v>7399</v>
      </c>
      <c r="D301" s="2" t="s">
        <v>5709</v>
      </c>
      <c r="E301" s="5">
        <v>24</v>
      </c>
      <c r="F301" s="2" t="s">
        <v>1882</v>
      </c>
      <c r="G301" s="2" t="s">
        <v>7409</v>
      </c>
      <c r="H301" s="2" t="s">
        <v>298</v>
      </c>
      <c r="I301" s="4">
        <v>1001</v>
      </c>
      <c r="J301" s="4">
        <v>0</v>
      </c>
      <c r="L301" s="31">
        <v>121</v>
      </c>
      <c r="M301" s="32">
        <v>8.3000000000000007</v>
      </c>
      <c r="N301" s="33">
        <v>8.3000000000000007</v>
      </c>
    </row>
    <row r="302" spans="1:14" x14ac:dyDescent="0.25">
      <c r="A302" s="30">
        <v>1</v>
      </c>
      <c r="B302" s="2" t="s">
        <v>7398</v>
      </c>
      <c r="C302" s="2" t="s">
        <v>7399</v>
      </c>
      <c r="D302" s="2" t="s">
        <v>5710</v>
      </c>
      <c r="E302" s="5">
        <v>24</v>
      </c>
      <c r="F302" s="2" t="s">
        <v>1849</v>
      </c>
      <c r="G302" s="2" t="s">
        <v>7409</v>
      </c>
      <c r="H302" s="2" t="s">
        <v>299</v>
      </c>
      <c r="I302" s="4">
        <v>70</v>
      </c>
      <c r="J302" s="4">
        <v>0</v>
      </c>
      <c r="L302" s="31">
        <v>1.42</v>
      </c>
      <c r="M302" s="32">
        <v>49.3</v>
      </c>
      <c r="N302" s="33">
        <v>49.3</v>
      </c>
    </row>
    <row r="303" spans="1:14" x14ac:dyDescent="0.25">
      <c r="A303" s="30">
        <v>1</v>
      </c>
      <c r="B303" s="2" t="s">
        <v>7398</v>
      </c>
      <c r="C303" s="2" t="s">
        <v>7399</v>
      </c>
      <c r="D303" s="2" t="s">
        <v>5711</v>
      </c>
      <c r="E303" s="5">
        <v>24</v>
      </c>
      <c r="F303" s="2" t="s">
        <v>1849</v>
      </c>
      <c r="G303" s="2" t="s">
        <v>7409</v>
      </c>
      <c r="H303" s="2" t="s">
        <v>300</v>
      </c>
      <c r="I303" s="4">
        <v>1987</v>
      </c>
      <c r="J303" s="4">
        <v>0</v>
      </c>
      <c r="L303" s="31">
        <v>288.14</v>
      </c>
      <c r="M303" s="32">
        <v>6.9</v>
      </c>
      <c r="N303" s="33">
        <v>6.9</v>
      </c>
    </row>
    <row r="304" spans="1:14" x14ac:dyDescent="0.25">
      <c r="A304" s="30">
        <v>1</v>
      </c>
      <c r="B304" s="2" t="s">
        <v>7398</v>
      </c>
      <c r="C304" s="2" t="s">
        <v>7399</v>
      </c>
      <c r="D304" s="2" t="s">
        <v>5712</v>
      </c>
      <c r="E304" s="5">
        <v>24</v>
      </c>
      <c r="F304" s="2" t="s">
        <v>1849</v>
      </c>
      <c r="G304" s="2" t="s">
        <v>7409</v>
      </c>
      <c r="H304" s="2" t="s">
        <v>301</v>
      </c>
      <c r="I304" s="4">
        <v>1230</v>
      </c>
      <c r="J304" s="4">
        <v>0</v>
      </c>
      <c r="L304" s="31">
        <v>153.71</v>
      </c>
      <c r="M304" s="32">
        <v>8</v>
      </c>
      <c r="N304" s="33">
        <v>8</v>
      </c>
    </row>
    <row r="305" spans="1:14" x14ac:dyDescent="0.25">
      <c r="A305" s="30">
        <v>1</v>
      </c>
      <c r="B305" s="2" t="s">
        <v>7398</v>
      </c>
      <c r="C305" s="2" t="s">
        <v>7399</v>
      </c>
      <c r="D305" s="2" t="s">
        <v>5713</v>
      </c>
      <c r="E305" s="5">
        <v>24</v>
      </c>
      <c r="F305" s="2" t="s">
        <v>1849</v>
      </c>
      <c r="G305" s="2" t="s">
        <v>7409</v>
      </c>
      <c r="H305" s="2" t="s">
        <v>302</v>
      </c>
      <c r="I305" s="4">
        <v>4683</v>
      </c>
      <c r="J305" s="4">
        <v>0</v>
      </c>
      <c r="L305" s="31">
        <v>564.41999999999996</v>
      </c>
      <c r="M305" s="32">
        <v>8.3000000000000007</v>
      </c>
      <c r="N305" s="33">
        <v>8.3000000000000007</v>
      </c>
    </row>
    <row r="306" spans="1:14" x14ac:dyDescent="0.25">
      <c r="A306" s="30">
        <v>1</v>
      </c>
      <c r="B306" s="2" t="s">
        <v>7398</v>
      </c>
      <c r="C306" s="2" t="s">
        <v>7399</v>
      </c>
      <c r="D306" s="2" t="s">
        <v>5714</v>
      </c>
      <c r="E306" s="5">
        <v>24</v>
      </c>
      <c r="F306" s="2" t="s">
        <v>1849</v>
      </c>
      <c r="G306" s="2" t="s">
        <v>7409</v>
      </c>
      <c r="H306" s="2" t="s">
        <v>303</v>
      </c>
      <c r="I306" s="4">
        <v>263</v>
      </c>
      <c r="J306" s="4">
        <v>0</v>
      </c>
      <c r="L306" s="31">
        <v>44.85</v>
      </c>
      <c r="M306" s="32">
        <v>5.9</v>
      </c>
      <c r="N306" s="33">
        <v>5.9</v>
      </c>
    </row>
    <row r="307" spans="1:14" x14ac:dyDescent="0.25">
      <c r="A307" s="30">
        <v>1</v>
      </c>
      <c r="B307" s="2" t="s">
        <v>7398</v>
      </c>
      <c r="C307" s="2" t="s">
        <v>7399</v>
      </c>
      <c r="D307" s="2" t="s">
        <v>5715</v>
      </c>
      <c r="E307" s="5">
        <v>24</v>
      </c>
      <c r="F307" s="2" t="s">
        <v>1849</v>
      </c>
      <c r="G307" s="2" t="s">
        <v>7409</v>
      </c>
      <c r="H307" s="2" t="s">
        <v>304</v>
      </c>
      <c r="I307" s="4">
        <v>462</v>
      </c>
      <c r="J307" s="4">
        <v>0</v>
      </c>
      <c r="L307" s="31">
        <v>54.42</v>
      </c>
      <c r="M307" s="32">
        <v>8.5</v>
      </c>
      <c r="N307" s="33">
        <v>8.5</v>
      </c>
    </row>
    <row r="308" spans="1:14" x14ac:dyDescent="0.25">
      <c r="A308" s="30">
        <v>1</v>
      </c>
      <c r="B308" s="2" t="s">
        <v>7398</v>
      </c>
      <c r="C308" s="2" t="s">
        <v>7399</v>
      </c>
      <c r="D308" s="2" t="s">
        <v>5716</v>
      </c>
      <c r="E308" s="5">
        <v>24</v>
      </c>
      <c r="F308" s="2" t="s">
        <v>1849</v>
      </c>
      <c r="G308" s="2" t="s">
        <v>7409</v>
      </c>
      <c r="H308" s="2" t="s">
        <v>305</v>
      </c>
      <c r="I308" s="4">
        <v>0</v>
      </c>
      <c r="J308" s="4">
        <v>0</v>
      </c>
      <c r="L308" s="31">
        <v>0</v>
      </c>
      <c r="M308" s="32">
        <v>0</v>
      </c>
      <c r="N308" s="33">
        <v>9999</v>
      </c>
    </row>
    <row r="309" spans="1:14" x14ac:dyDescent="0.25">
      <c r="A309" s="30">
        <v>1</v>
      </c>
      <c r="B309" s="2" t="s">
        <v>7398</v>
      </c>
      <c r="C309" s="2" t="s">
        <v>7399</v>
      </c>
      <c r="D309" s="2" t="s">
        <v>5717</v>
      </c>
      <c r="E309" s="5">
        <v>24</v>
      </c>
      <c r="F309" s="2" t="s">
        <v>1849</v>
      </c>
      <c r="G309" s="2" t="s">
        <v>7409</v>
      </c>
      <c r="H309" s="2" t="s">
        <v>306</v>
      </c>
      <c r="I309" s="4">
        <v>0</v>
      </c>
      <c r="J309" s="4">
        <v>0</v>
      </c>
      <c r="L309" s="31">
        <v>0</v>
      </c>
      <c r="M309" s="32">
        <v>0</v>
      </c>
      <c r="N309" s="33">
        <v>9999</v>
      </c>
    </row>
    <row r="310" spans="1:14" x14ac:dyDescent="0.25">
      <c r="A310" s="30">
        <v>1</v>
      </c>
      <c r="B310" s="2" t="s">
        <v>7398</v>
      </c>
      <c r="C310" s="2" t="s">
        <v>7399</v>
      </c>
      <c r="D310" s="2" t="s">
        <v>5718</v>
      </c>
      <c r="E310" s="5">
        <v>24</v>
      </c>
      <c r="F310" s="2" t="s">
        <v>1849</v>
      </c>
      <c r="G310" s="2" t="s">
        <v>7409</v>
      </c>
      <c r="H310" s="2" t="s">
        <v>307</v>
      </c>
      <c r="I310" s="4">
        <v>0</v>
      </c>
      <c r="J310" s="4">
        <v>0</v>
      </c>
      <c r="L310" s="31">
        <v>0</v>
      </c>
      <c r="M310" s="32">
        <v>0</v>
      </c>
      <c r="N310" s="33">
        <v>9999</v>
      </c>
    </row>
    <row r="311" spans="1:14" x14ac:dyDescent="0.25">
      <c r="A311" s="30">
        <v>1</v>
      </c>
      <c r="B311" s="2" t="s">
        <v>7398</v>
      </c>
      <c r="C311" s="2" t="s">
        <v>7399</v>
      </c>
      <c r="D311" s="2" t="s">
        <v>5719</v>
      </c>
      <c r="E311" s="5">
        <v>6</v>
      </c>
      <c r="F311" s="2" t="s">
        <v>1896</v>
      </c>
      <c r="G311" s="2" t="s">
        <v>7409</v>
      </c>
      <c r="H311" s="2" t="s">
        <v>308</v>
      </c>
      <c r="I311" s="4">
        <v>403</v>
      </c>
      <c r="J311" s="4">
        <v>0</v>
      </c>
      <c r="L311" s="31">
        <v>49.14</v>
      </c>
      <c r="M311" s="32">
        <v>8.1999999999999993</v>
      </c>
      <c r="N311" s="33">
        <v>8.1999999999999993</v>
      </c>
    </row>
    <row r="312" spans="1:14" x14ac:dyDescent="0.25">
      <c r="A312" s="30">
        <v>1</v>
      </c>
      <c r="B312" s="2" t="s">
        <v>7398</v>
      </c>
      <c r="C312" s="2" t="s">
        <v>7399</v>
      </c>
      <c r="D312" s="2" t="s">
        <v>5720</v>
      </c>
      <c r="E312" s="5">
        <v>6</v>
      </c>
      <c r="F312" s="2" t="s">
        <v>1896</v>
      </c>
      <c r="G312" s="2" t="s">
        <v>7409</v>
      </c>
      <c r="H312" s="2" t="s">
        <v>309</v>
      </c>
      <c r="I312" s="4">
        <v>787</v>
      </c>
      <c r="J312" s="4">
        <v>3</v>
      </c>
      <c r="L312" s="31">
        <v>67.28</v>
      </c>
      <c r="M312" s="32">
        <v>11.7</v>
      </c>
      <c r="N312" s="33">
        <v>11.7</v>
      </c>
    </row>
    <row r="313" spans="1:14" x14ac:dyDescent="0.25">
      <c r="A313" s="30">
        <v>1</v>
      </c>
      <c r="B313" s="2" t="s">
        <v>7398</v>
      </c>
      <c r="C313" s="2" t="s">
        <v>7399</v>
      </c>
      <c r="D313" s="2" t="s">
        <v>5721</v>
      </c>
      <c r="E313" s="5">
        <v>6</v>
      </c>
      <c r="F313" s="2" t="s">
        <v>1896</v>
      </c>
      <c r="G313" s="2" t="s">
        <v>7409</v>
      </c>
      <c r="H313" s="2" t="s">
        <v>310</v>
      </c>
      <c r="I313" s="4">
        <v>1857</v>
      </c>
      <c r="J313" s="4">
        <v>1122</v>
      </c>
      <c r="L313" s="31">
        <v>327.42</v>
      </c>
      <c r="M313" s="32">
        <v>9.1</v>
      </c>
      <c r="N313" s="33">
        <v>5.7</v>
      </c>
    </row>
    <row r="314" spans="1:14" x14ac:dyDescent="0.25">
      <c r="A314" s="30">
        <v>1</v>
      </c>
      <c r="B314" s="2" t="s">
        <v>7398</v>
      </c>
      <c r="C314" s="2" t="s">
        <v>7399</v>
      </c>
      <c r="D314" s="2" t="s">
        <v>5722</v>
      </c>
      <c r="E314" s="5">
        <v>6</v>
      </c>
      <c r="F314" s="2" t="s">
        <v>1896</v>
      </c>
      <c r="G314" s="2" t="s">
        <v>7409</v>
      </c>
      <c r="H314" s="2" t="s">
        <v>311</v>
      </c>
      <c r="I314" s="4">
        <v>1202</v>
      </c>
      <c r="J314" s="4">
        <v>0</v>
      </c>
      <c r="L314" s="31">
        <v>153.71</v>
      </c>
      <c r="M314" s="32">
        <v>7.8</v>
      </c>
      <c r="N314" s="33">
        <v>7.8</v>
      </c>
    </row>
    <row r="315" spans="1:14" x14ac:dyDescent="0.25">
      <c r="A315" s="30">
        <v>1</v>
      </c>
      <c r="B315" s="2" t="s">
        <v>7398</v>
      </c>
      <c r="C315" s="2" t="s">
        <v>7399</v>
      </c>
      <c r="D315" s="2" t="s">
        <v>5723</v>
      </c>
      <c r="E315" s="5">
        <v>6</v>
      </c>
      <c r="F315" s="2" t="s">
        <v>1896</v>
      </c>
      <c r="G315" s="2" t="s">
        <v>7409</v>
      </c>
      <c r="H315" s="2" t="s">
        <v>312</v>
      </c>
      <c r="I315" s="4">
        <v>667</v>
      </c>
      <c r="J315" s="4">
        <v>0</v>
      </c>
      <c r="L315" s="31">
        <v>30.85</v>
      </c>
      <c r="M315" s="32">
        <v>21.6</v>
      </c>
      <c r="N315" s="33">
        <v>21.6</v>
      </c>
    </row>
    <row r="316" spans="1:14" x14ac:dyDescent="0.25">
      <c r="A316" s="30">
        <v>1</v>
      </c>
      <c r="B316" s="2" t="s">
        <v>7398</v>
      </c>
      <c r="C316" s="2" t="s">
        <v>7399</v>
      </c>
      <c r="D316" s="2" t="s">
        <v>5724</v>
      </c>
      <c r="E316" s="5">
        <v>6</v>
      </c>
      <c r="F316" s="2" t="s">
        <v>1896</v>
      </c>
      <c r="G316" s="2" t="s">
        <v>7409</v>
      </c>
      <c r="H316" s="2" t="s">
        <v>313</v>
      </c>
      <c r="I316" s="4">
        <v>1235</v>
      </c>
      <c r="J316" s="4">
        <v>0</v>
      </c>
      <c r="L316" s="31">
        <v>165.71</v>
      </c>
      <c r="M316" s="32">
        <v>7.5</v>
      </c>
      <c r="N316" s="33">
        <v>7.5</v>
      </c>
    </row>
    <row r="317" spans="1:14" x14ac:dyDescent="0.25">
      <c r="A317" s="30">
        <v>1</v>
      </c>
      <c r="B317" s="2" t="s">
        <v>7398</v>
      </c>
      <c r="C317" s="2" t="s">
        <v>7399</v>
      </c>
      <c r="D317" s="2" t="s">
        <v>5725</v>
      </c>
      <c r="E317" s="5">
        <v>6</v>
      </c>
      <c r="F317" s="2" t="s">
        <v>1896</v>
      </c>
      <c r="G317" s="2" t="s">
        <v>7409</v>
      </c>
      <c r="H317" s="2" t="s">
        <v>314</v>
      </c>
      <c r="I317" s="4">
        <v>289</v>
      </c>
      <c r="J317" s="4">
        <v>198</v>
      </c>
      <c r="L317" s="31">
        <v>59.28</v>
      </c>
      <c r="M317" s="32">
        <v>8.1999999999999993</v>
      </c>
      <c r="N317" s="33">
        <v>4.9000000000000004</v>
      </c>
    </row>
    <row r="318" spans="1:14" x14ac:dyDescent="0.25">
      <c r="A318" s="30">
        <v>1</v>
      </c>
      <c r="B318" s="2" t="s">
        <v>7398</v>
      </c>
      <c r="C318" s="2" t="s">
        <v>7399</v>
      </c>
      <c r="D318" s="2" t="s">
        <v>5726</v>
      </c>
      <c r="E318" s="5">
        <v>6</v>
      </c>
      <c r="F318" s="2" t="s">
        <v>1896</v>
      </c>
      <c r="G318" s="2" t="s">
        <v>7409</v>
      </c>
      <c r="H318" s="2" t="s">
        <v>315</v>
      </c>
      <c r="I318" s="4">
        <v>1406</v>
      </c>
      <c r="J318" s="4">
        <v>0</v>
      </c>
      <c r="L318" s="31">
        <v>131.71</v>
      </c>
      <c r="M318" s="32">
        <v>10.7</v>
      </c>
      <c r="N318" s="33">
        <v>10.7</v>
      </c>
    </row>
    <row r="319" spans="1:14" x14ac:dyDescent="0.25">
      <c r="A319" s="30">
        <v>1</v>
      </c>
      <c r="B319" s="2" t="s">
        <v>7398</v>
      </c>
      <c r="C319" s="2" t="s">
        <v>7399</v>
      </c>
      <c r="D319" s="2" t="s">
        <v>5727</v>
      </c>
      <c r="E319" s="5">
        <v>6</v>
      </c>
      <c r="F319" s="2" t="s">
        <v>1850</v>
      </c>
      <c r="G319" s="2" t="s">
        <v>7409</v>
      </c>
      <c r="H319" s="2" t="s">
        <v>316</v>
      </c>
      <c r="I319" s="4">
        <v>1483</v>
      </c>
      <c r="J319" s="4">
        <v>21</v>
      </c>
      <c r="L319" s="31">
        <v>179.85</v>
      </c>
      <c r="M319" s="32">
        <v>8.4</v>
      </c>
      <c r="N319" s="33">
        <v>8.1999999999999993</v>
      </c>
    </row>
    <row r="320" spans="1:14" x14ac:dyDescent="0.25">
      <c r="A320" s="30">
        <v>1</v>
      </c>
      <c r="B320" s="2" t="s">
        <v>7398</v>
      </c>
      <c r="C320" s="2" t="s">
        <v>7399</v>
      </c>
      <c r="D320" s="2" t="s">
        <v>5728</v>
      </c>
      <c r="E320" s="5">
        <v>6</v>
      </c>
      <c r="F320" s="2" t="s">
        <v>1896</v>
      </c>
      <c r="G320" s="2" t="s">
        <v>7409</v>
      </c>
      <c r="H320" s="2" t="s">
        <v>317</v>
      </c>
      <c r="I320" s="4">
        <v>3602</v>
      </c>
      <c r="J320" s="4">
        <v>0</v>
      </c>
      <c r="L320" s="31">
        <v>575.71</v>
      </c>
      <c r="M320" s="32">
        <v>6.3</v>
      </c>
      <c r="N320" s="33">
        <v>6.3</v>
      </c>
    </row>
    <row r="321" spans="1:14" x14ac:dyDescent="0.25">
      <c r="A321" s="30">
        <v>1</v>
      </c>
      <c r="B321" s="2" t="s">
        <v>7398</v>
      </c>
      <c r="C321" s="2" t="s">
        <v>7399</v>
      </c>
      <c r="D321" s="2" t="s">
        <v>5729</v>
      </c>
      <c r="E321" s="5">
        <v>6</v>
      </c>
      <c r="F321" s="2" t="s">
        <v>1896</v>
      </c>
      <c r="G321" s="2" t="s">
        <v>7409</v>
      </c>
      <c r="H321" s="2" t="s">
        <v>318</v>
      </c>
      <c r="I321" s="4">
        <v>1229</v>
      </c>
      <c r="J321" s="4">
        <v>0</v>
      </c>
      <c r="L321" s="31">
        <v>224.57</v>
      </c>
      <c r="M321" s="32">
        <v>5.5</v>
      </c>
      <c r="N321" s="33">
        <v>5.5</v>
      </c>
    </row>
    <row r="322" spans="1:14" x14ac:dyDescent="0.25">
      <c r="A322" s="30">
        <v>1</v>
      </c>
      <c r="B322" s="2" t="s">
        <v>7398</v>
      </c>
      <c r="C322" s="2" t="s">
        <v>7399</v>
      </c>
      <c r="D322" s="2" t="s">
        <v>5730</v>
      </c>
      <c r="E322" s="5">
        <v>6</v>
      </c>
      <c r="F322" s="2" t="s">
        <v>1896</v>
      </c>
      <c r="G322" s="2" t="s">
        <v>7409</v>
      </c>
      <c r="H322" s="2" t="s">
        <v>319</v>
      </c>
      <c r="I322" s="4">
        <v>636</v>
      </c>
      <c r="J322" s="4">
        <v>0</v>
      </c>
      <c r="L322" s="31">
        <v>68</v>
      </c>
      <c r="M322" s="32">
        <v>9.4</v>
      </c>
      <c r="N322" s="33">
        <v>9.4</v>
      </c>
    </row>
    <row r="323" spans="1:14" x14ac:dyDescent="0.25">
      <c r="A323" s="30">
        <v>1</v>
      </c>
      <c r="B323" s="2" t="s">
        <v>7398</v>
      </c>
      <c r="C323" s="2" t="s">
        <v>7399</v>
      </c>
      <c r="D323" s="2" t="s">
        <v>5731</v>
      </c>
      <c r="E323" s="5">
        <v>6</v>
      </c>
      <c r="F323" s="2" t="s">
        <v>1896</v>
      </c>
      <c r="G323" s="2" t="s">
        <v>7409</v>
      </c>
      <c r="H323" s="2" t="s">
        <v>320</v>
      </c>
      <c r="I323" s="4">
        <v>1551</v>
      </c>
      <c r="J323" s="4">
        <v>0</v>
      </c>
      <c r="L323" s="31">
        <v>184</v>
      </c>
      <c r="M323" s="32">
        <v>8.4</v>
      </c>
      <c r="N323" s="33">
        <v>8.4</v>
      </c>
    </row>
    <row r="324" spans="1:14" x14ac:dyDescent="0.25">
      <c r="A324" s="30">
        <v>1</v>
      </c>
      <c r="B324" s="2" t="s">
        <v>7398</v>
      </c>
      <c r="C324" s="2" t="s">
        <v>7399</v>
      </c>
      <c r="D324" s="2" t="s">
        <v>5732</v>
      </c>
      <c r="E324" s="5">
        <v>4</v>
      </c>
      <c r="F324" s="2" t="s">
        <v>1897</v>
      </c>
      <c r="G324" s="2" t="s">
        <v>7409</v>
      </c>
      <c r="H324" s="2" t="s">
        <v>321</v>
      </c>
      <c r="I324" s="4">
        <v>581</v>
      </c>
      <c r="J324" s="4">
        <v>70</v>
      </c>
      <c r="L324" s="31">
        <v>109.71</v>
      </c>
      <c r="M324" s="32">
        <v>5.9</v>
      </c>
      <c r="N324" s="33">
        <v>5.3</v>
      </c>
    </row>
    <row r="325" spans="1:14" x14ac:dyDescent="0.25">
      <c r="A325" s="30">
        <v>1</v>
      </c>
      <c r="B325" s="2" t="s">
        <v>7398</v>
      </c>
      <c r="C325" s="2" t="s">
        <v>7399</v>
      </c>
      <c r="D325" s="2" t="s">
        <v>5733</v>
      </c>
      <c r="E325" s="5">
        <v>4</v>
      </c>
      <c r="F325" s="2" t="s">
        <v>1897</v>
      </c>
      <c r="G325" s="2" t="s">
        <v>7409</v>
      </c>
      <c r="H325" s="2" t="s">
        <v>322</v>
      </c>
      <c r="I325" s="4">
        <v>184</v>
      </c>
      <c r="J325" s="4">
        <v>0</v>
      </c>
      <c r="L325" s="31">
        <v>28.42</v>
      </c>
      <c r="M325" s="32">
        <v>6.5</v>
      </c>
      <c r="N325" s="33">
        <v>6.5</v>
      </c>
    </row>
    <row r="326" spans="1:14" x14ac:dyDescent="0.25">
      <c r="A326" s="30">
        <v>1</v>
      </c>
      <c r="B326" s="2" t="s">
        <v>7398</v>
      </c>
      <c r="C326" s="2" t="s">
        <v>7399</v>
      </c>
      <c r="D326" s="2" t="s">
        <v>5734</v>
      </c>
      <c r="E326" s="5">
        <v>4</v>
      </c>
      <c r="F326" s="2" t="s">
        <v>1897</v>
      </c>
      <c r="G326" s="2" t="s">
        <v>7409</v>
      </c>
      <c r="H326" s="2" t="s">
        <v>323</v>
      </c>
      <c r="I326" s="4">
        <v>508</v>
      </c>
      <c r="J326" s="4">
        <v>0</v>
      </c>
      <c r="L326" s="31">
        <v>35</v>
      </c>
      <c r="M326" s="32">
        <v>18.5</v>
      </c>
      <c r="N326" s="33">
        <v>14.5</v>
      </c>
    </row>
    <row r="327" spans="1:14" x14ac:dyDescent="0.25">
      <c r="A327" s="30">
        <v>1</v>
      </c>
      <c r="B327" s="2" t="s">
        <v>7398</v>
      </c>
      <c r="C327" s="2" t="s">
        <v>7399</v>
      </c>
      <c r="D327" s="2" t="s">
        <v>5735</v>
      </c>
      <c r="E327" s="5">
        <v>24</v>
      </c>
      <c r="F327" s="2" t="s">
        <v>1876</v>
      </c>
      <c r="G327" s="2" t="s">
        <v>7401</v>
      </c>
      <c r="H327" s="2" t="s">
        <v>324</v>
      </c>
      <c r="I327" s="4">
        <v>2956</v>
      </c>
      <c r="J327" s="4">
        <v>408</v>
      </c>
      <c r="L327" s="31">
        <v>184.57</v>
      </c>
      <c r="M327" s="32">
        <v>18.2</v>
      </c>
      <c r="N327" s="33">
        <v>16</v>
      </c>
    </row>
    <row r="328" spans="1:14" x14ac:dyDescent="0.25">
      <c r="A328" s="30">
        <v>1</v>
      </c>
      <c r="B328" s="2" t="s">
        <v>7398</v>
      </c>
      <c r="C328" s="2" t="s">
        <v>7399</v>
      </c>
      <c r="D328" s="2" t="s">
        <v>5736</v>
      </c>
      <c r="E328" s="5">
        <v>24</v>
      </c>
      <c r="F328" s="2" t="s">
        <v>1898</v>
      </c>
      <c r="G328" s="2" t="s">
        <v>7401</v>
      </c>
      <c r="H328" s="2" t="s">
        <v>325</v>
      </c>
      <c r="I328" s="4">
        <v>314</v>
      </c>
      <c r="J328" s="4">
        <v>320</v>
      </c>
      <c r="L328" s="31">
        <v>30.85</v>
      </c>
      <c r="M328" s="32">
        <v>20.6</v>
      </c>
      <c r="N328" s="33">
        <v>10.199999999999999</v>
      </c>
    </row>
    <row r="329" spans="1:14" x14ac:dyDescent="0.25">
      <c r="A329" s="30">
        <v>1</v>
      </c>
      <c r="B329" s="2" t="s">
        <v>7398</v>
      </c>
      <c r="C329" s="2" t="s">
        <v>7399</v>
      </c>
      <c r="D329" s="2" t="s">
        <v>5737</v>
      </c>
      <c r="E329" s="5">
        <v>24</v>
      </c>
      <c r="F329" s="2" t="s">
        <v>1849</v>
      </c>
      <c r="G329" s="2" t="s">
        <v>7409</v>
      </c>
      <c r="H329" s="2" t="s">
        <v>326</v>
      </c>
      <c r="I329" s="4">
        <v>0</v>
      </c>
      <c r="J329" s="4">
        <v>0</v>
      </c>
      <c r="L329" s="31">
        <v>0</v>
      </c>
      <c r="M329" s="32">
        <v>0</v>
      </c>
      <c r="N329" s="33">
        <v>9999</v>
      </c>
    </row>
    <row r="330" spans="1:14" x14ac:dyDescent="0.25">
      <c r="A330" s="30">
        <v>1</v>
      </c>
      <c r="B330" s="2" t="s">
        <v>7398</v>
      </c>
      <c r="C330" s="2" t="s">
        <v>7399</v>
      </c>
      <c r="D330" s="2" t="s">
        <v>5738</v>
      </c>
      <c r="E330" s="5">
        <v>24</v>
      </c>
      <c r="F330" s="2" t="s">
        <v>1887</v>
      </c>
      <c r="G330" s="2" t="s">
        <v>7401</v>
      </c>
      <c r="H330" s="2" t="s">
        <v>327</v>
      </c>
      <c r="I330" s="4">
        <v>491</v>
      </c>
      <c r="J330" s="4">
        <v>0</v>
      </c>
      <c r="L330" s="31">
        <v>36.14</v>
      </c>
      <c r="M330" s="32">
        <v>13.6</v>
      </c>
      <c r="N330" s="33">
        <v>13.6</v>
      </c>
    </row>
    <row r="331" spans="1:14" x14ac:dyDescent="0.25">
      <c r="A331" s="30">
        <v>1</v>
      </c>
      <c r="B331" s="2" t="s">
        <v>7398</v>
      </c>
      <c r="C331" s="2" t="s">
        <v>7399</v>
      </c>
      <c r="D331" s="2" t="s">
        <v>5739</v>
      </c>
      <c r="E331" s="5">
        <v>24</v>
      </c>
      <c r="F331" s="2" t="s">
        <v>1869</v>
      </c>
      <c r="G331" s="2" t="s">
        <v>7401</v>
      </c>
      <c r="H331" s="2" t="s">
        <v>328</v>
      </c>
      <c r="I331" s="4">
        <v>33</v>
      </c>
      <c r="J331" s="4">
        <v>320</v>
      </c>
      <c r="L331" s="31">
        <v>11.42</v>
      </c>
      <c r="M331" s="32">
        <v>30.9</v>
      </c>
      <c r="N331" s="33">
        <v>2.9</v>
      </c>
    </row>
    <row r="332" spans="1:14" x14ac:dyDescent="0.25">
      <c r="A332" s="30">
        <v>1</v>
      </c>
      <c r="B332" s="2" t="s">
        <v>7398</v>
      </c>
      <c r="C332" s="2" t="s">
        <v>7399</v>
      </c>
      <c r="D332" s="2" t="s">
        <v>5740</v>
      </c>
      <c r="E332" s="5">
        <v>24</v>
      </c>
      <c r="F332" s="2" t="s">
        <v>1869</v>
      </c>
      <c r="G332" s="2" t="s">
        <v>7401</v>
      </c>
      <c r="H332" s="2" t="s">
        <v>329</v>
      </c>
      <c r="I332" s="4">
        <v>49</v>
      </c>
      <c r="J332" s="4">
        <v>320</v>
      </c>
      <c r="L332" s="31">
        <v>13.85</v>
      </c>
      <c r="M332" s="32">
        <v>26.6</v>
      </c>
      <c r="N332" s="33">
        <v>3.5</v>
      </c>
    </row>
    <row r="333" spans="1:14" x14ac:dyDescent="0.25">
      <c r="A333" s="30">
        <v>1</v>
      </c>
      <c r="B333" s="2" t="s">
        <v>7398</v>
      </c>
      <c r="C333" s="2" t="s">
        <v>7399</v>
      </c>
      <c r="D333" s="2" t="s">
        <v>5741</v>
      </c>
      <c r="E333" s="5">
        <v>12</v>
      </c>
      <c r="F333" s="2" t="s">
        <v>1866</v>
      </c>
      <c r="G333" s="2" t="s">
        <v>7405</v>
      </c>
      <c r="H333" s="2" t="s">
        <v>330</v>
      </c>
      <c r="I333" s="4">
        <v>440</v>
      </c>
      <c r="J333" s="4">
        <v>0</v>
      </c>
      <c r="L333" s="31">
        <v>106.28</v>
      </c>
      <c r="M333" s="32">
        <v>4.0999999999999996</v>
      </c>
      <c r="N333" s="33">
        <v>4.0999999999999996</v>
      </c>
    </row>
    <row r="334" spans="1:14" x14ac:dyDescent="0.25">
      <c r="A334" s="30">
        <v>1</v>
      </c>
      <c r="B334" s="2" t="s">
        <v>7398</v>
      </c>
      <c r="C334" s="2" t="s">
        <v>7399</v>
      </c>
      <c r="D334" s="2" t="s">
        <v>5742</v>
      </c>
      <c r="E334" s="5">
        <v>24</v>
      </c>
      <c r="F334" s="2" t="s">
        <v>1887</v>
      </c>
      <c r="G334" s="2" t="s">
        <v>7401</v>
      </c>
      <c r="H334" s="2" t="s">
        <v>331</v>
      </c>
      <c r="I334" s="4">
        <v>930</v>
      </c>
      <c r="J334" s="4">
        <v>816</v>
      </c>
      <c r="L334" s="31">
        <v>81.42</v>
      </c>
      <c r="M334" s="32">
        <v>21.4</v>
      </c>
      <c r="N334" s="33">
        <v>11.4</v>
      </c>
    </row>
    <row r="335" spans="1:14" x14ac:dyDescent="0.25">
      <c r="A335" s="30">
        <v>1</v>
      </c>
      <c r="B335" s="2" t="s">
        <v>7398</v>
      </c>
      <c r="C335" s="2" t="s">
        <v>7399</v>
      </c>
      <c r="D335" s="2" t="s">
        <v>5743</v>
      </c>
      <c r="E335" s="5">
        <v>6</v>
      </c>
      <c r="F335" s="2" t="s">
        <v>1899</v>
      </c>
      <c r="G335" s="2" t="s">
        <v>7410</v>
      </c>
      <c r="H335" s="2" t="s">
        <v>332</v>
      </c>
      <c r="I335" s="4">
        <v>1898</v>
      </c>
      <c r="J335" s="4">
        <v>0</v>
      </c>
      <c r="L335" s="31">
        <v>133.13999999999999</v>
      </c>
      <c r="M335" s="32">
        <v>14.3</v>
      </c>
      <c r="N335" s="33">
        <v>14.3</v>
      </c>
    </row>
    <row r="336" spans="1:14" x14ac:dyDescent="0.25">
      <c r="A336" s="30">
        <v>1</v>
      </c>
      <c r="B336" s="2" t="s">
        <v>7398</v>
      </c>
      <c r="C336" s="2" t="s">
        <v>7399</v>
      </c>
      <c r="D336" s="2" t="s">
        <v>5744</v>
      </c>
      <c r="E336" s="5">
        <v>4</v>
      </c>
      <c r="F336" s="2" t="s">
        <v>1897</v>
      </c>
      <c r="G336" s="2" t="s">
        <v>7409</v>
      </c>
      <c r="H336" s="2" t="s">
        <v>333</v>
      </c>
      <c r="I336" s="4">
        <v>143</v>
      </c>
      <c r="J336" s="4">
        <v>0</v>
      </c>
      <c r="L336" s="31">
        <v>25.14</v>
      </c>
      <c r="M336" s="32">
        <v>5.7</v>
      </c>
      <c r="N336" s="33">
        <v>5.7</v>
      </c>
    </row>
    <row r="337" spans="1:14" x14ac:dyDescent="0.25">
      <c r="A337" s="30">
        <v>1</v>
      </c>
      <c r="B337" s="2" t="s">
        <v>7398</v>
      </c>
      <c r="C337" s="2" t="s">
        <v>7399</v>
      </c>
      <c r="D337" s="2" t="s">
        <v>5745</v>
      </c>
      <c r="E337" s="5">
        <v>12</v>
      </c>
      <c r="F337" s="2" t="s">
        <v>1869</v>
      </c>
      <c r="G337" s="2" t="s">
        <v>7410</v>
      </c>
      <c r="H337" s="2" t="s">
        <v>334</v>
      </c>
      <c r="I337" s="4">
        <v>76</v>
      </c>
      <c r="J337" s="4">
        <v>0</v>
      </c>
      <c r="L337" s="31">
        <v>10.28</v>
      </c>
      <c r="M337" s="32">
        <v>7.4</v>
      </c>
      <c r="N337" s="33">
        <v>7.4</v>
      </c>
    </row>
    <row r="338" spans="1:14" x14ac:dyDescent="0.25">
      <c r="A338" s="30">
        <v>1</v>
      </c>
      <c r="B338" s="2" t="s">
        <v>7398</v>
      </c>
      <c r="C338" s="2" t="s">
        <v>7399</v>
      </c>
      <c r="D338" s="2" t="s">
        <v>5746</v>
      </c>
      <c r="E338" s="5">
        <v>24</v>
      </c>
      <c r="F338" s="2" t="s">
        <v>1876</v>
      </c>
      <c r="G338" s="2" t="s">
        <v>7401</v>
      </c>
      <c r="H338" s="2" t="s">
        <v>335</v>
      </c>
      <c r="I338" s="4">
        <v>425</v>
      </c>
      <c r="J338" s="4">
        <v>0</v>
      </c>
      <c r="L338" s="31">
        <v>38.85</v>
      </c>
      <c r="M338" s="32">
        <v>10.9</v>
      </c>
      <c r="N338" s="33">
        <v>10.9</v>
      </c>
    </row>
    <row r="339" spans="1:14" x14ac:dyDescent="0.25">
      <c r="A339" s="30">
        <v>1</v>
      </c>
      <c r="B339" s="2" t="s">
        <v>7398</v>
      </c>
      <c r="C339" s="2" t="s">
        <v>7399</v>
      </c>
      <c r="D339" s="2" t="s">
        <v>5747</v>
      </c>
      <c r="E339" s="5">
        <v>18</v>
      </c>
      <c r="F339" s="2" t="s">
        <v>1845</v>
      </c>
      <c r="G339" s="2" t="s">
        <v>7409</v>
      </c>
      <c r="H339" s="2" t="s">
        <v>7411</v>
      </c>
      <c r="I339" s="4">
        <v>123</v>
      </c>
      <c r="J339" s="4">
        <v>0</v>
      </c>
      <c r="L339" s="31">
        <v>12</v>
      </c>
      <c r="M339" s="32">
        <v>10.3</v>
      </c>
      <c r="N339" s="33">
        <v>10.3</v>
      </c>
    </row>
    <row r="340" spans="1:14" x14ac:dyDescent="0.25">
      <c r="A340" s="30">
        <v>1</v>
      </c>
      <c r="B340" s="2" t="s">
        <v>7398</v>
      </c>
      <c r="C340" s="2" t="s">
        <v>7399</v>
      </c>
      <c r="D340" s="2" t="s">
        <v>5748</v>
      </c>
      <c r="E340" s="5">
        <v>18</v>
      </c>
      <c r="F340" s="2" t="s">
        <v>1845</v>
      </c>
      <c r="G340" s="2" t="s">
        <v>7409</v>
      </c>
      <c r="H340" s="2" t="s">
        <v>337</v>
      </c>
      <c r="I340" s="4">
        <v>366</v>
      </c>
      <c r="J340" s="4">
        <v>0</v>
      </c>
      <c r="L340" s="31">
        <v>45</v>
      </c>
      <c r="M340" s="32">
        <v>8.1</v>
      </c>
      <c r="N340" s="33">
        <v>8.1</v>
      </c>
    </row>
    <row r="341" spans="1:14" x14ac:dyDescent="0.25">
      <c r="A341" s="30">
        <v>1</v>
      </c>
      <c r="B341" s="2" t="s">
        <v>7398</v>
      </c>
      <c r="C341" s="2" t="s">
        <v>7399</v>
      </c>
      <c r="D341" s="2" t="s">
        <v>5749</v>
      </c>
      <c r="E341" s="5">
        <v>6</v>
      </c>
      <c r="F341" s="2" t="s">
        <v>1896</v>
      </c>
      <c r="G341" s="2" t="s">
        <v>7409</v>
      </c>
      <c r="H341" s="2" t="s">
        <v>338</v>
      </c>
      <c r="I341" s="4">
        <v>73</v>
      </c>
      <c r="J341" s="4">
        <v>0</v>
      </c>
      <c r="L341" s="31">
        <v>5.42</v>
      </c>
      <c r="M341" s="32">
        <v>13.5</v>
      </c>
      <c r="N341" s="33">
        <v>13.5</v>
      </c>
    </row>
    <row r="342" spans="1:14" x14ac:dyDescent="0.25">
      <c r="A342" s="30">
        <v>1</v>
      </c>
      <c r="B342" s="2" t="s">
        <v>7398</v>
      </c>
      <c r="C342" s="2" t="s">
        <v>7399</v>
      </c>
      <c r="D342" s="2" t="s">
        <v>5750</v>
      </c>
      <c r="E342" s="5">
        <v>6</v>
      </c>
      <c r="F342" s="2" t="s">
        <v>1896</v>
      </c>
      <c r="G342" s="2" t="s">
        <v>7409</v>
      </c>
      <c r="H342" s="2" t="s">
        <v>339</v>
      </c>
      <c r="I342" s="4">
        <v>56</v>
      </c>
      <c r="J342" s="4">
        <v>0</v>
      </c>
      <c r="L342" s="31">
        <v>7.71</v>
      </c>
      <c r="M342" s="32">
        <v>7.3</v>
      </c>
      <c r="N342" s="33">
        <v>7.3</v>
      </c>
    </row>
    <row r="343" spans="1:14" x14ac:dyDescent="0.25">
      <c r="A343" s="30">
        <v>1</v>
      </c>
      <c r="B343" s="2" t="s">
        <v>7398</v>
      </c>
      <c r="C343" s="2" t="s">
        <v>7399</v>
      </c>
      <c r="D343" s="2" t="s">
        <v>5751</v>
      </c>
      <c r="E343" s="5">
        <v>24</v>
      </c>
      <c r="F343" s="2" t="s">
        <v>1898</v>
      </c>
      <c r="G343" s="2" t="s">
        <v>7401</v>
      </c>
      <c r="H343" s="2" t="s">
        <v>340</v>
      </c>
      <c r="I343" s="4">
        <v>445</v>
      </c>
      <c r="J343" s="4">
        <v>320</v>
      </c>
      <c r="L343" s="31">
        <v>45.57</v>
      </c>
      <c r="M343" s="32">
        <v>16.8</v>
      </c>
      <c r="N343" s="33">
        <v>9.8000000000000007</v>
      </c>
    </row>
    <row r="344" spans="1:14" x14ac:dyDescent="0.25">
      <c r="A344" s="30">
        <v>1</v>
      </c>
      <c r="B344" s="2" t="s">
        <v>7398</v>
      </c>
      <c r="C344" s="2" t="s">
        <v>7399</v>
      </c>
      <c r="D344" s="2" t="s">
        <v>5752</v>
      </c>
      <c r="E344" s="5">
        <v>24</v>
      </c>
      <c r="F344" s="2" t="s">
        <v>1876</v>
      </c>
      <c r="G344" s="2" t="s">
        <v>7401</v>
      </c>
      <c r="H344" s="2" t="s">
        <v>341</v>
      </c>
      <c r="I344" s="4">
        <v>3372</v>
      </c>
      <c r="J344" s="4">
        <v>0</v>
      </c>
      <c r="L344" s="31">
        <v>160</v>
      </c>
      <c r="M344" s="32">
        <v>21.1</v>
      </c>
      <c r="N344" s="33">
        <v>21.1</v>
      </c>
    </row>
    <row r="345" spans="1:14" x14ac:dyDescent="0.25">
      <c r="A345" s="30">
        <v>1</v>
      </c>
      <c r="B345" s="2" t="s">
        <v>7398</v>
      </c>
      <c r="C345" s="2" t="s">
        <v>7399</v>
      </c>
      <c r="D345" s="2" t="s">
        <v>5753</v>
      </c>
      <c r="E345" s="5">
        <v>24</v>
      </c>
      <c r="F345" s="2" t="s">
        <v>1885</v>
      </c>
      <c r="G345" s="2" t="s">
        <v>7401</v>
      </c>
      <c r="H345" s="2" t="s">
        <v>342</v>
      </c>
      <c r="I345" s="4">
        <v>4428</v>
      </c>
      <c r="J345" s="4">
        <v>800</v>
      </c>
      <c r="L345" s="31">
        <v>342.28</v>
      </c>
      <c r="M345" s="32">
        <v>15.3</v>
      </c>
      <c r="N345" s="33">
        <v>12.9</v>
      </c>
    </row>
    <row r="346" spans="1:14" x14ac:dyDescent="0.25">
      <c r="A346" s="30">
        <v>1</v>
      </c>
      <c r="B346" s="2" t="s">
        <v>7398</v>
      </c>
      <c r="C346" s="2" t="s">
        <v>7399</v>
      </c>
      <c r="D346" s="2" t="s">
        <v>5754</v>
      </c>
      <c r="E346" s="5">
        <v>24</v>
      </c>
      <c r="F346" s="2" t="s">
        <v>1900</v>
      </c>
      <c r="G346" s="2" t="s">
        <v>7401</v>
      </c>
      <c r="H346" s="2" t="s">
        <v>343</v>
      </c>
      <c r="I346" s="4">
        <v>27566</v>
      </c>
      <c r="J346" s="4">
        <v>5508</v>
      </c>
      <c r="L346" s="31">
        <v>3728.42</v>
      </c>
      <c r="M346" s="32">
        <v>8.9</v>
      </c>
      <c r="N346" s="33">
        <v>7.4</v>
      </c>
    </row>
    <row r="347" spans="1:14" x14ac:dyDescent="0.25">
      <c r="A347" s="30">
        <v>1</v>
      </c>
      <c r="B347" s="2" t="s">
        <v>7398</v>
      </c>
      <c r="C347" s="2" t="s">
        <v>7399</v>
      </c>
      <c r="D347" s="2" t="s">
        <v>5755</v>
      </c>
      <c r="E347" s="5">
        <v>1</v>
      </c>
      <c r="F347" s="2" t="s">
        <v>1892</v>
      </c>
      <c r="G347" s="2" t="s">
        <v>7409</v>
      </c>
      <c r="H347" s="2" t="s">
        <v>344</v>
      </c>
      <c r="I347" s="4">
        <v>63</v>
      </c>
      <c r="J347" s="4">
        <v>0</v>
      </c>
      <c r="L347" s="31">
        <v>6</v>
      </c>
      <c r="M347" s="32">
        <v>10.5</v>
      </c>
      <c r="N347" s="33">
        <v>10.5</v>
      </c>
    </row>
    <row r="348" spans="1:14" x14ac:dyDescent="0.25">
      <c r="A348" s="30">
        <v>1</v>
      </c>
      <c r="B348" s="2" t="s">
        <v>7398</v>
      </c>
      <c r="C348" s="2" t="s">
        <v>7399</v>
      </c>
      <c r="D348" s="2" t="s">
        <v>5756</v>
      </c>
      <c r="E348" s="5">
        <v>24</v>
      </c>
      <c r="F348" s="2" t="s">
        <v>1876</v>
      </c>
      <c r="G348" s="2" t="s">
        <v>7401</v>
      </c>
      <c r="H348" s="2" t="s">
        <v>345</v>
      </c>
      <c r="I348" s="4">
        <v>9899</v>
      </c>
      <c r="J348" s="4">
        <v>0</v>
      </c>
      <c r="L348" s="31">
        <v>499.28</v>
      </c>
      <c r="M348" s="32">
        <v>19.8</v>
      </c>
      <c r="N348" s="33">
        <v>19.8</v>
      </c>
    </row>
    <row r="349" spans="1:14" x14ac:dyDescent="0.25">
      <c r="A349" s="30">
        <v>1</v>
      </c>
      <c r="B349" s="2" t="s">
        <v>7398</v>
      </c>
      <c r="C349" s="2" t="s">
        <v>7399</v>
      </c>
      <c r="D349" s="2" t="s">
        <v>5757</v>
      </c>
      <c r="E349" s="5">
        <v>24</v>
      </c>
      <c r="F349" s="2" t="s">
        <v>1840</v>
      </c>
      <c r="G349" s="2" t="s">
        <v>7401</v>
      </c>
      <c r="H349" s="2" t="s">
        <v>346</v>
      </c>
      <c r="I349" s="4">
        <v>460</v>
      </c>
      <c r="J349" s="4">
        <v>480</v>
      </c>
      <c r="L349" s="31">
        <v>56</v>
      </c>
      <c r="M349" s="32">
        <v>16.8</v>
      </c>
      <c r="N349" s="33">
        <v>8.1999999999999993</v>
      </c>
    </row>
    <row r="350" spans="1:14" x14ac:dyDescent="0.25">
      <c r="A350" s="30">
        <v>1</v>
      </c>
      <c r="B350" s="2" t="s">
        <v>7398</v>
      </c>
      <c r="C350" s="2" t="s">
        <v>7399</v>
      </c>
      <c r="D350" s="2" t="s">
        <v>5758</v>
      </c>
      <c r="E350" s="5">
        <v>24</v>
      </c>
      <c r="F350" s="2" t="s">
        <v>1876</v>
      </c>
      <c r="G350" s="2" t="s">
        <v>7401</v>
      </c>
      <c r="H350" s="2" t="s">
        <v>347</v>
      </c>
      <c r="I350" s="4">
        <v>15874</v>
      </c>
      <c r="J350" s="4">
        <v>2244</v>
      </c>
      <c r="L350" s="31">
        <v>1282.1400000000001</v>
      </c>
      <c r="M350" s="32">
        <v>14.1</v>
      </c>
      <c r="N350" s="33">
        <v>12.4</v>
      </c>
    </row>
    <row r="351" spans="1:14" x14ac:dyDescent="0.25">
      <c r="A351" s="30">
        <v>1</v>
      </c>
      <c r="B351" s="2" t="s">
        <v>7398</v>
      </c>
      <c r="C351" s="2" t="s">
        <v>7399</v>
      </c>
      <c r="D351" s="2" t="s">
        <v>5759</v>
      </c>
      <c r="E351" s="5">
        <v>24</v>
      </c>
      <c r="F351" s="2" t="s">
        <v>1900</v>
      </c>
      <c r="G351" s="2" t="s">
        <v>7401</v>
      </c>
      <c r="H351" s="2" t="s">
        <v>348</v>
      </c>
      <c r="I351" s="4">
        <v>2684</v>
      </c>
      <c r="J351" s="4">
        <v>510</v>
      </c>
      <c r="L351" s="31">
        <v>185.71</v>
      </c>
      <c r="M351" s="32">
        <v>17.2</v>
      </c>
      <c r="N351" s="33">
        <v>14.5</v>
      </c>
    </row>
    <row r="352" spans="1:14" x14ac:dyDescent="0.25">
      <c r="A352" s="30">
        <v>1</v>
      </c>
      <c r="B352" s="2" t="s">
        <v>7398</v>
      </c>
      <c r="C352" s="2" t="s">
        <v>7399</v>
      </c>
      <c r="D352" s="2" t="s">
        <v>5760</v>
      </c>
      <c r="E352" s="5">
        <v>24</v>
      </c>
      <c r="F352" s="2" t="s">
        <v>1901</v>
      </c>
      <c r="G352" s="2" t="s">
        <v>7401</v>
      </c>
      <c r="H352" s="2" t="s">
        <v>349</v>
      </c>
      <c r="I352" s="4">
        <v>1125</v>
      </c>
      <c r="J352" s="4">
        <v>800</v>
      </c>
      <c r="L352" s="31">
        <v>101.71</v>
      </c>
      <c r="M352" s="32">
        <v>18.899999999999999</v>
      </c>
      <c r="N352" s="33">
        <v>11.1</v>
      </c>
    </row>
    <row r="353" spans="1:14" x14ac:dyDescent="0.25">
      <c r="A353" s="30">
        <v>1</v>
      </c>
      <c r="B353" s="2" t="s">
        <v>7398</v>
      </c>
      <c r="C353" s="2" t="s">
        <v>7399</v>
      </c>
      <c r="D353" s="2" t="s">
        <v>5761</v>
      </c>
      <c r="E353" s="5">
        <v>24</v>
      </c>
      <c r="F353" s="2" t="s">
        <v>1887</v>
      </c>
      <c r="G353" s="2" t="s">
        <v>7401</v>
      </c>
      <c r="H353" s="2" t="s">
        <v>350</v>
      </c>
      <c r="I353" s="4">
        <v>732</v>
      </c>
      <c r="J353" s="4">
        <v>306</v>
      </c>
      <c r="L353" s="31">
        <v>50.57</v>
      </c>
      <c r="M353" s="32">
        <v>20.5</v>
      </c>
      <c r="N353" s="33">
        <v>14.5</v>
      </c>
    </row>
    <row r="354" spans="1:14" x14ac:dyDescent="0.25">
      <c r="A354" s="30">
        <v>1</v>
      </c>
      <c r="B354" s="2" t="s">
        <v>7398</v>
      </c>
      <c r="C354" s="2" t="s">
        <v>7399</v>
      </c>
      <c r="D354" s="2" t="s">
        <v>5762</v>
      </c>
      <c r="E354" s="5">
        <v>24</v>
      </c>
      <c r="F354" s="2" t="s">
        <v>1902</v>
      </c>
      <c r="G354" s="2" t="s">
        <v>7401</v>
      </c>
      <c r="H354" s="2" t="s">
        <v>351</v>
      </c>
      <c r="I354" s="4">
        <v>0</v>
      </c>
      <c r="J354" s="4">
        <v>675</v>
      </c>
      <c r="L354" s="31">
        <v>0.28000000000000003</v>
      </c>
      <c r="M354" s="32">
        <v>2410.6999999999998</v>
      </c>
      <c r="N354" s="33">
        <v>0</v>
      </c>
    </row>
    <row r="355" spans="1:14" x14ac:dyDescent="0.25">
      <c r="A355" s="30">
        <v>1</v>
      </c>
      <c r="B355" s="2" t="s">
        <v>7398</v>
      </c>
      <c r="C355" s="2" t="s">
        <v>7399</v>
      </c>
      <c r="D355" s="2" t="s">
        <v>5763</v>
      </c>
      <c r="E355" s="5">
        <v>24</v>
      </c>
      <c r="F355" s="2" t="s">
        <v>1902</v>
      </c>
      <c r="G355" s="2" t="s">
        <v>7401</v>
      </c>
      <c r="H355" s="2" t="s">
        <v>352</v>
      </c>
      <c r="I355" s="4">
        <v>613</v>
      </c>
      <c r="J355" s="4">
        <v>1080</v>
      </c>
      <c r="L355" s="31">
        <v>10.85</v>
      </c>
      <c r="M355" s="32">
        <v>156</v>
      </c>
      <c r="N355" s="33">
        <v>56.5</v>
      </c>
    </row>
    <row r="356" spans="1:14" x14ac:dyDescent="0.25">
      <c r="A356" s="30">
        <v>1</v>
      </c>
      <c r="B356" s="2" t="s">
        <v>7398</v>
      </c>
      <c r="C356" s="2" t="s">
        <v>7399</v>
      </c>
      <c r="D356" s="2" t="s">
        <v>5764</v>
      </c>
      <c r="E356" s="5">
        <v>24</v>
      </c>
      <c r="F356" s="2" t="s">
        <v>1876</v>
      </c>
      <c r="G356" s="2" t="s">
        <v>7401</v>
      </c>
      <c r="H356" s="2" t="s">
        <v>353</v>
      </c>
      <c r="I356" s="4">
        <v>297</v>
      </c>
      <c r="J356" s="4">
        <v>510</v>
      </c>
      <c r="L356" s="31">
        <v>44.28</v>
      </c>
      <c r="M356" s="32">
        <v>18.2</v>
      </c>
      <c r="N356" s="33">
        <v>6.7</v>
      </c>
    </row>
    <row r="357" spans="1:14" x14ac:dyDescent="0.25">
      <c r="A357" s="30">
        <v>1</v>
      </c>
      <c r="B357" s="2" t="s">
        <v>7398</v>
      </c>
      <c r="C357" s="2" t="s">
        <v>7399</v>
      </c>
      <c r="D357" s="2" t="s">
        <v>5765</v>
      </c>
      <c r="E357" s="5">
        <v>12</v>
      </c>
      <c r="F357" s="2" t="s">
        <v>1903</v>
      </c>
      <c r="G357" s="2" t="s">
        <v>7403</v>
      </c>
      <c r="H357" s="2" t="s">
        <v>351</v>
      </c>
      <c r="I357" s="4">
        <v>0</v>
      </c>
      <c r="J357" s="4">
        <v>792</v>
      </c>
      <c r="L357" s="31">
        <v>0</v>
      </c>
      <c r="M357" s="32">
        <v>0</v>
      </c>
      <c r="N357" s="33">
        <v>9999</v>
      </c>
    </row>
    <row r="358" spans="1:14" x14ac:dyDescent="0.25">
      <c r="A358" s="30">
        <v>1</v>
      </c>
      <c r="B358" s="2" t="s">
        <v>7398</v>
      </c>
      <c r="C358" s="2" t="s">
        <v>7399</v>
      </c>
      <c r="D358" s="2" t="s">
        <v>5766</v>
      </c>
      <c r="E358" s="5">
        <v>12</v>
      </c>
      <c r="F358" s="2" t="s">
        <v>1903</v>
      </c>
      <c r="G358" s="2" t="s">
        <v>7403</v>
      </c>
      <c r="H358" s="2" t="s">
        <v>352</v>
      </c>
      <c r="I358" s="4">
        <v>0</v>
      </c>
      <c r="J358" s="4">
        <v>1386</v>
      </c>
      <c r="L358" s="31">
        <v>0</v>
      </c>
      <c r="M358" s="32">
        <v>0</v>
      </c>
      <c r="N358" s="33">
        <v>9999</v>
      </c>
    </row>
    <row r="359" spans="1:14" x14ac:dyDescent="0.25">
      <c r="A359" s="30">
        <v>1</v>
      </c>
      <c r="B359" s="2" t="s">
        <v>7398</v>
      </c>
      <c r="C359" s="2" t="s">
        <v>7399</v>
      </c>
      <c r="D359" s="2" t="s">
        <v>5767</v>
      </c>
      <c r="E359" s="5">
        <v>12</v>
      </c>
      <c r="F359" s="2" t="s">
        <v>1904</v>
      </c>
      <c r="G359" s="2" t="s">
        <v>7403</v>
      </c>
      <c r="H359" s="2" t="s">
        <v>354</v>
      </c>
      <c r="I359" s="4">
        <v>177</v>
      </c>
      <c r="J359" s="4">
        <v>0</v>
      </c>
      <c r="L359" s="31">
        <v>5.42</v>
      </c>
      <c r="M359" s="32">
        <v>32.700000000000003</v>
      </c>
      <c r="N359" s="33">
        <v>32.700000000000003</v>
      </c>
    </row>
    <row r="360" spans="1:14" x14ac:dyDescent="0.25">
      <c r="A360" s="30">
        <v>1</v>
      </c>
      <c r="B360" s="2" t="s">
        <v>7398</v>
      </c>
      <c r="C360" s="2" t="s">
        <v>7399</v>
      </c>
      <c r="D360" s="2" t="s">
        <v>5768</v>
      </c>
      <c r="E360" s="5">
        <v>24</v>
      </c>
      <c r="F360" s="2" t="s">
        <v>1876</v>
      </c>
      <c r="G360" s="2" t="s">
        <v>7401</v>
      </c>
      <c r="H360" s="2" t="s">
        <v>355</v>
      </c>
      <c r="I360" s="4">
        <v>310</v>
      </c>
      <c r="J360" s="4">
        <v>0</v>
      </c>
      <c r="L360" s="31">
        <v>20.85</v>
      </c>
      <c r="M360" s="32">
        <v>14.9</v>
      </c>
      <c r="N360" s="33">
        <v>14.9</v>
      </c>
    </row>
    <row r="361" spans="1:14" x14ac:dyDescent="0.25">
      <c r="A361" s="30">
        <v>1</v>
      </c>
      <c r="B361" s="2" t="s">
        <v>7398</v>
      </c>
      <c r="C361" s="2" t="s">
        <v>7399</v>
      </c>
      <c r="D361" s="2" t="s">
        <v>5769</v>
      </c>
      <c r="E361" s="5">
        <v>12</v>
      </c>
      <c r="F361" s="2" t="s">
        <v>1904</v>
      </c>
      <c r="G361" s="2" t="s">
        <v>7403</v>
      </c>
      <c r="H361" s="2" t="s">
        <v>356</v>
      </c>
      <c r="I361" s="4">
        <v>364</v>
      </c>
      <c r="J361" s="4">
        <v>0</v>
      </c>
      <c r="L361" s="31">
        <v>4.42</v>
      </c>
      <c r="M361" s="32">
        <v>82.4</v>
      </c>
      <c r="N361" s="33">
        <v>82.4</v>
      </c>
    </row>
    <row r="362" spans="1:14" x14ac:dyDescent="0.25">
      <c r="A362" s="30">
        <v>1</v>
      </c>
      <c r="B362" s="2" t="s">
        <v>7398</v>
      </c>
      <c r="C362" s="2" t="s">
        <v>7399</v>
      </c>
      <c r="D362" s="2" t="s">
        <v>5770</v>
      </c>
      <c r="E362" s="5">
        <v>24</v>
      </c>
      <c r="F362" s="2" t="s">
        <v>1876</v>
      </c>
      <c r="G362" s="2" t="s">
        <v>7401</v>
      </c>
      <c r="H362" s="2" t="s">
        <v>357</v>
      </c>
      <c r="I362" s="4">
        <v>74</v>
      </c>
      <c r="J362" s="4">
        <v>204</v>
      </c>
      <c r="L362" s="31">
        <v>16.420000000000002</v>
      </c>
      <c r="M362" s="32">
        <v>16.899999999999999</v>
      </c>
      <c r="N362" s="33">
        <v>4.5</v>
      </c>
    </row>
    <row r="363" spans="1:14" x14ac:dyDescent="0.25">
      <c r="A363" s="30">
        <v>1</v>
      </c>
      <c r="B363" s="2" t="s">
        <v>7398</v>
      </c>
      <c r="C363" s="2" t="s">
        <v>7399</v>
      </c>
      <c r="D363" s="2" t="s">
        <v>5771</v>
      </c>
      <c r="E363" s="5">
        <v>168</v>
      </c>
      <c r="F363" s="2" t="s">
        <v>1905</v>
      </c>
      <c r="G363" s="2" t="s">
        <v>7410</v>
      </c>
      <c r="H363" s="2" t="s">
        <v>358</v>
      </c>
      <c r="I363" s="4">
        <v>157</v>
      </c>
      <c r="J363" s="4">
        <v>0</v>
      </c>
      <c r="L363" s="31">
        <v>14.85</v>
      </c>
      <c r="M363" s="32">
        <v>10.6</v>
      </c>
      <c r="N363" s="33">
        <v>10.6</v>
      </c>
    </row>
    <row r="364" spans="1:14" x14ac:dyDescent="0.25">
      <c r="A364" s="30">
        <v>1</v>
      </c>
      <c r="B364" s="2" t="s">
        <v>7398</v>
      </c>
      <c r="C364" s="2" t="s">
        <v>7399</v>
      </c>
      <c r="D364" s="2" t="s">
        <v>5772</v>
      </c>
      <c r="E364" s="5">
        <v>12</v>
      </c>
      <c r="F364" s="2" t="s">
        <v>1866</v>
      </c>
      <c r="G364" s="2" t="s">
        <v>7410</v>
      </c>
      <c r="H364" s="2" t="s">
        <v>359</v>
      </c>
      <c r="I364" s="4">
        <v>333</v>
      </c>
      <c r="J364" s="4">
        <v>0</v>
      </c>
      <c r="L364" s="31">
        <v>65.28</v>
      </c>
      <c r="M364" s="32">
        <v>5.0999999999999996</v>
      </c>
      <c r="N364" s="33">
        <v>5.0999999999999996</v>
      </c>
    </row>
    <row r="365" spans="1:14" x14ac:dyDescent="0.25">
      <c r="A365" s="30">
        <v>1</v>
      </c>
      <c r="B365" s="2" t="s">
        <v>7398</v>
      </c>
      <c r="C365" s="2" t="s">
        <v>7399</v>
      </c>
      <c r="D365" s="2" t="s">
        <v>5773</v>
      </c>
      <c r="E365" s="5">
        <v>12</v>
      </c>
      <c r="F365" s="2" t="s">
        <v>1866</v>
      </c>
      <c r="G365" s="2" t="s">
        <v>7410</v>
      </c>
      <c r="H365" s="2" t="s">
        <v>360</v>
      </c>
      <c r="I365" s="4">
        <v>485</v>
      </c>
      <c r="J365" s="4">
        <v>0</v>
      </c>
      <c r="L365" s="31">
        <v>97.71</v>
      </c>
      <c r="M365" s="32">
        <v>5</v>
      </c>
      <c r="N365" s="33">
        <v>5</v>
      </c>
    </row>
    <row r="366" spans="1:14" x14ac:dyDescent="0.25">
      <c r="A366" s="30">
        <v>1</v>
      </c>
      <c r="B366" s="2" t="s">
        <v>7398</v>
      </c>
      <c r="C366" s="2" t="s">
        <v>7399</v>
      </c>
      <c r="D366" s="2" t="s">
        <v>5774</v>
      </c>
      <c r="E366" s="5">
        <v>24</v>
      </c>
      <c r="F366" s="2" t="s">
        <v>1880</v>
      </c>
      <c r="G366" s="2" t="s">
        <v>7401</v>
      </c>
      <c r="H366" s="2" t="s">
        <v>361</v>
      </c>
      <c r="I366" s="4">
        <v>1073</v>
      </c>
      <c r="J366" s="4">
        <v>1615</v>
      </c>
      <c r="L366" s="31">
        <v>236.42</v>
      </c>
      <c r="M366" s="32">
        <v>11.4</v>
      </c>
      <c r="N366" s="33">
        <v>4.5</v>
      </c>
    </row>
    <row r="367" spans="1:14" x14ac:dyDescent="0.25">
      <c r="A367" s="30">
        <v>1</v>
      </c>
      <c r="B367" s="2" t="s">
        <v>7398</v>
      </c>
      <c r="C367" s="2" t="s">
        <v>7399</v>
      </c>
      <c r="D367" s="2" t="s">
        <v>5775</v>
      </c>
      <c r="E367" s="5">
        <v>24</v>
      </c>
      <c r="F367" s="2" t="s">
        <v>1876</v>
      </c>
      <c r="G367" s="2" t="s">
        <v>7401</v>
      </c>
      <c r="H367" s="2" t="s">
        <v>362</v>
      </c>
      <c r="I367" s="4">
        <v>148</v>
      </c>
      <c r="J367" s="4">
        <v>425</v>
      </c>
      <c r="L367" s="31">
        <v>22.42</v>
      </c>
      <c r="M367" s="32">
        <v>29.3</v>
      </c>
      <c r="N367" s="33">
        <v>6.6</v>
      </c>
    </row>
    <row r="368" spans="1:14" x14ac:dyDescent="0.25">
      <c r="A368" s="30">
        <v>1</v>
      </c>
      <c r="B368" s="2" t="s">
        <v>7398</v>
      </c>
      <c r="C368" s="2" t="s">
        <v>7399</v>
      </c>
      <c r="D368" s="2" t="s">
        <v>5776</v>
      </c>
      <c r="E368" s="5">
        <v>12</v>
      </c>
      <c r="F368" s="2" t="s">
        <v>1877</v>
      </c>
      <c r="G368" s="2" t="s">
        <v>7401</v>
      </c>
      <c r="H368" s="2" t="s">
        <v>363</v>
      </c>
      <c r="I368" s="4">
        <v>1194</v>
      </c>
      <c r="J368" s="4">
        <v>2300</v>
      </c>
      <c r="L368" s="31">
        <v>279.42</v>
      </c>
      <c r="M368" s="32">
        <v>12.5</v>
      </c>
      <c r="N368" s="33">
        <v>4.3</v>
      </c>
    </row>
    <row r="369" spans="1:14" x14ac:dyDescent="0.25">
      <c r="A369" s="30">
        <v>1</v>
      </c>
      <c r="B369" s="2" t="s">
        <v>7398</v>
      </c>
      <c r="C369" s="2" t="s">
        <v>7399</v>
      </c>
      <c r="D369" s="2" t="s">
        <v>5777</v>
      </c>
      <c r="E369" s="5">
        <v>6</v>
      </c>
      <c r="F369" s="2" t="s">
        <v>1906</v>
      </c>
      <c r="G369" s="2" t="s">
        <v>7401</v>
      </c>
      <c r="H369" s="2" t="s">
        <v>364</v>
      </c>
      <c r="I369" s="4">
        <v>1705</v>
      </c>
      <c r="J369" s="4">
        <v>3626</v>
      </c>
      <c r="L369" s="31">
        <v>530.14</v>
      </c>
      <c r="M369" s="32">
        <v>10.1</v>
      </c>
      <c r="N369" s="33">
        <v>3.2</v>
      </c>
    </row>
    <row r="370" spans="1:14" x14ac:dyDescent="0.25">
      <c r="A370" s="30">
        <v>1</v>
      </c>
      <c r="B370" s="2" t="s">
        <v>7398</v>
      </c>
      <c r="C370" s="2" t="s">
        <v>7399</v>
      </c>
      <c r="D370" s="2" t="s">
        <v>5778</v>
      </c>
      <c r="E370" s="5">
        <v>30</v>
      </c>
      <c r="F370" s="2" t="s">
        <v>1849</v>
      </c>
      <c r="G370" s="2" t="s">
        <v>7409</v>
      </c>
      <c r="H370" s="2" t="s">
        <v>365</v>
      </c>
      <c r="I370" s="4">
        <v>186</v>
      </c>
      <c r="J370" s="4">
        <v>72</v>
      </c>
      <c r="L370" s="31">
        <v>24.14</v>
      </c>
      <c r="M370" s="32">
        <v>10.7</v>
      </c>
      <c r="N370" s="33">
        <v>7.7</v>
      </c>
    </row>
    <row r="371" spans="1:14" x14ac:dyDescent="0.25">
      <c r="A371" s="30">
        <v>1</v>
      </c>
      <c r="B371" s="2" t="s">
        <v>7398</v>
      </c>
      <c r="C371" s="2" t="s">
        <v>7399</v>
      </c>
      <c r="D371" s="2" t="s">
        <v>5779</v>
      </c>
      <c r="E371" s="5">
        <v>20</v>
      </c>
      <c r="F371" s="2" t="s">
        <v>1850</v>
      </c>
      <c r="G371" s="2" t="s">
        <v>7409</v>
      </c>
      <c r="H371" s="2" t="s">
        <v>366</v>
      </c>
      <c r="I371" s="4">
        <v>544</v>
      </c>
      <c r="J371" s="4">
        <v>714</v>
      </c>
      <c r="L371" s="31">
        <v>110.85</v>
      </c>
      <c r="M371" s="32">
        <v>11.3</v>
      </c>
      <c r="N371" s="33">
        <v>4.9000000000000004</v>
      </c>
    </row>
    <row r="372" spans="1:14" x14ac:dyDescent="0.25">
      <c r="A372" s="30">
        <v>1</v>
      </c>
      <c r="B372" s="2" t="s">
        <v>7398</v>
      </c>
      <c r="C372" s="2" t="s">
        <v>7399</v>
      </c>
      <c r="D372" s="2" t="s">
        <v>5780</v>
      </c>
      <c r="E372" s="5">
        <v>12</v>
      </c>
      <c r="F372" s="2" t="s">
        <v>1907</v>
      </c>
      <c r="G372" s="2" t="s">
        <v>7409</v>
      </c>
      <c r="H372" s="2" t="s">
        <v>367</v>
      </c>
      <c r="I372" s="4">
        <v>1605</v>
      </c>
      <c r="J372" s="4">
        <v>2688</v>
      </c>
      <c r="L372" s="31">
        <v>354.28</v>
      </c>
      <c r="M372" s="32">
        <v>12.1</v>
      </c>
      <c r="N372" s="33">
        <v>4.5</v>
      </c>
    </row>
    <row r="373" spans="1:14" x14ac:dyDescent="0.25">
      <c r="A373" s="30">
        <v>1</v>
      </c>
      <c r="B373" s="2" t="s">
        <v>7398</v>
      </c>
      <c r="C373" s="2" t="s">
        <v>7399</v>
      </c>
      <c r="D373" s="2" t="s">
        <v>5781</v>
      </c>
      <c r="E373" s="5">
        <v>24</v>
      </c>
      <c r="F373" s="2" t="s">
        <v>1849</v>
      </c>
      <c r="G373" s="2" t="s">
        <v>7409</v>
      </c>
      <c r="H373" s="2" t="s">
        <v>368</v>
      </c>
      <c r="I373" s="4">
        <v>36</v>
      </c>
      <c r="J373" s="4">
        <v>0</v>
      </c>
      <c r="L373" s="31">
        <v>1</v>
      </c>
      <c r="M373" s="32">
        <v>36</v>
      </c>
      <c r="N373" s="33">
        <v>36</v>
      </c>
    </row>
    <row r="374" spans="1:14" x14ac:dyDescent="0.25">
      <c r="A374" s="30">
        <v>1</v>
      </c>
      <c r="B374" s="2" t="s">
        <v>7398</v>
      </c>
      <c r="C374" s="2" t="s">
        <v>7399</v>
      </c>
      <c r="D374" s="2" t="s">
        <v>5782</v>
      </c>
      <c r="E374" s="5">
        <v>6</v>
      </c>
      <c r="F374" s="2" t="s">
        <v>1897</v>
      </c>
      <c r="G374" s="2" t="s">
        <v>7409</v>
      </c>
      <c r="H374" s="2" t="s">
        <v>369</v>
      </c>
      <c r="I374" s="4">
        <v>2074</v>
      </c>
      <c r="J374" s="4">
        <v>2856</v>
      </c>
      <c r="L374" s="31">
        <v>392.42</v>
      </c>
      <c r="M374" s="32">
        <v>12.6</v>
      </c>
      <c r="N374" s="33">
        <v>5.3</v>
      </c>
    </row>
    <row r="375" spans="1:14" x14ac:dyDescent="0.25">
      <c r="A375" s="30">
        <v>1</v>
      </c>
      <c r="B375" s="2" t="s">
        <v>7398</v>
      </c>
      <c r="C375" s="2" t="s">
        <v>7399</v>
      </c>
      <c r="D375" s="2" t="s">
        <v>5783</v>
      </c>
      <c r="E375" s="5">
        <v>3</v>
      </c>
      <c r="F375" s="2" t="s">
        <v>1908</v>
      </c>
      <c r="G375" s="2" t="s">
        <v>7409</v>
      </c>
      <c r="H375" s="2" t="s">
        <v>370</v>
      </c>
      <c r="I375" s="4">
        <v>2198</v>
      </c>
      <c r="J375" s="4">
        <v>0</v>
      </c>
      <c r="L375" s="31">
        <v>201.71</v>
      </c>
      <c r="M375" s="32">
        <v>10.9</v>
      </c>
      <c r="N375" s="33">
        <v>10.9</v>
      </c>
    </row>
    <row r="376" spans="1:14" x14ac:dyDescent="0.25">
      <c r="A376" s="30">
        <v>1</v>
      </c>
      <c r="B376" s="2" t="s">
        <v>7398</v>
      </c>
      <c r="C376" s="2" t="s">
        <v>7399</v>
      </c>
      <c r="D376" s="2" t="s">
        <v>5784</v>
      </c>
      <c r="E376" s="5">
        <v>1</v>
      </c>
      <c r="F376" s="2" t="s">
        <v>1908</v>
      </c>
      <c r="G376" s="2" t="s">
        <v>7409</v>
      </c>
      <c r="H376" s="2" t="s">
        <v>371</v>
      </c>
      <c r="I376" s="4">
        <v>815</v>
      </c>
      <c r="J376" s="4">
        <v>400</v>
      </c>
      <c r="L376" s="31">
        <v>66</v>
      </c>
      <c r="M376" s="32">
        <v>18.399999999999999</v>
      </c>
      <c r="N376" s="33">
        <v>12.3</v>
      </c>
    </row>
    <row r="377" spans="1:14" x14ac:dyDescent="0.25">
      <c r="A377" s="30">
        <v>1</v>
      </c>
      <c r="B377" s="2" t="s">
        <v>7398</v>
      </c>
      <c r="C377" s="2" t="s">
        <v>7399</v>
      </c>
      <c r="D377" s="2" t="s">
        <v>5785</v>
      </c>
      <c r="E377" s="5">
        <v>1</v>
      </c>
      <c r="F377" s="2" t="s">
        <v>1892</v>
      </c>
      <c r="G377" s="2" t="s">
        <v>7409</v>
      </c>
      <c r="H377" s="2" t="s">
        <v>372</v>
      </c>
      <c r="I377" s="4">
        <v>303</v>
      </c>
      <c r="J377" s="4">
        <v>0</v>
      </c>
      <c r="L377" s="31">
        <v>24.28</v>
      </c>
      <c r="M377" s="32">
        <v>12.5</v>
      </c>
      <c r="N377" s="33">
        <v>12.5</v>
      </c>
    </row>
    <row r="378" spans="1:14" x14ac:dyDescent="0.25">
      <c r="A378" s="30">
        <v>1</v>
      </c>
      <c r="B378" s="2" t="s">
        <v>7398</v>
      </c>
      <c r="C378" s="2" t="s">
        <v>7399</v>
      </c>
      <c r="D378" s="2" t="s">
        <v>5786</v>
      </c>
      <c r="E378" s="5">
        <v>1</v>
      </c>
      <c r="F378" s="2" t="s">
        <v>1909</v>
      </c>
      <c r="G378" s="2" t="s">
        <v>7409</v>
      </c>
      <c r="H378" s="2" t="s">
        <v>373</v>
      </c>
      <c r="I378" s="4">
        <v>77</v>
      </c>
      <c r="J378" s="4">
        <v>0</v>
      </c>
      <c r="L378" s="31">
        <v>0.14000000000000001</v>
      </c>
      <c r="M378" s="32">
        <v>550</v>
      </c>
      <c r="N378" s="33">
        <v>550</v>
      </c>
    </row>
    <row r="379" spans="1:14" x14ac:dyDescent="0.25">
      <c r="A379" s="30">
        <v>1</v>
      </c>
      <c r="B379" s="2" t="s">
        <v>7398</v>
      </c>
      <c r="C379" s="2" t="s">
        <v>7399</v>
      </c>
      <c r="D379" s="2" t="s">
        <v>5787</v>
      </c>
      <c r="E379" s="5">
        <v>99</v>
      </c>
      <c r="F379" s="2" t="s">
        <v>1908</v>
      </c>
      <c r="G379" s="2" t="s">
        <v>7409</v>
      </c>
      <c r="H379" s="2" t="s">
        <v>374</v>
      </c>
      <c r="I379" s="4">
        <v>32</v>
      </c>
      <c r="J379" s="4">
        <v>2</v>
      </c>
      <c r="L379" s="31">
        <v>1</v>
      </c>
      <c r="M379" s="32">
        <v>34</v>
      </c>
      <c r="N379" s="33">
        <v>32</v>
      </c>
    </row>
    <row r="380" spans="1:14" x14ac:dyDescent="0.25">
      <c r="A380" s="30">
        <v>1</v>
      </c>
      <c r="B380" s="2" t="s">
        <v>7398</v>
      </c>
      <c r="C380" s="2" t="s">
        <v>7399</v>
      </c>
      <c r="D380" s="2" t="s">
        <v>5788</v>
      </c>
      <c r="E380" s="5">
        <v>12</v>
      </c>
      <c r="F380" s="2" t="s">
        <v>1910</v>
      </c>
      <c r="G380" s="2" t="s">
        <v>7409</v>
      </c>
      <c r="H380" s="2" t="s">
        <v>375</v>
      </c>
      <c r="I380" s="4">
        <v>32</v>
      </c>
      <c r="J380" s="4">
        <v>100</v>
      </c>
      <c r="L380" s="31">
        <v>7.28</v>
      </c>
      <c r="M380" s="32">
        <v>18.100000000000001</v>
      </c>
      <c r="N380" s="33">
        <v>4.4000000000000004</v>
      </c>
    </row>
    <row r="381" spans="1:14" x14ac:dyDescent="0.25">
      <c r="A381" s="30">
        <v>1</v>
      </c>
      <c r="B381" s="2" t="s">
        <v>7398</v>
      </c>
      <c r="C381" s="2" t="s">
        <v>7399</v>
      </c>
      <c r="D381" s="2" t="s">
        <v>5789</v>
      </c>
      <c r="E381" s="5">
        <v>14</v>
      </c>
      <c r="F381" s="2" t="s">
        <v>1910</v>
      </c>
      <c r="G381" s="2" t="s">
        <v>7409</v>
      </c>
      <c r="H381" s="2" t="s">
        <v>376</v>
      </c>
      <c r="I381" s="4">
        <v>580</v>
      </c>
      <c r="J381" s="4">
        <v>720</v>
      </c>
      <c r="L381" s="31">
        <v>99.71</v>
      </c>
      <c r="M381" s="32">
        <v>13</v>
      </c>
      <c r="N381" s="33">
        <v>5.8</v>
      </c>
    </row>
    <row r="382" spans="1:14" x14ac:dyDescent="0.25">
      <c r="A382" s="30">
        <v>1</v>
      </c>
      <c r="B382" s="2" t="s">
        <v>7398</v>
      </c>
      <c r="C382" s="2" t="s">
        <v>7399</v>
      </c>
      <c r="D382" s="2" t="s">
        <v>5790</v>
      </c>
      <c r="E382" s="5">
        <v>30</v>
      </c>
      <c r="F382" s="2" t="s">
        <v>1849</v>
      </c>
      <c r="G382" s="2" t="s">
        <v>7409</v>
      </c>
      <c r="H382" s="2" t="s">
        <v>377</v>
      </c>
      <c r="I382" s="4">
        <v>171</v>
      </c>
      <c r="J382" s="4">
        <v>432</v>
      </c>
      <c r="L382" s="31">
        <v>54</v>
      </c>
      <c r="M382" s="32">
        <v>11.2</v>
      </c>
      <c r="N382" s="33">
        <v>3.2</v>
      </c>
    </row>
    <row r="383" spans="1:14" x14ac:dyDescent="0.25">
      <c r="A383" s="30">
        <v>1</v>
      </c>
      <c r="B383" s="2" t="s">
        <v>7398</v>
      </c>
      <c r="C383" s="2" t="s">
        <v>7399</v>
      </c>
      <c r="D383" s="2" t="s">
        <v>5791</v>
      </c>
      <c r="E383" s="5">
        <v>12</v>
      </c>
      <c r="F383" s="2" t="s">
        <v>1910</v>
      </c>
      <c r="G383" s="2" t="s">
        <v>7409</v>
      </c>
      <c r="H383" s="2" t="s">
        <v>378</v>
      </c>
      <c r="I383" s="4">
        <v>43</v>
      </c>
      <c r="J383" s="4">
        <v>200</v>
      </c>
      <c r="L383" s="31">
        <v>23.42</v>
      </c>
      <c r="M383" s="32">
        <v>10.4</v>
      </c>
      <c r="N383" s="33">
        <v>1.8</v>
      </c>
    </row>
    <row r="384" spans="1:14" x14ac:dyDescent="0.25">
      <c r="A384" s="30">
        <v>1</v>
      </c>
      <c r="B384" s="2" t="s">
        <v>7398</v>
      </c>
      <c r="C384" s="2" t="s">
        <v>7399</v>
      </c>
      <c r="D384" s="2" t="s">
        <v>5792</v>
      </c>
      <c r="E384" s="5">
        <v>20</v>
      </c>
      <c r="F384" s="2" t="s">
        <v>1910</v>
      </c>
      <c r="G384" s="2" t="s">
        <v>7409</v>
      </c>
      <c r="H384" s="2" t="s">
        <v>379</v>
      </c>
      <c r="I384" s="4">
        <v>656</v>
      </c>
      <c r="J384" s="4">
        <v>1100</v>
      </c>
      <c r="L384" s="31">
        <v>40.57</v>
      </c>
      <c r="M384" s="32">
        <v>43.3</v>
      </c>
      <c r="N384" s="33">
        <v>16.2</v>
      </c>
    </row>
    <row r="385" spans="1:14" x14ac:dyDescent="0.25">
      <c r="A385" s="30">
        <v>1</v>
      </c>
      <c r="B385" s="2" t="s">
        <v>7398</v>
      </c>
      <c r="C385" s="2" t="s">
        <v>7399</v>
      </c>
      <c r="D385" s="2" t="s">
        <v>5793</v>
      </c>
      <c r="E385" s="5">
        <v>5</v>
      </c>
      <c r="F385" s="2" t="s">
        <v>1911</v>
      </c>
      <c r="G385" s="2" t="s">
        <v>7409</v>
      </c>
      <c r="H385" s="2" t="s">
        <v>380</v>
      </c>
      <c r="I385" s="4">
        <v>0</v>
      </c>
      <c r="J385" s="4">
        <v>0</v>
      </c>
      <c r="L385" s="31">
        <v>0</v>
      </c>
      <c r="M385" s="32">
        <v>0</v>
      </c>
      <c r="N385" s="33">
        <v>9999</v>
      </c>
    </row>
    <row r="386" spans="1:14" x14ac:dyDescent="0.25">
      <c r="A386" s="30">
        <v>1</v>
      </c>
      <c r="B386" s="2" t="s">
        <v>7398</v>
      </c>
      <c r="C386" s="2" t="s">
        <v>7399</v>
      </c>
      <c r="D386" s="2" t="s">
        <v>5794</v>
      </c>
      <c r="E386" s="5">
        <v>2</v>
      </c>
      <c r="F386" s="2" t="s">
        <v>1908</v>
      </c>
      <c r="G386" s="2" t="s">
        <v>7409</v>
      </c>
      <c r="H386" s="2" t="s">
        <v>381</v>
      </c>
      <c r="I386" s="4">
        <v>4400</v>
      </c>
      <c r="J386" s="4">
        <v>29375</v>
      </c>
      <c r="L386" s="31">
        <v>1674.28</v>
      </c>
      <c r="M386" s="32">
        <v>20.2</v>
      </c>
      <c r="N386" s="33">
        <v>2.6</v>
      </c>
    </row>
    <row r="387" spans="1:14" x14ac:dyDescent="0.25">
      <c r="A387" s="30">
        <v>1</v>
      </c>
      <c r="B387" s="2" t="s">
        <v>7398</v>
      </c>
      <c r="C387" s="2" t="s">
        <v>7399</v>
      </c>
      <c r="D387" s="2" t="s">
        <v>5795</v>
      </c>
      <c r="E387" s="5">
        <v>1</v>
      </c>
      <c r="F387" s="2" t="s">
        <v>1908</v>
      </c>
      <c r="G387" s="2" t="s">
        <v>7409</v>
      </c>
      <c r="H387" s="2" t="s">
        <v>382</v>
      </c>
      <c r="I387" s="4">
        <v>1356</v>
      </c>
      <c r="J387" s="4">
        <v>6800</v>
      </c>
      <c r="L387" s="31">
        <v>293</v>
      </c>
      <c r="M387" s="32">
        <v>27.8</v>
      </c>
      <c r="N387" s="33">
        <v>4.5999999999999996</v>
      </c>
    </row>
    <row r="388" spans="1:14" x14ac:dyDescent="0.25">
      <c r="A388" s="30">
        <v>1</v>
      </c>
      <c r="B388" s="2" t="s">
        <v>7398</v>
      </c>
      <c r="C388" s="2" t="s">
        <v>7399</v>
      </c>
      <c r="D388" s="2" t="s">
        <v>5796</v>
      </c>
      <c r="E388" s="5">
        <v>4</v>
      </c>
      <c r="F388" s="2" t="s">
        <v>1897</v>
      </c>
      <c r="G388" s="2" t="s">
        <v>7409</v>
      </c>
      <c r="H388" s="2" t="s">
        <v>383</v>
      </c>
      <c r="I388" s="4">
        <v>13030</v>
      </c>
      <c r="J388" s="4">
        <v>23680</v>
      </c>
      <c r="L388" s="31">
        <v>1613.71</v>
      </c>
      <c r="M388" s="32">
        <v>22.7</v>
      </c>
      <c r="N388" s="33">
        <v>8.1</v>
      </c>
    </row>
    <row r="389" spans="1:14" x14ac:dyDescent="0.25">
      <c r="A389" s="30">
        <v>1</v>
      </c>
      <c r="B389" s="2" t="s">
        <v>7398</v>
      </c>
      <c r="C389" s="2" t="s">
        <v>7399</v>
      </c>
      <c r="D389" s="2" t="s">
        <v>5797</v>
      </c>
      <c r="E389" s="5">
        <v>8</v>
      </c>
      <c r="F389" s="2" t="s">
        <v>1907</v>
      </c>
      <c r="G389" s="2" t="s">
        <v>7409</v>
      </c>
      <c r="H389" s="2" t="s">
        <v>384</v>
      </c>
      <c r="I389" s="4">
        <v>26936</v>
      </c>
      <c r="J389" s="4">
        <v>47100</v>
      </c>
      <c r="L389" s="31">
        <v>3096.14</v>
      </c>
      <c r="M389" s="32">
        <v>23.9</v>
      </c>
      <c r="N389" s="33">
        <v>8.6999999999999993</v>
      </c>
    </row>
    <row r="390" spans="1:14" x14ac:dyDescent="0.25">
      <c r="A390" s="30">
        <v>1</v>
      </c>
      <c r="B390" s="2" t="s">
        <v>7398</v>
      </c>
      <c r="C390" s="2" t="s">
        <v>7399</v>
      </c>
      <c r="D390" s="2" t="s">
        <v>5798</v>
      </c>
      <c r="E390" s="5">
        <v>8</v>
      </c>
      <c r="F390" s="2" t="s">
        <v>1907</v>
      </c>
      <c r="G390" s="2" t="s">
        <v>7409</v>
      </c>
      <c r="H390" s="2" t="s">
        <v>385</v>
      </c>
      <c r="I390" s="4">
        <v>997</v>
      </c>
      <c r="J390" s="4">
        <v>952</v>
      </c>
      <c r="L390" s="31">
        <v>159.28</v>
      </c>
      <c r="M390" s="32">
        <v>12.2</v>
      </c>
      <c r="N390" s="33">
        <v>6.3</v>
      </c>
    </row>
    <row r="391" spans="1:14" x14ac:dyDescent="0.25">
      <c r="A391" s="30">
        <v>1</v>
      </c>
      <c r="B391" s="2" t="s">
        <v>7398</v>
      </c>
      <c r="C391" s="2" t="s">
        <v>7399</v>
      </c>
      <c r="D391" s="2" t="s">
        <v>5799</v>
      </c>
      <c r="E391" s="5">
        <v>12</v>
      </c>
      <c r="F391" s="2" t="s">
        <v>1910</v>
      </c>
      <c r="G391" s="2" t="s">
        <v>7409</v>
      </c>
      <c r="H391" s="2" t="s">
        <v>386</v>
      </c>
      <c r="I391" s="4">
        <v>18661</v>
      </c>
      <c r="J391" s="4">
        <v>40290</v>
      </c>
      <c r="L391" s="31">
        <v>1220.1400000000001</v>
      </c>
      <c r="M391" s="32">
        <v>48.3</v>
      </c>
      <c r="N391" s="33">
        <v>15.3</v>
      </c>
    </row>
    <row r="392" spans="1:14" x14ac:dyDescent="0.25">
      <c r="A392" s="30">
        <v>1</v>
      </c>
      <c r="B392" s="2" t="s">
        <v>7398</v>
      </c>
      <c r="C392" s="2" t="s">
        <v>7399</v>
      </c>
      <c r="D392" s="2" t="s">
        <v>5800</v>
      </c>
      <c r="E392" s="5">
        <v>99</v>
      </c>
      <c r="F392" s="2" t="s">
        <v>1908</v>
      </c>
      <c r="G392" s="2" t="s">
        <v>7409</v>
      </c>
      <c r="H392" s="2" t="s">
        <v>387</v>
      </c>
      <c r="I392" s="4">
        <v>2</v>
      </c>
      <c r="J392" s="4">
        <v>16</v>
      </c>
      <c r="L392" s="31">
        <v>0.42</v>
      </c>
      <c r="M392" s="32">
        <v>42.9</v>
      </c>
      <c r="N392" s="33">
        <v>4.8</v>
      </c>
    </row>
    <row r="393" spans="1:14" x14ac:dyDescent="0.25">
      <c r="A393" s="30">
        <v>1</v>
      </c>
      <c r="B393" s="2" t="s">
        <v>7398</v>
      </c>
      <c r="C393" s="2" t="s">
        <v>7399</v>
      </c>
      <c r="D393" s="2" t="s">
        <v>5801</v>
      </c>
      <c r="E393" s="5">
        <v>12</v>
      </c>
      <c r="F393" s="2" t="s">
        <v>1866</v>
      </c>
      <c r="G393" s="2" t="s">
        <v>7405</v>
      </c>
      <c r="H393" s="2" t="s">
        <v>388</v>
      </c>
      <c r="I393" s="4">
        <v>136</v>
      </c>
      <c r="J393" s="4">
        <v>0</v>
      </c>
      <c r="L393" s="31">
        <v>37.57</v>
      </c>
      <c r="M393" s="32">
        <v>3.6</v>
      </c>
      <c r="N393" s="33">
        <v>3.6</v>
      </c>
    </row>
    <row r="394" spans="1:14" x14ac:dyDescent="0.25">
      <c r="A394" s="30">
        <v>1</v>
      </c>
      <c r="B394" s="2" t="s">
        <v>7398</v>
      </c>
      <c r="C394" s="2" t="s">
        <v>7399</v>
      </c>
      <c r="D394" s="2" t="s">
        <v>5802</v>
      </c>
      <c r="E394" s="5">
        <v>24</v>
      </c>
      <c r="F394" s="2" t="s">
        <v>1882</v>
      </c>
      <c r="G394" s="2" t="s">
        <v>7409</v>
      </c>
      <c r="H394" s="2" t="s">
        <v>389</v>
      </c>
      <c r="I394" s="4">
        <v>42</v>
      </c>
      <c r="J394" s="4">
        <v>0</v>
      </c>
      <c r="L394" s="31">
        <v>5.71</v>
      </c>
      <c r="M394" s="32">
        <v>7.4</v>
      </c>
      <c r="N394" s="33">
        <v>7.4</v>
      </c>
    </row>
    <row r="395" spans="1:14" x14ac:dyDescent="0.25">
      <c r="A395" s="30">
        <v>1</v>
      </c>
      <c r="B395" s="2" t="s">
        <v>7398</v>
      </c>
      <c r="C395" s="2" t="s">
        <v>7399</v>
      </c>
      <c r="D395" s="2" t="s">
        <v>5803</v>
      </c>
      <c r="E395" s="5">
        <v>30</v>
      </c>
      <c r="F395" s="2" t="s">
        <v>1849</v>
      </c>
      <c r="G395" s="2" t="s">
        <v>7409</v>
      </c>
      <c r="H395" s="2" t="s">
        <v>390</v>
      </c>
      <c r="I395" s="4">
        <v>1058</v>
      </c>
      <c r="J395" s="4">
        <v>144</v>
      </c>
      <c r="L395" s="31">
        <v>115</v>
      </c>
      <c r="M395" s="32">
        <v>10.5</v>
      </c>
      <c r="N395" s="33">
        <v>9.1999999999999993</v>
      </c>
    </row>
    <row r="396" spans="1:14" x14ac:dyDescent="0.25">
      <c r="A396" s="30">
        <v>1</v>
      </c>
      <c r="B396" s="2" t="s">
        <v>7398</v>
      </c>
      <c r="C396" s="2" t="s">
        <v>7399</v>
      </c>
      <c r="D396" s="2" t="s">
        <v>5804</v>
      </c>
      <c r="E396" s="5">
        <v>1</v>
      </c>
      <c r="F396" s="2" t="s">
        <v>1909</v>
      </c>
      <c r="G396" s="2" t="s">
        <v>7409</v>
      </c>
      <c r="H396" s="2" t="s">
        <v>391</v>
      </c>
      <c r="I396" s="4">
        <v>29</v>
      </c>
      <c r="J396" s="4">
        <v>40</v>
      </c>
      <c r="L396" s="31">
        <v>5.14</v>
      </c>
      <c r="M396" s="32">
        <v>13.4</v>
      </c>
      <c r="N396" s="33">
        <v>5.6</v>
      </c>
    </row>
    <row r="397" spans="1:14" x14ac:dyDescent="0.25">
      <c r="A397" s="30">
        <v>1</v>
      </c>
      <c r="B397" s="2" t="s">
        <v>7398</v>
      </c>
      <c r="C397" s="2" t="s">
        <v>7399</v>
      </c>
      <c r="D397" s="2" t="s">
        <v>5805</v>
      </c>
      <c r="E397" s="5">
        <v>20</v>
      </c>
      <c r="F397" s="2" t="s">
        <v>1850</v>
      </c>
      <c r="G397" s="2" t="s">
        <v>7409</v>
      </c>
      <c r="H397" s="2" t="s">
        <v>392</v>
      </c>
      <c r="I397" s="4">
        <v>2195</v>
      </c>
      <c r="J397" s="4">
        <v>294</v>
      </c>
      <c r="L397" s="31">
        <v>211.57</v>
      </c>
      <c r="M397" s="32">
        <v>11.8</v>
      </c>
      <c r="N397" s="33">
        <v>10.4</v>
      </c>
    </row>
    <row r="398" spans="1:14" x14ac:dyDescent="0.25">
      <c r="A398" s="30">
        <v>1</v>
      </c>
      <c r="B398" s="2" t="s">
        <v>7398</v>
      </c>
      <c r="C398" s="2" t="s">
        <v>7399</v>
      </c>
      <c r="D398" s="2" t="s">
        <v>5806</v>
      </c>
      <c r="E398" s="5">
        <v>12</v>
      </c>
      <c r="F398" s="2" t="s">
        <v>1907</v>
      </c>
      <c r="G398" s="2" t="s">
        <v>7409</v>
      </c>
      <c r="H398" s="2" t="s">
        <v>393</v>
      </c>
      <c r="I398" s="4">
        <v>4580</v>
      </c>
      <c r="J398" s="4">
        <v>462</v>
      </c>
      <c r="L398" s="31">
        <v>423.85</v>
      </c>
      <c r="M398" s="32">
        <v>11.9</v>
      </c>
      <c r="N398" s="33">
        <v>10.8</v>
      </c>
    </row>
    <row r="399" spans="1:14" x14ac:dyDescent="0.25">
      <c r="A399" s="30">
        <v>1</v>
      </c>
      <c r="B399" s="2" t="s">
        <v>7398</v>
      </c>
      <c r="C399" s="2" t="s">
        <v>7399</v>
      </c>
      <c r="D399" s="2" t="s">
        <v>5807</v>
      </c>
      <c r="E399" s="5">
        <v>6</v>
      </c>
      <c r="F399" s="2" t="s">
        <v>1897</v>
      </c>
      <c r="G399" s="2" t="s">
        <v>7409</v>
      </c>
      <c r="H399" s="2" t="s">
        <v>394</v>
      </c>
      <c r="I399" s="4">
        <v>1935</v>
      </c>
      <c r="J399" s="4">
        <v>2142</v>
      </c>
      <c r="L399" s="31">
        <v>324.85000000000002</v>
      </c>
      <c r="M399" s="32">
        <v>12.6</v>
      </c>
      <c r="N399" s="33">
        <v>6</v>
      </c>
    </row>
    <row r="400" spans="1:14" x14ac:dyDescent="0.25">
      <c r="A400" s="30">
        <v>1</v>
      </c>
      <c r="B400" s="2" t="s">
        <v>7398</v>
      </c>
      <c r="C400" s="2" t="s">
        <v>7399</v>
      </c>
      <c r="D400" s="2" t="s">
        <v>5808</v>
      </c>
      <c r="E400" s="5">
        <v>3</v>
      </c>
      <c r="F400" s="2" t="s">
        <v>1908</v>
      </c>
      <c r="G400" s="2" t="s">
        <v>7409</v>
      </c>
      <c r="H400" s="2" t="s">
        <v>395</v>
      </c>
      <c r="I400" s="4">
        <v>2593</v>
      </c>
      <c r="J400" s="4">
        <v>2800</v>
      </c>
      <c r="L400" s="31">
        <v>408.85</v>
      </c>
      <c r="M400" s="32">
        <v>13.2</v>
      </c>
      <c r="N400" s="33">
        <v>6.3</v>
      </c>
    </row>
    <row r="401" spans="1:14" x14ac:dyDescent="0.25">
      <c r="A401" s="30">
        <v>1</v>
      </c>
      <c r="B401" s="2" t="s">
        <v>7398</v>
      </c>
      <c r="C401" s="2" t="s">
        <v>7399</v>
      </c>
      <c r="D401" s="2" t="s">
        <v>5809</v>
      </c>
      <c r="E401" s="5">
        <v>30</v>
      </c>
      <c r="F401" s="2" t="s">
        <v>1849</v>
      </c>
      <c r="G401" s="2" t="s">
        <v>7409</v>
      </c>
      <c r="H401" s="2" t="s">
        <v>396</v>
      </c>
      <c r="I401" s="4">
        <v>2294</v>
      </c>
      <c r="J401" s="4">
        <v>1440</v>
      </c>
      <c r="L401" s="31">
        <v>426.28</v>
      </c>
      <c r="M401" s="32">
        <v>8.8000000000000007</v>
      </c>
      <c r="N401" s="33">
        <v>5.4</v>
      </c>
    </row>
    <row r="402" spans="1:14" x14ac:dyDescent="0.25">
      <c r="A402" s="30">
        <v>1</v>
      </c>
      <c r="B402" s="2" t="s">
        <v>7398</v>
      </c>
      <c r="C402" s="2" t="s">
        <v>7399</v>
      </c>
      <c r="D402" s="2" t="s">
        <v>5810</v>
      </c>
      <c r="E402" s="5">
        <v>20</v>
      </c>
      <c r="F402" s="2" t="s">
        <v>1850</v>
      </c>
      <c r="G402" s="2" t="s">
        <v>7409</v>
      </c>
      <c r="H402" s="2" t="s">
        <v>397</v>
      </c>
      <c r="I402" s="4">
        <v>3096</v>
      </c>
      <c r="J402" s="4">
        <v>3990</v>
      </c>
      <c r="L402" s="31">
        <v>672.28</v>
      </c>
      <c r="M402" s="32">
        <v>10.5</v>
      </c>
      <c r="N402" s="33">
        <v>4.5999999999999996</v>
      </c>
    </row>
    <row r="403" spans="1:14" x14ac:dyDescent="0.25">
      <c r="A403" s="30">
        <v>1</v>
      </c>
      <c r="B403" s="2" t="s">
        <v>7398</v>
      </c>
      <c r="C403" s="2" t="s">
        <v>7399</v>
      </c>
      <c r="D403" s="2" t="s">
        <v>5811</v>
      </c>
      <c r="E403" s="5">
        <v>12</v>
      </c>
      <c r="F403" s="2" t="s">
        <v>1910</v>
      </c>
      <c r="G403" s="2" t="s">
        <v>7409</v>
      </c>
      <c r="H403" s="2" t="s">
        <v>398</v>
      </c>
      <c r="I403" s="4">
        <v>4410</v>
      </c>
      <c r="J403" s="4">
        <v>3400</v>
      </c>
      <c r="L403" s="31">
        <v>712</v>
      </c>
      <c r="M403" s="32">
        <v>11</v>
      </c>
      <c r="N403" s="33">
        <v>6.2</v>
      </c>
    </row>
    <row r="404" spans="1:14" x14ac:dyDescent="0.25">
      <c r="A404" s="30">
        <v>1</v>
      </c>
      <c r="B404" s="2" t="s">
        <v>7398</v>
      </c>
      <c r="C404" s="2" t="s">
        <v>7399</v>
      </c>
      <c r="D404" s="2" t="s">
        <v>5812</v>
      </c>
      <c r="E404" s="5">
        <v>12</v>
      </c>
      <c r="F404" s="2" t="s">
        <v>1907</v>
      </c>
      <c r="G404" s="2" t="s">
        <v>7409</v>
      </c>
      <c r="H404" s="2" t="s">
        <v>399</v>
      </c>
      <c r="I404" s="4">
        <v>10704</v>
      </c>
      <c r="J404" s="4">
        <v>8400</v>
      </c>
      <c r="L404" s="31">
        <v>1787.57</v>
      </c>
      <c r="M404" s="32">
        <v>10.7</v>
      </c>
      <c r="N404" s="33">
        <v>6</v>
      </c>
    </row>
    <row r="405" spans="1:14" x14ac:dyDescent="0.25">
      <c r="A405" s="30">
        <v>1</v>
      </c>
      <c r="B405" s="2" t="s">
        <v>7398</v>
      </c>
      <c r="C405" s="2" t="s">
        <v>7399</v>
      </c>
      <c r="D405" s="2" t="s">
        <v>5813</v>
      </c>
      <c r="E405" s="5">
        <v>12</v>
      </c>
      <c r="F405" s="2" t="s">
        <v>1866</v>
      </c>
      <c r="G405" s="2" t="s">
        <v>7405</v>
      </c>
      <c r="H405" s="2" t="s">
        <v>400</v>
      </c>
      <c r="I405" s="4">
        <v>324</v>
      </c>
      <c r="J405" s="4">
        <v>0</v>
      </c>
      <c r="L405" s="31">
        <v>37.28</v>
      </c>
      <c r="M405" s="32">
        <v>8.6999999999999993</v>
      </c>
      <c r="N405" s="33">
        <v>8.6999999999999993</v>
      </c>
    </row>
    <row r="406" spans="1:14" x14ac:dyDescent="0.25">
      <c r="A406" s="30">
        <v>1</v>
      </c>
      <c r="B406" s="2" t="s">
        <v>7398</v>
      </c>
      <c r="C406" s="2" t="s">
        <v>7399</v>
      </c>
      <c r="D406" s="2" t="s">
        <v>5814</v>
      </c>
      <c r="E406" s="5">
        <v>6</v>
      </c>
      <c r="F406" s="2" t="s">
        <v>1897</v>
      </c>
      <c r="G406" s="2" t="s">
        <v>7409</v>
      </c>
      <c r="H406" s="2" t="s">
        <v>401</v>
      </c>
      <c r="I406" s="4">
        <v>6720</v>
      </c>
      <c r="J406" s="4">
        <v>13104</v>
      </c>
      <c r="L406" s="31">
        <v>1996.42</v>
      </c>
      <c r="M406" s="32">
        <v>9.9</v>
      </c>
      <c r="N406" s="33">
        <v>3.4</v>
      </c>
    </row>
    <row r="407" spans="1:14" x14ac:dyDescent="0.25">
      <c r="A407" s="30">
        <v>1</v>
      </c>
      <c r="B407" s="2" t="s">
        <v>7398</v>
      </c>
      <c r="C407" s="2" t="s">
        <v>7399</v>
      </c>
      <c r="D407" s="2" t="s">
        <v>5815</v>
      </c>
      <c r="E407" s="5">
        <v>3</v>
      </c>
      <c r="F407" s="2" t="s">
        <v>1908</v>
      </c>
      <c r="G407" s="2" t="s">
        <v>7409</v>
      </c>
      <c r="H407" s="2" t="s">
        <v>402</v>
      </c>
      <c r="I407" s="4">
        <v>19089</v>
      </c>
      <c r="J407" s="4">
        <v>14980</v>
      </c>
      <c r="L407" s="31">
        <v>2993.71</v>
      </c>
      <c r="M407" s="32">
        <v>11.4</v>
      </c>
      <c r="N407" s="33">
        <v>6.4</v>
      </c>
    </row>
    <row r="408" spans="1:14" x14ac:dyDescent="0.25">
      <c r="A408" s="30">
        <v>1</v>
      </c>
      <c r="B408" s="2" t="s">
        <v>7398</v>
      </c>
      <c r="C408" s="2" t="s">
        <v>7399</v>
      </c>
      <c r="D408" s="2" t="s">
        <v>5816</v>
      </c>
      <c r="E408" s="5">
        <v>1</v>
      </c>
      <c r="F408" s="2" t="s">
        <v>1908</v>
      </c>
      <c r="G408" s="2" t="s">
        <v>7409</v>
      </c>
      <c r="H408" s="2" t="s">
        <v>403</v>
      </c>
      <c r="I408" s="4">
        <v>2148</v>
      </c>
      <c r="J408" s="4">
        <v>2100</v>
      </c>
      <c r="L408" s="31">
        <v>318.57</v>
      </c>
      <c r="M408" s="32">
        <v>13.3</v>
      </c>
      <c r="N408" s="33">
        <v>6.7</v>
      </c>
    </row>
    <row r="409" spans="1:14" x14ac:dyDescent="0.25">
      <c r="A409" s="30">
        <v>1</v>
      </c>
      <c r="B409" s="2" t="s">
        <v>7398</v>
      </c>
      <c r="C409" s="2" t="s">
        <v>7399</v>
      </c>
      <c r="D409" s="2" t="s">
        <v>5817</v>
      </c>
      <c r="E409" s="5">
        <v>1</v>
      </c>
      <c r="F409" s="2" t="s">
        <v>1892</v>
      </c>
      <c r="G409" s="2" t="s">
        <v>7409</v>
      </c>
      <c r="H409" s="2" t="s">
        <v>404</v>
      </c>
      <c r="I409" s="4">
        <v>2432</v>
      </c>
      <c r="J409" s="4">
        <v>6150</v>
      </c>
      <c r="L409" s="31">
        <v>724.71</v>
      </c>
      <c r="M409" s="32">
        <v>11.8</v>
      </c>
      <c r="N409" s="33">
        <v>3.4</v>
      </c>
    </row>
    <row r="410" spans="1:14" x14ac:dyDescent="0.25">
      <c r="A410" s="30">
        <v>1</v>
      </c>
      <c r="B410" s="2" t="s">
        <v>7398</v>
      </c>
      <c r="C410" s="2" t="s">
        <v>7399</v>
      </c>
      <c r="D410" s="2" t="s">
        <v>5818</v>
      </c>
      <c r="E410" s="5">
        <v>1</v>
      </c>
      <c r="F410" s="2" t="s">
        <v>1909</v>
      </c>
      <c r="G410" s="2" t="s">
        <v>7409</v>
      </c>
      <c r="H410" s="2" t="s">
        <v>405</v>
      </c>
      <c r="I410" s="4">
        <v>275</v>
      </c>
      <c r="J410" s="4">
        <v>220</v>
      </c>
      <c r="L410" s="31">
        <v>28.14</v>
      </c>
      <c r="M410" s="32">
        <v>17.600000000000001</v>
      </c>
      <c r="N410" s="33">
        <v>9.8000000000000007</v>
      </c>
    </row>
    <row r="411" spans="1:14" x14ac:dyDescent="0.25">
      <c r="A411" s="30">
        <v>1</v>
      </c>
      <c r="B411" s="2" t="s">
        <v>7398</v>
      </c>
      <c r="C411" s="2" t="s">
        <v>7399</v>
      </c>
      <c r="D411" s="2" t="s">
        <v>5819</v>
      </c>
      <c r="E411" s="5">
        <v>99</v>
      </c>
      <c r="F411" s="2" t="s">
        <v>1908</v>
      </c>
      <c r="G411" s="2" t="s">
        <v>7409</v>
      </c>
      <c r="H411" s="2" t="s">
        <v>406</v>
      </c>
      <c r="I411" s="4">
        <v>154</v>
      </c>
      <c r="J411" s="4">
        <v>289</v>
      </c>
      <c r="L411" s="31">
        <v>38.71</v>
      </c>
      <c r="M411" s="32">
        <v>11.4</v>
      </c>
      <c r="N411" s="33">
        <v>4</v>
      </c>
    </row>
    <row r="412" spans="1:14" x14ac:dyDescent="0.25">
      <c r="A412" s="30">
        <v>1</v>
      </c>
      <c r="B412" s="2" t="s">
        <v>7398</v>
      </c>
      <c r="C412" s="2" t="s">
        <v>7399</v>
      </c>
      <c r="D412" s="2" t="s">
        <v>5820</v>
      </c>
      <c r="E412" s="5">
        <v>24</v>
      </c>
      <c r="F412" s="2" t="s">
        <v>1873</v>
      </c>
      <c r="G412" s="2" t="s">
        <v>7410</v>
      </c>
      <c r="H412" s="2" t="s">
        <v>407</v>
      </c>
      <c r="I412" s="4">
        <v>797</v>
      </c>
      <c r="J412" s="4">
        <v>0</v>
      </c>
      <c r="L412" s="31">
        <v>98.42</v>
      </c>
      <c r="M412" s="32">
        <v>8.1</v>
      </c>
      <c r="N412" s="33">
        <v>8.1</v>
      </c>
    </row>
    <row r="413" spans="1:14" x14ac:dyDescent="0.25">
      <c r="A413" s="30">
        <v>1</v>
      </c>
      <c r="B413" s="2" t="s">
        <v>7398</v>
      </c>
      <c r="C413" s="2" t="s">
        <v>7399</v>
      </c>
      <c r="D413" s="2" t="s">
        <v>5821</v>
      </c>
      <c r="E413" s="5">
        <v>24</v>
      </c>
      <c r="F413" s="2" t="s">
        <v>1873</v>
      </c>
      <c r="G413" s="2" t="s">
        <v>7410</v>
      </c>
      <c r="H413" s="2" t="s">
        <v>408</v>
      </c>
      <c r="I413" s="4">
        <v>165</v>
      </c>
      <c r="J413" s="4">
        <v>0</v>
      </c>
      <c r="L413" s="31">
        <v>27.71</v>
      </c>
      <c r="M413" s="32">
        <v>6</v>
      </c>
      <c r="N413" s="33">
        <v>6</v>
      </c>
    </row>
    <row r="414" spans="1:14" x14ac:dyDescent="0.25">
      <c r="A414" s="30">
        <v>1</v>
      </c>
      <c r="B414" s="2" t="s">
        <v>7398</v>
      </c>
      <c r="C414" s="2" t="s">
        <v>7399</v>
      </c>
      <c r="D414" s="2" t="s">
        <v>5822</v>
      </c>
      <c r="E414" s="5">
        <v>24</v>
      </c>
      <c r="F414" s="2" t="s">
        <v>1873</v>
      </c>
      <c r="G414" s="2" t="s">
        <v>7410</v>
      </c>
      <c r="H414" s="2" t="s">
        <v>409</v>
      </c>
      <c r="I414" s="4">
        <v>39</v>
      </c>
      <c r="J414" s="4">
        <v>0</v>
      </c>
      <c r="L414" s="31">
        <v>3</v>
      </c>
      <c r="M414" s="32">
        <v>13</v>
      </c>
      <c r="N414" s="33">
        <v>13</v>
      </c>
    </row>
    <row r="415" spans="1:14" x14ac:dyDescent="0.25">
      <c r="A415" s="30">
        <v>1</v>
      </c>
      <c r="B415" s="2" t="s">
        <v>7398</v>
      </c>
      <c r="C415" s="2" t="s">
        <v>7399</v>
      </c>
      <c r="D415" s="2" t="s">
        <v>5823</v>
      </c>
      <c r="E415" s="5">
        <v>1</v>
      </c>
      <c r="F415" s="2" t="s">
        <v>1912</v>
      </c>
      <c r="G415" s="2" t="s">
        <v>7409</v>
      </c>
      <c r="H415" s="2" t="s">
        <v>410</v>
      </c>
      <c r="I415" s="4">
        <v>456</v>
      </c>
      <c r="J415" s="4">
        <v>2580</v>
      </c>
      <c r="L415" s="31">
        <v>248.71</v>
      </c>
      <c r="M415" s="32">
        <v>12.4</v>
      </c>
      <c r="N415" s="33">
        <v>1.8</v>
      </c>
    </row>
    <row r="416" spans="1:14" x14ac:dyDescent="0.25">
      <c r="A416" s="30">
        <v>1</v>
      </c>
      <c r="B416" s="2" t="s">
        <v>7398</v>
      </c>
      <c r="C416" s="2" t="s">
        <v>7399</v>
      </c>
      <c r="D416" s="2" t="s">
        <v>5824</v>
      </c>
      <c r="E416" s="5">
        <v>12</v>
      </c>
      <c r="F416" s="2" t="s">
        <v>1866</v>
      </c>
      <c r="G416" s="2" t="s">
        <v>7410</v>
      </c>
      <c r="H416" s="2" t="s">
        <v>411</v>
      </c>
      <c r="I416" s="4">
        <v>396</v>
      </c>
      <c r="J416" s="4">
        <v>0</v>
      </c>
      <c r="L416" s="31">
        <v>39.42</v>
      </c>
      <c r="M416" s="32">
        <v>10</v>
      </c>
      <c r="N416" s="33">
        <v>10</v>
      </c>
    </row>
    <row r="417" spans="1:14" x14ac:dyDescent="0.25">
      <c r="A417" s="30">
        <v>1</v>
      </c>
      <c r="B417" s="2" t="s">
        <v>7398</v>
      </c>
      <c r="C417" s="2" t="s">
        <v>7399</v>
      </c>
      <c r="D417" s="2" t="s">
        <v>5825</v>
      </c>
      <c r="E417" s="5">
        <v>12</v>
      </c>
      <c r="F417" s="2" t="s">
        <v>1874</v>
      </c>
      <c r="G417" s="2" t="s">
        <v>7410</v>
      </c>
      <c r="H417" s="2" t="s">
        <v>412</v>
      </c>
      <c r="I417" s="4">
        <v>271</v>
      </c>
      <c r="J417" s="4">
        <v>0</v>
      </c>
      <c r="L417" s="31">
        <v>26.14</v>
      </c>
      <c r="M417" s="32">
        <v>10.4</v>
      </c>
      <c r="N417" s="33">
        <v>10.4</v>
      </c>
    </row>
    <row r="418" spans="1:14" x14ac:dyDescent="0.25">
      <c r="A418" s="30">
        <v>1</v>
      </c>
      <c r="B418" s="2" t="s">
        <v>7398</v>
      </c>
      <c r="C418" s="2" t="s">
        <v>7399</v>
      </c>
      <c r="D418" s="2" t="s">
        <v>5826</v>
      </c>
      <c r="E418" s="5">
        <v>12</v>
      </c>
      <c r="F418" s="2" t="s">
        <v>1874</v>
      </c>
      <c r="G418" s="2" t="s">
        <v>7410</v>
      </c>
      <c r="H418" s="2" t="s">
        <v>413</v>
      </c>
      <c r="I418" s="4">
        <v>93</v>
      </c>
      <c r="J418" s="4">
        <v>0</v>
      </c>
      <c r="L418" s="31">
        <v>11.57</v>
      </c>
      <c r="M418" s="32">
        <v>8</v>
      </c>
      <c r="N418" s="33">
        <v>8</v>
      </c>
    </row>
    <row r="419" spans="1:14" x14ac:dyDescent="0.25">
      <c r="A419" s="30">
        <v>1</v>
      </c>
      <c r="B419" s="2" t="s">
        <v>7398</v>
      </c>
      <c r="C419" s="2" t="s">
        <v>7399</v>
      </c>
      <c r="D419" s="2" t="s">
        <v>5827</v>
      </c>
      <c r="E419" s="5">
        <v>12</v>
      </c>
      <c r="F419" s="2" t="s">
        <v>1874</v>
      </c>
      <c r="G419" s="2" t="s">
        <v>7410</v>
      </c>
      <c r="H419" s="2" t="s">
        <v>414</v>
      </c>
      <c r="I419" s="4">
        <v>93</v>
      </c>
      <c r="J419" s="4">
        <v>0</v>
      </c>
      <c r="L419" s="31">
        <v>9.2799999999999994</v>
      </c>
      <c r="M419" s="32">
        <v>10</v>
      </c>
      <c r="N419" s="33">
        <v>10</v>
      </c>
    </row>
    <row r="420" spans="1:14" x14ac:dyDescent="0.25">
      <c r="A420" s="30">
        <v>1</v>
      </c>
      <c r="B420" s="2" t="s">
        <v>7398</v>
      </c>
      <c r="C420" s="2" t="s">
        <v>7399</v>
      </c>
      <c r="D420" s="2" t="s">
        <v>5828</v>
      </c>
      <c r="E420" s="5">
        <v>12</v>
      </c>
      <c r="F420" s="2" t="s">
        <v>1874</v>
      </c>
      <c r="G420" s="2" t="s">
        <v>7410</v>
      </c>
      <c r="H420" s="2" t="s">
        <v>415</v>
      </c>
      <c r="I420" s="4">
        <v>157</v>
      </c>
      <c r="J420" s="4">
        <v>0</v>
      </c>
      <c r="L420" s="31">
        <v>5.14</v>
      </c>
      <c r="M420" s="32">
        <v>30.5</v>
      </c>
      <c r="N420" s="33">
        <v>30.5</v>
      </c>
    </row>
    <row r="421" spans="1:14" x14ac:dyDescent="0.25">
      <c r="A421" s="30">
        <v>1</v>
      </c>
      <c r="B421" s="2" t="s">
        <v>7398</v>
      </c>
      <c r="C421" s="2" t="s">
        <v>7399</v>
      </c>
      <c r="D421" s="2" t="s">
        <v>5829</v>
      </c>
      <c r="E421" s="5">
        <v>12</v>
      </c>
      <c r="F421" s="2" t="s">
        <v>1866</v>
      </c>
      <c r="G421" s="2" t="s">
        <v>7410</v>
      </c>
      <c r="H421" s="2" t="s">
        <v>416</v>
      </c>
      <c r="I421" s="4">
        <v>600</v>
      </c>
      <c r="J421" s="4">
        <v>0</v>
      </c>
      <c r="L421" s="31">
        <v>67.42</v>
      </c>
      <c r="M421" s="32">
        <v>8.9</v>
      </c>
      <c r="N421" s="33">
        <v>8.9</v>
      </c>
    </row>
    <row r="422" spans="1:14" x14ac:dyDescent="0.25">
      <c r="A422" s="30">
        <v>1</v>
      </c>
      <c r="B422" s="2" t="s">
        <v>7398</v>
      </c>
      <c r="C422" s="2" t="s">
        <v>7399</v>
      </c>
      <c r="D422" s="2" t="s">
        <v>5830</v>
      </c>
      <c r="E422" s="5">
        <v>12</v>
      </c>
      <c r="F422" s="2" t="s">
        <v>1866</v>
      </c>
      <c r="G422" s="2" t="s">
        <v>7410</v>
      </c>
      <c r="H422" s="2" t="s">
        <v>417</v>
      </c>
      <c r="I422" s="4">
        <v>582</v>
      </c>
      <c r="J422" s="4">
        <v>0</v>
      </c>
      <c r="L422" s="31">
        <v>79</v>
      </c>
      <c r="M422" s="32">
        <v>7.4</v>
      </c>
      <c r="N422" s="33">
        <v>7.4</v>
      </c>
    </row>
    <row r="423" spans="1:14" x14ac:dyDescent="0.25">
      <c r="A423" s="30">
        <v>1</v>
      </c>
      <c r="B423" s="2" t="s">
        <v>7398</v>
      </c>
      <c r="C423" s="2" t="s">
        <v>7399</v>
      </c>
      <c r="D423" s="2" t="s">
        <v>5831</v>
      </c>
      <c r="E423" s="5">
        <v>12</v>
      </c>
      <c r="F423" s="2" t="s">
        <v>1866</v>
      </c>
      <c r="G423" s="2" t="s">
        <v>7410</v>
      </c>
      <c r="H423" s="2" t="s">
        <v>418</v>
      </c>
      <c r="I423" s="4">
        <v>745</v>
      </c>
      <c r="J423" s="4">
        <v>0</v>
      </c>
      <c r="L423" s="31">
        <v>84.42</v>
      </c>
      <c r="M423" s="32">
        <v>8.8000000000000007</v>
      </c>
      <c r="N423" s="33">
        <v>8.8000000000000007</v>
      </c>
    </row>
    <row r="424" spans="1:14" x14ac:dyDescent="0.25">
      <c r="A424" s="30">
        <v>1</v>
      </c>
      <c r="B424" s="2" t="s">
        <v>7398</v>
      </c>
      <c r="C424" s="2" t="s">
        <v>7399</v>
      </c>
      <c r="D424" s="2" t="s">
        <v>5832</v>
      </c>
      <c r="E424" s="5">
        <v>72</v>
      </c>
      <c r="F424" s="2" t="s">
        <v>1866</v>
      </c>
      <c r="G424" s="2" t="s">
        <v>7410</v>
      </c>
      <c r="H424" s="2" t="s">
        <v>5397</v>
      </c>
      <c r="I424" s="4">
        <v>48</v>
      </c>
      <c r="J424" s="4">
        <v>0</v>
      </c>
      <c r="L424" s="31">
        <v>1.28</v>
      </c>
      <c r="M424" s="32">
        <v>37.5</v>
      </c>
      <c r="N424" s="33">
        <v>37.5</v>
      </c>
    </row>
    <row r="425" spans="1:14" x14ac:dyDescent="0.25">
      <c r="A425" s="30">
        <v>1</v>
      </c>
      <c r="B425" s="2" t="s">
        <v>7398</v>
      </c>
      <c r="C425" s="2" t="s">
        <v>7399</v>
      </c>
      <c r="D425" s="2" t="s">
        <v>5833</v>
      </c>
      <c r="E425" s="5">
        <v>12</v>
      </c>
      <c r="F425" s="2" t="s">
        <v>1866</v>
      </c>
      <c r="G425" s="2" t="s">
        <v>7410</v>
      </c>
      <c r="H425" s="2" t="s">
        <v>419</v>
      </c>
      <c r="I425" s="4">
        <v>78</v>
      </c>
      <c r="J425" s="4">
        <v>0</v>
      </c>
      <c r="L425" s="31">
        <v>34.71</v>
      </c>
      <c r="M425" s="32">
        <v>2.2000000000000002</v>
      </c>
      <c r="N425" s="33">
        <v>2.2000000000000002</v>
      </c>
    </row>
    <row r="426" spans="1:14" x14ac:dyDescent="0.25">
      <c r="A426" s="30">
        <v>1</v>
      </c>
      <c r="B426" s="2" t="s">
        <v>7398</v>
      </c>
      <c r="C426" s="2" t="s">
        <v>7399</v>
      </c>
      <c r="D426" s="2" t="s">
        <v>5834</v>
      </c>
      <c r="E426" s="5">
        <v>12</v>
      </c>
      <c r="F426" s="2" t="s">
        <v>1866</v>
      </c>
      <c r="G426" s="2" t="s">
        <v>7410</v>
      </c>
      <c r="H426" s="2" t="s">
        <v>420</v>
      </c>
      <c r="I426" s="4">
        <v>2864</v>
      </c>
      <c r="J426" s="4">
        <v>0</v>
      </c>
      <c r="L426" s="31">
        <v>367.14</v>
      </c>
      <c r="M426" s="32">
        <v>7.8</v>
      </c>
      <c r="N426" s="33">
        <v>7.8</v>
      </c>
    </row>
    <row r="427" spans="1:14" x14ac:dyDescent="0.25">
      <c r="A427" s="30">
        <v>1</v>
      </c>
      <c r="B427" s="2" t="s">
        <v>7398</v>
      </c>
      <c r="C427" s="2" t="s">
        <v>7399</v>
      </c>
      <c r="D427" s="2" t="s">
        <v>5835</v>
      </c>
      <c r="E427" s="5">
        <v>24</v>
      </c>
      <c r="F427" s="2" t="s">
        <v>1866</v>
      </c>
      <c r="G427" s="2" t="s">
        <v>7410</v>
      </c>
      <c r="H427" s="2" t="s">
        <v>421</v>
      </c>
      <c r="I427" s="4">
        <v>3621</v>
      </c>
      <c r="J427" s="4">
        <v>1620</v>
      </c>
      <c r="L427" s="31">
        <v>674.85</v>
      </c>
      <c r="M427" s="32">
        <v>9.5</v>
      </c>
      <c r="N427" s="33">
        <v>5.4</v>
      </c>
    </row>
    <row r="428" spans="1:14" x14ac:dyDescent="0.25">
      <c r="A428" s="30">
        <v>1</v>
      </c>
      <c r="B428" s="2" t="s">
        <v>7398</v>
      </c>
      <c r="C428" s="2" t="s">
        <v>7399</v>
      </c>
      <c r="D428" s="2" t="s">
        <v>5836</v>
      </c>
      <c r="E428" s="5">
        <v>24</v>
      </c>
      <c r="F428" s="2" t="s">
        <v>1866</v>
      </c>
      <c r="G428" s="2" t="s">
        <v>7410</v>
      </c>
      <c r="H428" s="2" t="s">
        <v>422</v>
      </c>
      <c r="I428" s="4">
        <v>2768</v>
      </c>
      <c r="J428" s="4">
        <v>0</v>
      </c>
      <c r="L428" s="31">
        <v>358.71</v>
      </c>
      <c r="M428" s="32">
        <v>7.7</v>
      </c>
      <c r="N428" s="33">
        <v>7.7</v>
      </c>
    </row>
    <row r="429" spans="1:14" x14ac:dyDescent="0.25">
      <c r="A429" s="30">
        <v>1</v>
      </c>
      <c r="B429" s="2" t="s">
        <v>7398</v>
      </c>
      <c r="C429" s="2" t="s">
        <v>7399</v>
      </c>
      <c r="D429" s="2" t="s">
        <v>5837</v>
      </c>
      <c r="E429" s="5">
        <v>12</v>
      </c>
      <c r="F429" s="2" t="s">
        <v>1866</v>
      </c>
      <c r="G429" s="2" t="s">
        <v>7410</v>
      </c>
      <c r="H429" s="2" t="s">
        <v>423</v>
      </c>
      <c r="I429" s="4">
        <v>527</v>
      </c>
      <c r="J429" s="4">
        <v>0</v>
      </c>
      <c r="L429" s="31">
        <v>87.28</v>
      </c>
      <c r="M429" s="32">
        <v>6</v>
      </c>
      <c r="N429" s="33">
        <v>6</v>
      </c>
    </row>
    <row r="430" spans="1:14" x14ac:dyDescent="0.25">
      <c r="A430" s="30">
        <v>1</v>
      </c>
      <c r="B430" s="2" t="s">
        <v>7398</v>
      </c>
      <c r="C430" s="2" t="s">
        <v>7399</v>
      </c>
      <c r="D430" s="2" t="s">
        <v>5838</v>
      </c>
      <c r="E430" s="5">
        <v>24</v>
      </c>
      <c r="F430" s="2" t="s">
        <v>1866</v>
      </c>
      <c r="G430" s="2" t="s">
        <v>7410</v>
      </c>
      <c r="H430" s="2" t="s">
        <v>424</v>
      </c>
      <c r="I430" s="4">
        <v>662</v>
      </c>
      <c r="J430" s="4">
        <v>0</v>
      </c>
      <c r="L430" s="31">
        <v>126.42</v>
      </c>
      <c r="M430" s="32">
        <v>5.2</v>
      </c>
      <c r="N430" s="33">
        <v>5.2</v>
      </c>
    </row>
    <row r="431" spans="1:14" x14ac:dyDescent="0.25">
      <c r="A431" s="30">
        <v>1</v>
      </c>
      <c r="B431" s="2" t="s">
        <v>7398</v>
      </c>
      <c r="C431" s="2" t="s">
        <v>7399</v>
      </c>
      <c r="D431" s="2" t="s">
        <v>5839</v>
      </c>
      <c r="E431" s="5">
        <v>24</v>
      </c>
      <c r="F431" s="2" t="s">
        <v>1866</v>
      </c>
      <c r="G431" s="2" t="s">
        <v>7410</v>
      </c>
      <c r="H431" s="2" t="s">
        <v>425</v>
      </c>
      <c r="I431" s="4">
        <v>1892</v>
      </c>
      <c r="J431" s="4">
        <v>0</v>
      </c>
      <c r="L431" s="31">
        <v>243.42</v>
      </c>
      <c r="M431" s="32">
        <v>7.8</v>
      </c>
      <c r="N431" s="33">
        <v>7.8</v>
      </c>
    </row>
    <row r="432" spans="1:14" x14ac:dyDescent="0.25">
      <c r="A432" s="30">
        <v>1</v>
      </c>
      <c r="B432" s="2" t="s">
        <v>7398</v>
      </c>
      <c r="C432" s="2" t="s">
        <v>7399</v>
      </c>
      <c r="D432" s="2" t="s">
        <v>5840</v>
      </c>
      <c r="E432" s="5">
        <v>12</v>
      </c>
      <c r="F432" s="2" t="s">
        <v>1866</v>
      </c>
      <c r="G432" s="2" t="s">
        <v>7410</v>
      </c>
      <c r="H432" s="2" t="s">
        <v>426</v>
      </c>
      <c r="I432" s="4">
        <v>968</v>
      </c>
      <c r="J432" s="4">
        <v>0</v>
      </c>
      <c r="L432" s="31">
        <v>95.57</v>
      </c>
      <c r="M432" s="32">
        <v>10.1</v>
      </c>
      <c r="N432" s="33">
        <v>10.1</v>
      </c>
    </row>
    <row r="433" spans="1:14" x14ac:dyDescent="0.25">
      <c r="A433" s="30">
        <v>1</v>
      </c>
      <c r="B433" s="2" t="s">
        <v>7398</v>
      </c>
      <c r="C433" s="2" t="s">
        <v>7399</v>
      </c>
      <c r="D433" s="2" t="s">
        <v>5841</v>
      </c>
      <c r="E433" s="5">
        <v>12</v>
      </c>
      <c r="F433" s="2" t="s">
        <v>1866</v>
      </c>
      <c r="G433" s="2" t="s">
        <v>7410</v>
      </c>
      <c r="H433" s="2" t="s">
        <v>427</v>
      </c>
      <c r="I433" s="4">
        <v>1307</v>
      </c>
      <c r="J433" s="4">
        <v>0</v>
      </c>
      <c r="L433" s="31">
        <v>66.709999999999994</v>
      </c>
      <c r="M433" s="32">
        <v>19.600000000000001</v>
      </c>
      <c r="N433" s="33">
        <v>19.600000000000001</v>
      </c>
    </row>
    <row r="434" spans="1:14" x14ac:dyDescent="0.25">
      <c r="A434" s="30">
        <v>1</v>
      </c>
      <c r="B434" s="2" t="s">
        <v>7398</v>
      </c>
      <c r="C434" s="2" t="s">
        <v>7399</v>
      </c>
      <c r="D434" s="2" t="s">
        <v>5842</v>
      </c>
      <c r="E434" s="5">
        <v>12</v>
      </c>
      <c r="F434" s="2" t="s">
        <v>1866</v>
      </c>
      <c r="G434" s="2" t="s">
        <v>7410</v>
      </c>
      <c r="H434" s="2" t="s">
        <v>428</v>
      </c>
      <c r="I434" s="4">
        <v>171</v>
      </c>
      <c r="J434" s="4">
        <v>300</v>
      </c>
      <c r="L434" s="31">
        <v>42.14</v>
      </c>
      <c r="M434" s="32">
        <v>11.2</v>
      </c>
      <c r="N434" s="33">
        <v>4.0999999999999996</v>
      </c>
    </row>
    <row r="435" spans="1:14" x14ac:dyDescent="0.25">
      <c r="A435" s="30">
        <v>1</v>
      </c>
      <c r="B435" s="2" t="s">
        <v>7398</v>
      </c>
      <c r="C435" s="2" t="s">
        <v>7399</v>
      </c>
      <c r="D435" s="2" t="s">
        <v>5843</v>
      </c>
      <c r="E435" s="5">
        <v>72</v>
      </c>
      <c r="F435" s="2" t="s">
        <v>1866</v>
      </c>
      <c r="G435" s="2" t="s">
        <v>7410</v>
      </c>
      <c r="H435" s="2" t="s">
        <v>429</v>
      </c>
      <c r="I435" s="4">
        <v>533</v>
      </c>
      <c r="J435" s="4">
        <v>0</v>
      </c>
      <c r="L435" s="31">
        <v>81.42</v>
      </c>
      <c r="M435" s="32">
        <v>6.5</v>
      </c>
      <c r="N435" s="33">
        <v>6.5</v>
      </c>
    </row>
    <row r="436" spans="1:14" x14ac:dyDescent="0.25">
      <c r="A436" s="30">
        <v>1</v>
      </c>
      <c r="B436" s="2" t="s">
        <v>7398</v>
      </c>
      <c r="C436" s="2" t="s">
        <v>7399</v>
      </c>
      <c r="D436" s="2" t="s">
        <v>5844</v>
      </c>
      <c r="E436" s="5">
        <v>12</v>
      </c>
      <c r="F436" s="2" t="s">
        <v>1873</v>
      </c>
      <c r="G436" s="2" t="s">
        <v>7410</v>
      </c>
      <c r="H436" s="2" t="s">
        <v>430</v>
      </c>
      <c r="I436" s="4">
        <v>97</v>
      </c>
      <c r="J436" s="4">
        <v>0</v>
      </c>
      <c r="L436" s="31">
        <v>16.57</v>
      </c>
      <c r="M436" s="32">
        <v>5.9</v>
      </c>
      <c r="N436" s="33">
        <v>5.9</v>
      </c>
    </row>
    <row r="437" spans="1:14" x14ac:dyDescent="0.25">
      <c r="A437" s="30">
        <v>1</v>
      </c>
      <c r="B437" s="2" t="s">
        <v>7398</v>
      </c>
      <c r="C437" s="2" t="s">
        <v>7399</v>
      </c>
      <c r="D437" s="2" t="s">
        <v>5845</v>
      </c>
      <c r="E437" s="5">
        <v>12</v>
      </c>
      <c r="F437" s="2" t="s">
        <v>1873</v>
      </c>
      <c r="G437" s="2" t="s">
        <v>7410</v>
      </c>
      <c r="H437" s="2" t="s">
        <v>431</v>
      </c>
      <c r="I437" s="4">
        <v>157</v>
      </c>
      <c r="J437" s="4">
        <v>0</v>
      </c>
      <c r="L437" s="31">
        <v>16.71</v>
      </c>
      <c r="M437" s="32">
        <v>9.4</v>
      </c>
      <c r="N437" s="33">
        <v>9.4</v>
      </c>
    </row>
    <row r="438" spans="1:14" x14ac:dyDescent="0.25">
      <c r="A438" s="30">
        <v>1</v>
      </c>
      <c r="B438" s="2" t="s">
        <v>7398</v>
      </c>
      <c r="C438" s="2" t="s">
        <v>7399</v>
      </c>
      <c r="D438" s="2" t="s">
        <v>5846</v>
      </c>
      <c r="E438" s="5">
        <v>12</v>
      </c>
      <c r="F438" s="2" t="s">
        <v>1866</v>
      </c>
      <c r="G438" s="2" t="s">
        <v>7410</v>
      </c>
      <c r="H438" s="2" t="s">
        <v>432</v>
      </c>
      <c r="I438" s="4">
        <v>1684</v>
      </c>
      <c r="J438" s="4">
        <v>2011</v>
      </c>
      <c r="L438" s="31">
        <v>229</v>
      </c>
      <c r="M438" s="32">
        <v>16.100000000000001</v>
      </c>
      <c r="N438" s="33">
        <v>7.4</v>
      </c>
    </row>
    <row r="439" spans="1:14" x14ac:dyDescent="0.25">
      <c r="A439" s="30">
        <v>1</v>
      </c>
      <c r="B439" s="2" t="s">
        <v>7398</v>
      </c>
      <c r="C439" s="2" t="s">
        <v>7399</v>
      </c>
      <c r="D439" s="2" t="s">
        <v>5847</v>
      </c>
      <c r="E439" s="5">
        <v>12</v>
      </c>
      <c r="F439" s="2" t="s">
        <v>1866</v>
      </c>
      <c r="G439" s="2" t="s">
        <v>7410</v>
      </c>
      <c r="H439" s="2" t="s">
        <v>433</v>
      </c>
      <c r="I439" s="4">
        <v>2230</v>
      </c>
      <c r="J439" s="4">
        <v>33</v>
      </c>
      <c r="L439" s="31">
        <v>448.71</v>
      </c>
      <c r="M439" s="32">
        <v>5</v>
      </c>
      <c r="N439" s="33">
        <v>5</v>
      </c>
    </row>
    <row r="440" spans="1:14" x14ac:dyDescent="0.25">
      <c r="A440" s="30">
        <v>1</v>
      </c>
      <c r="B440" s="2" t="s">
        <v>7398</v>
      </c>
      <c r="C440" s="2" t="s">
        <v>7399</v>
      </c>
      <c r="D440" s="2" t="s">
        <v>5848</v>
      </c>
      <c r="E440" s="5">
        <v>12</v>
      </c>
      <c r="F440" s="2" t="s">
        <v>1866</v>
      </c>
      <c r="G440" s="2" t="s">
        <v>7410</v>
      </c>
      <c r="H440" s="2" t="s">
        <v>434</v>
      </c>
      <c r="I440" s="4">
        <v>799</v>
      </c>
      <c r="J440" s="4">
        <v>0</v>
      </c>
      <c r="L440" s="31">
        <v>236.28</v>
      </c>
      <c r="M440" s="32">
        <v>3.4</v>
      </c>
      <c r="N440" s="33">
        <v>3.4</v>
      </c>
    </row>
    <row r="441" spans="1:14" x14ac:dyDescent="0.25">
      <c r="A441" s="30">
        <v>1</v>
      </c>
      <c r="B441" s="2" t="s">
        <v>7398</v>
      </c>
      <c r="C441" s="2" t="s">
        <v>7399</v>
      </c>
      <c r="D441" s="2" t="s">
        <v>5849</v>
      </c>
      <c r="E441" s="5">
        <v>12</v>
      </c>
      <c r="F441" s="2" t="s">
        <v>1873</v>
      </c>
      <c r="G441" s="2" t="s">
        <v>7410</v>
      </c>
      <c r="H441" s="2" t="s">
        <v>435</v>
      </c>
      <c r="I441" s="4">
        <v>121</v>
      </c>
      <c r="J441" s="4">
        <v>0</v>
      </c>
      <c r="L441" s="31">
        <v>10.42</v>
      </c>
      <c r="M441" s="32">
        <v>11.6</v>
      </c>
      <c r="N441" s="33">
        <v>11.6</v>
      </c>
    </row>
    <row r="442" spans="1:14" x14ac:dyDescent="0.25">
      <c r="A442" s="30">
        <v>1</v>
      </c>
      <c r="B442" s="2" t="s">
        <v>7398</v>
      </c>
      <c r="C442" s="2" t="s">
        <v>7399</v>
      </c>
      <c r="D442" s="2" t="s">
        <v>5850</v>
      </c>
      <c r="E442" s="5">
        <v>8</v>
      </c>
      <c r="F442" s="2" t="s">
        <v>1905</v>
      </c>
      <c r="G442" s="2" t="s">
        <v>7410</v>
      </c>
      <c r="H442" s="2" t="s">
        <v>436</v>
      </c>
      <c r="I442" s="4">
        <v>13164</v>
      </c>
      <c r="J442" s="4">
        <v>0</v>
      </c>
      <c r="L442" s="31">
        <v>1794.28</v>
      </c>
      <c r="M442" s="32">
        <v>7.4</v>
      </c>
      <c r="N442" s="33">
        <v>7.3</v>
      </c>
    </row>
    <row r="443" spans="1:14" x14ac:dyDescent="0.25">
      <c r="A443" s="30">
        <v>1</v>
      </c>
      <c r="B443" s="2" t="s">
        <v>7398</v>
      </c>
      <c r="C443" s="2" t="s">
        <v>7399</v>
      </c>
      <c r="D443" s="2" t="s">
        <v>5851</v>
      </c>
      <c r="E443" s="5">
        <v>384</v>
      </c>
      <c r="F443" s="2" t="s">
        <v>1866</v>
      </c>
      <c r="G443" s="2" t="s">
        <v>7412</v>
      </c>
      <c r="H443" s="2" t="s">
        <v>437</v>
      </c>
      <c r="I443" s="4">
        <v>47</v>
      </c>
      <c r="J443" s="4">
        <v>0</v>
      </c>
      <c r="L443" s="31">
        <v>6.28</v>
      </c>
      <c r="M443" s="32">
        <v>7.5</v>
      </c>
      <c r="N443" s="33">
        <v>7.5</v>
      </c>
    </row>
    <row r="444" spans="1:14" x14ac:dyDescent="0.25">
      <c r="A444" s="30">
        <v>1</v>
      </c>
      <c r="B444" s="2" t="s">
        <v>7398</v>
      </c>
      <c r="C444" s="2" t="s">
        <v>7399</v>
      </c>
      <c r="D444" s="2" t="s">
        <v>5852</v>
      </c>
      <c r="E444" s="5">
        <v>27</v>
      </c>
      <c r="F444" s="2" t="s">
        <v>1905</v>
      </c>
      <c r="G444" s="2" t="s">
        <v>7410</v>
      </c>
      <c r="H444" s="2" t="s">
        <v>438</v>
      </c>
      <c r="I444" s="4">
        <v>199</v>
      </c>
      <c r="J444" s="4">
        <v>0</v>
      </c>
      <c r="L444" s="31">
        <v>187.14</v>
      </c>
      <c r="M444" s="32">
        <v>1.1000000000000001</v>
      </c>
      <c r="N444" s="33">
        <v>1.1000000000000001</v>
      </c>
    </row>
    <row r="445" spans="1:14" x14ac:dyDescent="0.25">
      <c r="A445" s="30">
        <v>1</v>
      </c>
      <c r="B445" s="2" t="s">
        <v>7398</v>
      </c>
      <c r="C445" s="2" t="s">
        <v>7399</v>
      </c>
      <c r="D445" s="2" t="s">
        <v>5853</v>
      </c>
      <c r="E445" s="5">
        <v>18</v>
      </c>
      <c r="F445" s="2" t="s">
        <v>1882</v>
      </c>
      <c r="G445" s="2" t="s">
        <v>7410</v>
      </c>
      <c r="H445" s="2" t="s">
        <v>439</v>
      </c>
      <c r="I445" s="4">
        <v>1343</v>
      </c>
      <c r="J445" s="4">
        <v>2424</v>
      </c>
      <c r="L445" s="31">
        <v>589.14</v>
      </c>
      <c r="M445" s="32">
        <v>6.4</v>
      </c>
      <c r="N445" s="33">
        <v>2.2999999999999998</v>
      </c>
    </row>
    <row r="446" spans="1:14" x14ac:dyDescent="0.25">
      <c r="A446" s="30">
        <v>1</v>
      </c>
      <c r="B446" s="2" t="s">
        <v>7398</v>
      </c>
      <c r="C446" s="2" t="s">
        <v>7399</v>
      </c>
      <c r="D446" s="2" t="s">
        <v>5854</v>
      </c>
      <c r="E446" s="5">
        <v>48</v>
      </c>
      <c r="F446" s="2" t="s">
        <v>1866</v>
      </c>
      <c r="G446" s="2" t="s">
        <v>7410</v>
      </c>
      <c r="H446" s="2" t="s">
        <v>440</v>
      </c>
      <c r="I446" s="4">
        <v>56</v>
      </c>
      <c r="J446" s="4">
        <v>0</v>
      </c>
      <c r="L446" s="31">
        <v>3.71</v>
      </c>
      <c r="M446" s="32">
        <v>15.1</v>
      </c>
      <c r="N446" s="33">
        <v>15.1</v>
      </c>
    </row>
    <row r="447" spans="1:14" x14ac:dyDescent="0.25">
      <c r="A447" s="30">
        <v>1</v>
      </c>
      <c r="B447" s="2" t="s">
        <v>7398</v>
      </c>
      <c r="C447" s="2" t="s">
        <v>7399</v>
      </c>
      <c r="D447" s="2" t="s">
        <v>5855</v>
      </c>
      <c r="E447" s="5">
        <v>8</v>
      </c>
      <c r="F447" s="2" t="s">
        <v>1847</v>
      </c>
      <c r="G447" s="2" t="s">
        <v>7409</v>
      </c>
      <c r="H447" s="2" t="s">
        <v>441</v>
      </c>
      <c r="I447" s="4">
        <v>0</v>
      </c>
      <c r="J447" s="4">
        <v>0</v>
      </c>
      <c r="L447" s="31">
        <v>0</v>
      </c>
      <c r="M447" s="32">
        <v>0</v>
      </c>
      <c r="N447" s="33">
        <v>9999</v>
      </c>
    </row>
    <row r="448" spans="1:14" x14ac:dyDescent="0.25">
      <c r="A448" s="30">
        <v>1</v>
      </c>
      <c r="B448" s="2" t="s">
        <v>7398</v>
      </c>
      <c r="C448" s="2" t="s">
        <v>7399</v>
      </c>
      <c r="D448" s="2" t="s">
        <v>5856</v>
      </c>
      <c r="E448" s="5">
        <v>12</v>
      </c>
      <c r="F448" s="2" t="s">
        <v>1913</v>
      </c>
      <c r="G448" s="2" t="s">
        <v>7410</v>
      </c>
      <c r="H448" s="2" t="s">
        <v>442</v>
      </c>
      <c r="I448" s="4">
        <v>1190</v>
      </c>
      <c r="J448" s="4">
        <v>640</v>
      </c>
      <c r="L448" s="31">
        <v>96</v>
      </c>
      <c r="M448" s="32">
        <v>19.100000000000001</v>
      </c>
      <c r="N448" s="33">
        <v>12.4</v>
      </c>
    </row>
    <row r="449" spans="1:14" x14ac:dyDescent="0.25">
      <c r="A449" s="30">
        <v>1</v>
      </c>
      <c r="B449" s="2" t="s">
        <v>7398</v>
      </c>
      <c r="C449" s="2" t="s">
        <v>7399</v>
      </c>
      <c r="D449" s="2" t="s">
        <v>5857</v>
      </c>
      <c r="E449" s="5">
        <v>12</v>
      </c>
      <c r="F449" s="2" t="s">
        <v>1866</v>
      </c>
      <c r="G449" s="2" t="s">
        <v>7410</v>
      </c>
      <c r="H449" s="2" t="s">
        <v>443</v>
      </c>
      <c r="I449" s="4">
        <v>4579</v>
      </c>
      <c r="J449" s="4">
        <v>0</v>
      </c>
      <c r="L449" s="31">
        <v>438.57</v>
      </c>
      <c r="M449" s="32">
        <v>10.4</v>
      </c>
      <c r="N449" s="33">
        <v>10.4</v>
      </c>
    </row>
    <row r="450" spans="1:14" x14ac:dyDescent="0.25">
      <c r="A450" s="30">
        <v>1</v>
      </c>
      <c r="B450" s="2" t="s">
        <v>7398</v>
      </c>
      <c r="C450" s="2" t="s">
        <v>7399</v>
      </c>
      <c r="D450" s="2" t="s">
        <v>5858</v>
      </c>
      <c r="E450" s="5">
        <v>12</v>
      </c>
      <c r="F450" s="2" t="s">
        <v>1914</v>
      </c>
      <c r="G450" s="2" t="s">
        <v>7401</v>
      </c>
      <c r="H450" s="2" t="s">
        <v>444</v>
      </c>
      <c r="I450" s="4">
        <v>18</v>
      </c>
      <c r="J450" s="4">
        <v>0</v>
      </c>
      <c r="L450" s="31">
        <v>0</v>
      </c>
      <c r="M450" s="32">
        <v>0</v>
      </c>
      <c r="N450" s="33">
        <v>9999</v>
      </c>
    </row>
    <row r="451" spans="1:14" x14ac:dyDescent="0.25">
      <c r="A451" s="30">
        <v>1</v>
      </c>
      <c r="B451" s="2" t="s">
        <v>7398</v>
      </c>
      <c r="C451" s="2" t="s">
        <v>7399</v>
      </c>
      <c r="D451" s="2" t="s">
        <v>5859</v>
      </c>
      <c r="E451" s="5">
        <v>12</v>
      </c>
      <c r="F451" s="2" t="s">
        <v>1913</v>
      </c>
      <c r="G451" s="2" t="s">
        <v>7410</v>
      </c>
      <c r="H451" s="2" t="s">
        <v>445</v>
      </c>
      <c r="I451" s="4">
        <v>1010</v>
      </c>
      <c r="J451" s="4">
        <v>720</v>
      </c>
      <c r="L451" s="31">
        <v>99.85</v>
      </c>
      <c r="M451" s="32">
        <v>17.3</v>
      </c>
      <c r="N451" s="33">
        <v>10.1</v>
      </c>
    </row>
    <row r="452" spans="1:14" x14ac:dyDescent="0.25">
      <c r="A452" s="30">
        <v>1</v>
      </c>
      <c r="B452" s="2" t="s">
        <v>7398</v>
      </c>
      <c r="C452" s="2" t="s">
        <v>7399</v>
      </c>
      <c r="D452" s="2" t="s">
        <v>5860</v>
      </c>
      <c r="E452" s="5">
        <v>12</v>
      </c>
      <c r="F452" s="2" t="s">
        <v>1914</v>
      </c>
      <c r="G452" s="2" t="s">
        <v>7401</v>
      </c>
      <c r="H452" s="2" t="s">
        <v>446</v>
      </c>
      <c r="I452" s="4">
        <v>0</v>
      </c>
      <c r="J452" s="4">
        <v>0</v>
      </c>
      <c r="L452" s="31">
        <v>0</v>
      </c>
      <c r="M452" s="32">
        <v>0</v>
      </c>
      <c r="N452" s="33">
        <v>9999</v>
      </c>
    </row>
    <row r="453" spans="1:14" x14ac:dyDescent="0.25">
      <c r="A453" s="30">
        <v>1</v>
      </c>
      <c r="B453" s="2" t="s">
        <v>7398</v>
      </c>
      <c r="C453" s="2" t="s">
        <v>7399</v>
      </c>
      <c r="D453" s="2" t="s">
        <v>5861</v>
      </c>
      <c r="E453" s="5">
        <v>48</v>
      </c>
      <c r="F453" s="2" t="s">
        <v>1866</v>
      </c>
      <c r="G453" s="2" t="s">
        <v>7410</v>
      </c>
      <c r="H453" s="2" t="s">
        <v>447</v>
      </c>
      <c r="I453" s="4">
        <v>68</v>
      </c>
      <c r="J453" s="4">
        <v>0</v>
      </c>
      <c r="L453" s="31">
        <v>1.85</v>
      </c>
      <c r="M453" s="32">
        <v>36.799999999999997</v>
      </c>
      <c r="N453" s="33">
        <v>36.799999999999997</v>
      </c>
    </row>
    <row r="454" spans="1:14" x14ac:dyDescent="0.25">
      <c r="A454" s="30">
        <v>1</v>
      </c>
      <c r="B454" s="2" t="s">
        <v>7398</v>
      </c>
      <c r="C454" s="2" t="s">
        <v>7399</v>
      </c>
      <c r="D454" s="2" t="s">
        <v>5862</v>
      </c>
      <c r="E454" s="5">
        <v>12</v>
      </c>
      <c r="F454" s="2" t="s">
        <v>1913</v>
      </c>
      <c r="G454" s="2" t="s">
        <v>7400</v>
      </c>
      <c r="H454" s="2" t="s">
        <v>448</v>
      </c>
      <c r="I454" s="4">
        <v>135</v>
      </c>
      <c r="J454" s="4">
        <v>528</v>
      </c>
      <c r="L454" s="31">
        <v>23.71</v>
      </c>
      <c r="M454" s="32">
        <v>28</v>
      </c>
      <c r="N454" s="33">
        <v>5.7</v>
      </c>
    </row>
    <row r="455" spans="1:14" x14ac:dyDescent="0.25">
      <c r="A455" s="30">
        <v>1</v>
      </c>
      <c r="B455" s="2" t="s">
        <v>7398</v>
      </c>
      <c r="C455" s="2" t="s">
        <v>7399</v>
      </c>
      <c r="D455" s="2" t="s">
        <v>5863</v>
      </c>
      <c r="E455" s="5">
        <v>12</v>
      </c>
      <c r="F455" s="2" t="s">
        <v>1913</v>
      </c>
      <c r="G455" s="2" t="s">
        <v>7400</v>
      </c>
      <c r="H455" s="2" t="s">
        <v>449</v>
      </c>
      <c r="I455" s="4">
        <v>601</v>
      </c>
      <c r="J455" s="4">
        <v>726</v>
      </c>
      <c r="L455" s="31">
        <v>9.42</v>
      </c>
      <c r="M455" s="32">
        <v>140.9</v>
      </c>
      <c r="N455" s="33">
        <v>63.8</v>
      </c>
    </row>
    <row r="456" spans="1:14" x14ac:dyDescent="0.25">
      <c r="A456" s="30">
        <v>1</v>
      </c>
      <c r="B456" s="2" t="s">
        <v>7398</v>
      </c>
      <c r="C456" s="2" t="s">
        <v>7399</v>
      </c>
      <c r="D456" s="2" t="s">
        <v>5864</v>
      </c>
      <c r="E456" s="5">
        <v>12</v>
      </c>
      <c r="F456" s="2" t="s">
        <v>1913</v>
      </c>
      <c r="G456" s="2" t="s">
        <v>7400</v>
      </c>
      <c r="H456" s="2" t="s">
        <v>450</v>
      </c>
      <c r="I456" s="4">
        <v>56</v>
      </c>
      <c r="J456" s="4">
        <v>66</v>
      </c>
      <c r="L456" s="31">
        <v>2.2799999999999998</v>
      </c>
      <c r="M456" s="32">
        <v>53.5</v>
      </c>
      <c r="N456" s="33">
        <v>24.6</v>
      </c>
    </row>
    <row r="457" spans="1:14" x14ac:dyDescent="0.25">
      <c r="A457" s="30">
        <v>1</v>
      </c>
      <c r="B457" s="2" t="s">
        <v>7398</v>
      </c>
      <c r="C457" s="2" t="s">
        <v>7399</v>
      </c>
      <c r="D457" s="2" t="s">
        <v>5865</v>
      </c>
      <c r="E457" s="5">
        <v>12</v>
      </c>
      <c r="F457" s="2" t="s">
        <v>1913</v>
      </c>
      <c r="G457" s="2" t="s">
        <v>7400</v>
      </c>
      <c r="H457" s="2" t="s">
        <v>451</v>
      </c>
      <c r="I457" s="4">
        <v>6</v>
      </c>
      <c r="J457" s="4">
        <v>132</v>
      </c>
      <c r="L457" s="31">
        <v>1.85</v>
      </c>
      <c r="M457" s="32">
        <v>74.599999999999994</v>
      </c>
      <c r="N457" s="33">
        <v>3.2</v>
      </c>
    </row>
    <row r="458" spans="1:14" x14ac:dyDescent="0.25">
      <c r="A458" s="30">
        <v>1</v>
      </c>
      <c r="B458" s="2" t="s">
        <v>7398</v>
      </c>
      <c r="C458" s="2" t="s">
        <v>7399</v>
      </c>
      <c r="D458" s="2" t="s">
        <v>5866</v>
      </c>
      <c r="E458" s="5">
        <v>24</v>
      </c>
      <c r="F458" s="2" t="s">
        <v>1915</v>
      </c>
      <c r="G458" s="2" t="s">
        <v>7401</v>
      </c>
      <c r="H458" s="2" t="s">
        <v>452</v>
      </c>
      <c r="I458" s="4">
        <v>46</v>
      </c>
      <c r="J458" s="4">
        <v>0</v>
      </c>
      <c r="L458" s="31">
        <v>3.28</v>
      </c>
      <c r="M458" s="32">
        <v>14</v>
      </c>
      <c r="N458" s="33">
        <v>14</v>
      </c>
    </row>
    <row r="459" spans="1:14" x14ac:dyDescent="0.25">
      <c r="A459" s="30">
        <v>1</v>
      </c>
      <c r="B459" s="2" t="s">
        <v>7398</v>
      </c>
      <c r="C459" s="2" t="s">
        <v>7399</v>
      </c>
      <c r="D459" s="2" t="s">
        <v>5867</v>
      </c>
      <c r="E459" s="5">
        <v>12</v>
      </c>
      <c r="F459" s="2" t="s">
        <v>1913</v>
      </c>
      <c r="G459" s="2" t="s">
        <v>7400</v>
      </c>
      <c r="H459" s="2" t="s">
        <v>453</v>
      </c>
      <c r="I459" s="4">
        <v>45</v>
      </c>
      <c r="J459" s="4">
        <v>528</v>
      </c>
      <c r="L459" s="31">
        <v>12</v>
      </c>
      <c r="M459" s="32">
        <v>47.8</v>
      </c>
      <c r="N459" s="33">
        <v>3.8</v>
      </c>
    </row>
    <row r="460" spans="1:14" x14ac:dyDescent="0.25">
      <c r="A460" s="30">
        <v>1</v>
      </c>
      <c r="B460" s="2" t="s">
        <v>7398</v>
      </c>
      <c r="C460" s="2" t="s">
        <v>7399</v>
      </c>
      <c r="D460" s="2" t="s">
        <v>5868</v>
      </c>
      <c r="E460" s="5">
        <v>12</v>
      </c>
      <c r="F460" s="2" t="s">
        <v>1913</v>
      </c>
      <c r="G460" s="2" t="s">
        <v>7400</v>
      </c>
      <c r="H460" s="2" t="s">
        <v>454</v>
      </c>
      <c r="I460" s="4">
        <v>211</v>
      </c>
      <c r="J460" s="4">
        <v>264</v>
      </c>
      <c r="L460" s="31">
        <v>28.14</v>
      </c>
      <c r="M460" s="32">
        <v>16.899999999999999</v>
      </c>
      <c r="N460" s="33">
        <v>7.5</v>
      </c>
    </row>
    <row r="461" spans="1:14" x14ac:dyDescent="0.25">
      <c r="A461" s="30">
        <v>1</v>
      </c>
      <c r="B461" s="2" t="s">
        <v>7398</v>
      </c>
      <c r="C461" s="2" t="s">
        <v>7399</v>
      </c>
      <c r="D461" s="2" t="s">
        <v>5869</v>
      </c>
      <c r="E461" s="5">
        <v>48</v>
      </c>
      <c r="F461" s="2" t="s">
        <v>1847</v>
      </c>
      <c r="G461" s="2" t="s">
        <v>7401</v>
      </c>
      <c r="H461" s="2" t="s">
        <v>455</v>
      </c>
      <c r="I461" s="4">
        <v>6</v>
      </c>
      <c r="J461" s="4">
        <v>0</v>
      </c>
      <c r="L461" s="31">
        <v>0.28000000000000003</v>
      </c>
      <c r="M461" s="32">
        <v>21.4</v>
      </c>
      <c r="N461" s="33">
        <v>21.4</v>
      </c>
    </row>
    <row r="462" spans="1:14" x14ac:dyDescent="0.25">
      <c r="A462" s="30">
        <v>1</v>
      </c>
      <c r="B462" s="2" t="s">
        <v>7398</v>
      </c>
      <c r="C462" s="2" t="s">
        <v>7399</v>
      </c>
      <c r="D462" s="2" t="s">
        <v>5870</v>
      </c>
      <c r="E462" s="5">
        <v>24</v>
      </c>
      <c r="F462" s="2" t="s">
        <v>1915</v>
      </c>
      <c r="G462" s="2" t="s">
        <v>7401</v>
      </c>
      <c r="H462" s="2" t="s">
        <v>456</v>
      </c>
      <c r="I462" s="4">
        <v>256</v>
      </c>
      <c r="J462" s="4">
        <v>0</v>
      </c>
      <c r="L462" s="31">
        <v>1.71</v>
      </c>
      <c r="M462" s="32">
        <v>149.69999999999999</v>
      </c>
      <c r="N462" s="33">
        <v>149.69999999999999</v>
      </c>
    </row>
    <row r="463" spans="1:14" x14ac:dyDescent="0.25">
      <c r="A463" s="30">
        <v>1</v>
      </c>
      <c r="B463" s="2" t="s">
        <v>7398</v>
      </c>
      <c r="C463" s="2" t="s">
        <v>7399</v>
      </c>
      <c r="D463" s="2" t="s">
        <v>5871</v>
      </c>
      <c r="E463" s="5">
        <v>48</v>
      </c>
      <c r="F463" s="2" t="s">
        <v>1847</v>
      </c>
      <c r="G463" s="2" t="s">
        <v>7401</v>
      </c>
      <c r="H463" s="2" t="s">
        <v>457</v>
      </c>
      <c r="I463" s="4">
        <v>16</v>
      </c>
      <c r="J463" s="4">
        <v>0</v>
      </c>
      <c r="L463" s="31">
        <v>0.56999999999999995</v>
      </c>
      <c r="M463" s="32">
        <v>28.1</v>
      </c>
      <c r="N463" s="33">
        <v>28.1</v>
      </c>
    </row>
    <row r="464" spans="1:14" x14ac:dyDescent="0.25">
      <c r="A464" s="30">
        <v>1</v>
      </c>
      <c r="B464" s="2" t="s">
        <v>7398</v>
      </c>
      <c r="C464" s="2" t="s">
        <v>7399</v>
      </c>
      <c r="D464" s="2" t="s">
        <v>5872</v>
      </c>
      <c r="E464" s="5">
        <v>24</v>
      </c>
      <c r="F464" s="2" t="s">
        <v>1915</v>
      </c>
      <c r="G464" s="2" t="s">
        <v>7401</v>
      </c>
      <c r="H464" s="2" t="s">
        <v>458</v>
      </c>
      <c r="I464" s="4">
        <v>98</v>
      </c>
      <c r="J464" s="4">
        <v>0</v>
      </c>
      <c r="L464" s="31">
        <v>3.85</v>
      </c>
      <c r="M464" s="32">
        <v>25.5</v>
      </c>
      <c r="N464" s="33">
        <v>25.5</v>
      </c>
    </row>
    <row r="465" spans="1:14" x14ac:dyDescent="0.25">
      <c r="A465" s="30">
        <v>1</v>
      </c>
      <c r="B465" s="2" t="s">
        <v>7398</v>
      </c>
      <c r="C465" s="2" t="s">
        <v>7399</v>
      </c>
      <c r="D465" s="2" t="s">
        <v>5873</v>
      </c>
      <c r="E465" s="5">
        <v>24</v>
      </c>
      <c r="F465" s="2" t="s">
        <v>1915</v>
      </c>
      <c r="G465" s="2" t="s">
        <v>7401</v>
      </c>
      <c r="H465" s="2" t="s">
        <v>459</v>
      </c>
      <c r="I465" s="4">
        <v>100</v>
      </c>
      <c r="J465" s="4">
        <v>0</v>
      </c>
      <c r="L465" s="31">
        <v>0.56999999999999995</v>
      </c>
      <c r="M465" s="32">
        <v>175.4</v>
      </c>
      <c r="N465" s="33">
        <v>175.4</v>
      </c>
    </row>
    <row r="466" spans="1:14" x14ac:dyDescent="0.25">
      <c r="A466" s="30">
        <v>1</v>
      </c>
      <c r="B466" s="2" t="s">
        <v>7398</v>
      </c>
      <c r="C466" s="2" t="s">
        <v>7399</v>
      </c>
      <c r="D466" s="2" t="s">
        <v>5874</v>
      </c>
      <c r="E466" s="5">
        <v>24</v>
      </c>
      <c r="F466" s="2" t="s">
        <v>1915</v>
      </c>
      <c r="G466" s="2" t="s">
        <v>7401</v>
      </c>
      <c r="H466" s="2" t="s">
        <v>460</v>
      </c>
      <c r="I466" s="4">
        <v>1446</v>
      </c>
      <c r="J466" s="4">
        <v>0</v>
      </c>
      <c r="L466" s="31">
        <v>71.14</v>
      </c>
      <c r="M466" s="32">
        <v>20.3</v>
      </c>
      <c r="N466" s="33">
        <v>20.3</v>
      </c>
    </row>
    <row r="467" spans="1:14" x14ac:dyDescent="0.25">
      <c r="A467" s="30">
        <v>1</v>
      </c>
      <c r="B467" s="2" t="s">
        <v>7398</v>
      </c>
      <c r="C467" s="2" t="s">
        <v>7399</v>
      </c>
      <c r="D467" s="2" t="s">
        <v>5875</v>
      </c>
      <c r="E467" s="5">
        <v>24</v>
      </c>
      <c r="F467" s="2" t="s">
        <v>1915</v>
      </c>
      <c r="G467" s="2" t="s">
        <v>7401</v>
      </c>
      <c r="H467" s="2" t="s">
        <v>461</v>
      </c>
      <c r="I467" s="4">
        <v>777</v>
      </c>
      <c r="J467" s="4">
        <v>0</v>
      </c>
      <c r="L467" s="31">
        <v>33.14</v>
      </c>
      <c r="M467" s="32">
        <v>23.4</v>
      </c>
      <c r="N467" s="33">
        <v>23.4</v>
      </c>
    </row>
    <row r="468" spans="1:14" x14ac:dyDescent="0.25">
      <c r="A468" s="30">
        <v>1</v>
      </c>
      <c r="B468" s="2" t="s">
        <v>7398</v>
      </c>
      <c r="C468" s="2" t="s">
        <v>7399</v>
      </c>
      <c r="D468" s="2" t="s">
        <v>5876</v>
      </c>
      <c r="E468" s="5">
        <v>24</v>
      </c>
      <c r="F468" s="2" t="s">
        <v>1915</v>
      </c>
      <c r="G468" s="2" t="s">
        <v>7401</v>
      </c>
      <c r="H468" s="2" t="s">
        <v>462</v>
      </c>
      <c r="I468" s="4">
        <v>170</v>
      </c>
      <c r="J468" s="4">
        <v>0</v>
      </c>
      <c r="L468" s="31">
        <v>6.85</v>
      </c>
      <c r="M468" s="32">
        <v>24.8</v>
      </c>
      <c r="N468" s="33">
        <v>24.8</v>
      </c>
    </row>
    <row r="469" spans="1:14" x14ac:dyDescent="0.25">
      <c r="A469" s="30">
        <v>1</v>
      </c>
      <c r="B469" s="2" t="s">
        <v>7398</v>
      </c>
      <c r="C469" s="2" t="s">
        <v>7399</v>
      </c>
      <c r="D469" s="2" t="s">
        <v>5877</v>
      </c>
      <c r="E469" s="5">
        <v>12</v>
      </c>
      <c r="F469" s="2" t="s">
        <v>1914</v>
      </c>
      <c r="G469" s="2" t="s">
        <v>7401</v>
      </c>
      <c r="H469" s="2" t="s">
        <v>463</v>
      </c>
      <c r="I469" s="4">
        <v>8</v>
      </c>
      <c r="J469" s="4">
        <v>0</v>
      </c>
      <c r="L469" s="31">
        <v>0</v>
      </c>
      <c r="M469" s="32">
        <v>0</v>
      </c>
      <c r="N469" s="33">
        <v>9999</v>
      </c>
    </row>
    <row r="470" spans="1:14" x14ac:dyDescent="0.25">
      <c r="A470" s="30">
        <v>1</v>
      </c>
      <c r="B470" s="2" t="s">
        <v>7398</v>
      </c>
      <c r="C470" s="2" t="s">
        <v>7399</v>
      </c>
      <c r="D470" s="2" t="s">
        <v>5878</v>
      </c>
      <c r="E470" s="5">
        <v>24</v>
      </c>
      <c r="F470" s="2" t="s">
        <v>1915</v>
      </c>
      <c r="G470" s="2" t="s">
        <v>7401</v>
      </c>
      <c r="H470" s="2" t="s">
        <v>464</v>
      </c>
      <c r="I470" s="4">
        <v>14</v>
      </c>
      <c r="J470" s="4">
        <v>52</v>
      </c>
      <c r="L470" s="31">
        <v>2</v>
      </c>
      <c r="M470" s="32">
        <v>33</v>
      </c>
      <c r="N470" s="33">
        <v>7</v>
      </c>
    </row>
    <row r="471" spans="1:14" x14ac:dyDescent="0.25">
      <c r="A471" s="30">
        <v>1</v>
      </c>
      <c r="B471" s="2" t="s">
        <v>7398</v>
      </c>
      <c r="C471" s="2" t="s">
        <v>7399</v>
      </c>
      <c r="D471" s="2" t="s">
        <v>5879</v>
      </c>
      <c r="E471" s="5">
        <v>24</v>
      </c>
      <c r="F471" s="2" t="s">
        <v>1915</v>
      </c>
      <c r="G471" s="2" t="s">
        <v>7401</v>
      </c>
      <c r="H471" s="2" t="s">
        <v>465</v>
      </c>
      <c r="I471" s="4">
        <v>141</v>
      </c>
      <c r="J471" s="4">
        <v>52</v>
      </c>
      <c r="L471" s="31">
        <v>2.2799999999999998</v>
      </c>
      <c r="M471" s="32">
        <v>84.6</v>
      </c>
      <c r="N471" s="33">
        <v>61.8</v>
      </c>
    </row>
    <row r="472" spans="1:14" x14ac:dyDescent="0.25">
      <c r="A472" s="30">
        <v>1</v>
      </c>
      <c r="B472" s="2" t="s">
        <v>7398</v>
      </c>
      <c r="C472" s="2" t="s">
        <v>7399</v>
      </c>
      <c r="D472" s="2" t="s">
        <v>5880</v>
      </c>
      <c r="E472" s="5">
        <v>12</v>
      </c>
      <c r="F472" s="2" t="s">
        <v>1914</v>
      </c>
      <c r="G472" s="2" t="s">
        <v>7401</v>
      </c>
      <c r="H472" s="2" t="s">
        <v>466</v>
      </c>
      <c r="I472" s="4">
        <v>33</v>
      </c>
      <c r="J472" s="4">
        <v>0</v>
      </c>
      <c r="L472" s="31">
        <v>0.42</v>
      </c>
      <c r="M472" s="32">
        <v>78.599999999999994</v>
      </c>
      <c r="N472" s="33">
        <v>78.599999999999994</v>
      </c>
    </row>
    <row r="473" spans="1:14" x14ac:dyDescent="0.25">
      <c r="A473" s="30">
        <v>1</v>
      </c>
      <c r="B473" s="2" t="s">
        <v>7398</v>
      </c>
      <c r="C473" s="2" t="s">
        <v>7399</v>
      </c>
      <c r="D473" s="2" t="s">
        <v>5881</v>
      </c>
      <c r="E473" s="5">
        <v>396</v>
      </c>
      <c r="F473" s="2" t="s">
        <v>1913</v>
      </c>
      <c r="G473" s="2" t="s">
        <v>7401</v>
      </c>
      <c r="H473" s="2" t="s">
        <v>467</v>
      </c>
      <c r="I473" s="4">
        <v>0</v>
      </c>
      <c r="J473" s="4">
        <v>0</v>
      </c>
      <c r="L473" s="31">
        <v>0</v>
      </c>
      <c r="M473" s="32">
        <v>0</v>
      </c>
      <c r="N473" s="33">
        <v>9999</v>
      </c>
    </row>
    <row r="474" spans="1:14" x14ac:dyDescent="0.25">
      <c r="A474" s="30">
        <v>1</v>
      </c>
      <c r="B474" s="2" t="s">
        <v>7398</v>
      </c>
      <c r="C474" s="2" t="s">
        <v>7399</v>
      </c>
      <c r="D474" s="2" t="s">
        <v>5882</v>
      </c>
      <c r="E474" s="5">
        <v>12</v>
      </c>
      <c r="F474" s="2" t="s">
        <v>1913</v>
      </c>
      <c r="G474" s="2" t="s">
        <v>7400</v>
      </c>
      <c r="H474" s="2" t="s">
        <v>468</v>
      </c>
      <c r="I474" s="4">
        <v>0</v>
      </c>
      <c r="J474" s="4">
        <v>330</v>
      </c>
      <c r="L474" s="31">
        <v>2.14</v>
      </c>
      <c r="M474" s="32">
        <v>154.19999999999999</v>
      </c>
      <c r="N474" s="33">
        <v>0</v>
      </c>
    </row>
    <row r="475" spans="1:14" x14ac:dyDescent="0.25">
      <c r="A475" s="30">
        <v>1</v>
      </c>
      <c r="B475" s="2" t="s">
        <v>7398</v>
      </c>
      <c r="C475" s="2" t="s">
        <v>7399</v>
      </c>
      <c r="D475" s="2" t="s">
        <v>5883</v>
      </c>
      <c r="E475" s="5">
        <v>24</v>
      </c>
      <c r="F475" s="2" t="s">
        <v>1915</v>
      </c>
      <c r="G475" s="2" t="s">
        <v>7401</v>
      </c>
      <c r="H475" s="2" t="s">
        <v>469</v>
      </c>
      <c r="I475" s="4">
        <v>136</v>
      </c>
      <c r="J475" s="4">
        <v>0</v>
      </c>
      <c r="L475" s="31">
        <v>8.42</v>
      </c>
      <c r="M475" s="32">
        <v>16.2</v>
      </c>
      <c r="N475" s="33">
        <v>16.2</v>
      </c>
    </row>
    <row r="476" spans="1:14" x14ac:dyDescent="0.25">
      <c r="A476" s="30">
        <v>1</v>
      </c>
      <c r="B476" s="2" t="s">
        <v>7398</v>
      </c>
      <c r="C476" s="2" t="s">
        <v>7399</v>
      </c>
      <c r="D476" s="2" t="s">
        <v>5884</v>
      </c>
      <c r="E476" s="5">
        <v>12</v>
      </c>
      <c r="F476" s="2" t="s">
        <v>1914</v>
      </c>
      <c r="G476" s="2" t="s">
        <v>7401</v>
      </c>
      <c r="H476" s="2" t="s">
        <v>470</v>
      </c>
      <c r="I476" s="4">
        <v>0</v>
      </c>
      <c r="J476" s="4">
        <v>80</v>
      </c>
      <c r="L476" s="31">
        <v>4.1399999999999997</v>
      </c>
      <c r="M476" s="32">
        <v>19.3</v>
      </c>
      <c r="N476" s="33">
        <v>0</v>
      </c>
    </row>
    <row r="477" spans="1:14" x14ac:dyDescent="0.25">
      <c r="A477" s="30">
        <v>1</v>
      </c>
      <c r="B477" s="2" t="s">
        <v>7398</v>
      </c>
      <c r="C477" s="2" t="s">
        <v>7399</v>
      </c>
      <c r="D477" s="2" t="s">
        <v>5885</v>
      </c>
      <c r="E477" s="5">
        <v>12</v>
      </c>
      <c r="F477" s="2" t="s">
        <v>1914</v>
      </c>
      <c r="G477" s="2" t="s">
        <v>7401</v>
      </c>
      <c r="H477" s="2" t="s">
        <v>471</v>
      </c>
      <c r="I477" s="4">
        <v>36</v>
      </c>
      <c r="J477" s="4">
        <v>0</v>
      </c>
      <c r="L477" s="31">
        <v>1.57</v>
      </c>
      <c r="M477" s="32">
        <v>22.9</v>
      </c>
      <c r="N477" s="33">
        <v>22.9</v>
      </c>
    </row>
    <row r="478" spans="1:14" x14ac:dyDescent="0.25">
      <c r="A478" s="30">
        <v>1</v>
      </c>
      <c r="B478" s="2" t="s">
        <v>7398</v>
      </c>
      <c r="C478" s="2" t="s">
        <v>7399</v>
      </c>
      <c r="D478" s="2" t="s">
        <v>5886</v>
      </c>
      <c r="E478" s="5">
        <v>12</v>
      </c>
      <c r="F478" s="2" t="s">
        <v>1914</v>
      </c>
      <c r="G478" s="2" t="s">
        <v>7401</v>
      </c>
      <c r="H478" s="2" t="s">
        <v>472</v>
      </c>
      <c r="I478" s="4">
        <v>47</v>
      </c>
      <c r="J478" s="4">
        <v>0</v>
      </c>
      <c r="L478" s="31">
        <v>0.14000000000000001</v>
      </c>
      <c r="M478" s="32">
        <v>335.7</v>
      </c>
      <c r="N478" s="33">
        <v>335.7</v>
      </c>
    </row>
    <row r="479" spans="1:14" x14ac:dyDescent="0.25">
      <c r="A479" s="30">
        <v>1</v>
      </c>
      <c r="B479" s="2" t="s">
        <v>7398</v>
      </c>
      <c r="C479" s="2" t="s">
        <v>7399</v>
      </c>
      <c r="D479" s="2" t="s">
        <v>5887</v>
      </c>
      <c r="E479" s="5">
        <v>24</v>
      </c>
      <c r="F479" s="2" t="s">
        <v>1915</v>
      </c>
      <c r="G479" s="2" t="s">
        <v>7401</v>
      </c>
      <c r="H479" s="2" t="s">
        <v>468</v>
      </c>
      <c r="I479" s="4">
        <v>501</v>
      </c>
      <c r="J479" s="4">
        <v>208</v>
      </c>
      <c r="L479" s="31">
        <v>35</v>
      </c>
      <c r="M479" s="32">
        <v>20.3</v>
      </c>
      <c r="N479" s="33">
        <v>14.3</v>
      </c>
    </row>
    <row r="480" spans="1:14" x14ac:dyDescent="0.25">
      <c r="A480" s="30">
        <v>1</v>
      </c>
      <c r="B480" s="2" t="s">
        <v>7398</v>
      </c>
      <c r="C480" s="2" t="s">
        <v>7399</v>
      </c>
      <c r="D480" s="2" t="s">
        <v>5888</v>
      </c>
      <c r="E480" s="5">
        <v>24</v>
      </c>
      <c r="F480" s="2" t="s">
        <v>1915</v>
      </c>
      <c r="G480" s="2" t="s">
        <v>7401</v>
      </c>
      <c r="H480" s="2" t="s">
        <v>473</v>
      </c>
      <c r="I480" s="4">
        <v>167</v>
      </c>
      <c r="J480" s="4">
        <v>0</v>
      </c>
      <c r="L480" s="31">
        <v>1.42</v>
      </c>
      <c r="M480" s="32">
        <v>117.6</v>
      </c>
      <c r="N480" s="33">
        <v>117.6</v>
      </c>
    </row>
    <row r="481" spans="1:14" x14ac:dyDescent="0.25">
      <c r="A481" s="30">
        <v>1</v>
      </c>
      <c r="B481" s="2" t="s">
        <v>7398</v>
      </c>
      <c r="C481" s="2" t="s">
        <v>7399</v>
      </c>
      <c r="D481" s="2" t="s">
        <v>5889</v>
      </c>
      <c r="E481" s="5">
        <v>24</v>
      </c>
      <c r="F481" s="2" t="s">
        <v>1915</v>
      </c>
      <c r="G481" s="2" t="s">
        <v>7401</v>
      </c>
      <c r="H481" s="2" t="s">
        <v>474</v>
      </c>
      <c r="I481" s="4">
        <v>180</v>
      </c>
      <c r="J481" s="4">
        <v>0</v>
      </c>
      <c r="L481" s="31">
        <v>2</v>
      </c>
      <c r="M481" s="32">
        <v>90</v>
      </c>
      <c r="N481" s="33">
        <v>90</v>
      </c>
    </row>
    <row r="482" spans="1:14" x14ac:dyDescent="0.25">
      <c r="A482" s="30">
        <v>1</v>
      </c>
      <c r="B482" s="2" t="s">
        <v>7398</v>
      </c>
      <c r="C482" s="2" t="s">
        <v>7399</v>
      </c>
      <c r="D482" s="2" t="s">
        <v>5890</v>
      </c>
      <c r="E482" s="5">
        <v>24</v>
      </c>
      <c r="F482" s="2" t="s">
        <v>1915</v>
      </c>
      <c r="G482" s="2" t="s">
        <v>7401</v>
      </c>
      <c r="H482" s="2" t="s">
        <v>475</v>
      </c>
      <c r="I482" s="4">
        <v>85</v>
      </c>
      <c r="J482" s="4">
        <v>0</v>
      </c>
      <c r="L482" s="31">
        <v>2.71</v>
      </c>
      <c r="M482" s="32">
        <v>31.4</v>
      </c>
      <c r="N482" s="33">
        <v>31.4</v>
      </c>
    </row>
    <row r="483" spans="1:14" x14ac:dyDescent="0.25">
      <c r="A483" s="30">
        <v>1</v>
      </c>
      <c r="B483" s="2" t="s">
        <v>7398</v>
      </c>
      <c r="C483" s="2" t="s">
        <v>7399</v>
      </c>
      <c r="D483" s="2" t="s">
        <v>5891</v>
      </c>
      <c r="E483" s="5">
        <v>12</v>
      </c>
      <c r="F483" s="2" t="s">
        <v>1914</v>
      </c>
      <c r="G483" s="2" t="s">
        <v>7401</v>
      </c>
      <c r="H483" s="2" t="s">
        <v>476</v>
      </c>
      <c r="I483" s="4">
        <v>32</v>
      </c>
      <c r="J483" s="4">
        <v>0</v>
      </c>
      <c r="L483" s="31">
        <v>0.14000000000000001</v>
      </c>
      <c r="M483" s="32">
        <v>228.6</v>
      </c>
      <c r="N483" s="33">
        <v>228.6</v>
      </c>
    </row>
    <row r="484" spans="1:14" x14ac:dyDescent="0.25">
      <c r="A484" s="30">
        <v>1</v>
      </c>
      <c r="B484" s="2" t="s">
        <v>7398</v>
      </c>
      <c r="C484" s="2" t="s">
        <v>7399</v>
      </c>
      <c r="D484" s="2" t="s">
        <v>5892</v>
      </c>
      <c r="E484" s="5">
        <v>24</v>
      </c>
      <c r="F484" s="2" t="s">
        <v>1916</v>
      </c>
      <c r="G484" s="2" t="s">
        <v>7413</v>
      </c>
      <c r="H484" s="2" t="s">
        <v>477</v>
      </c>
      <c r="I484" s="4">
        <v>2950</v>
      </c>
      <c r="J484" s="4">
        <v>2870</v>
      </c>
      <c r="L484" s="31">
        <v>159.85</v>
      </c>
      <c r="M484" s="32">
        <v>36.4</v>
      </c>
      <c r="N484" s="33">
        <v>18.5</v>
      </c>
    </row>
    <row r="485" spans="1:14" x14ac:dyDescent="0.25">
      <c r="A485" s="30">
        <v>1</v>
      </c>
      <c r="B485" s="2" t="s">
        <v>7398</v>
      </c>
      <c r="C485" s="2" t="s">
        <v>7399</v>
      </c>
      <c r="D485" s="2" t="s">
        <v>5893</v>
      </c>
      <c r="E485" s="5">
        <v>24</v>
      </c>
      <c r="F485" s="2" t="s">
        <v>1915</v>
      </c>
      <c r="G485" s="2" t="s">
        <v>7401</v>
      </c>
      <c r="H485" s="2" t="s">
        <v>478</v>
      </c>
      <c r="I485" s="4">
        <v>291</v>
      </c>
      <c r="J485" s="4">
        <v>416</v>
      </c>
      <c r="L485" s="31">
        <v>37.28</v>
      </c>
      <c r="M485" s="32">
        <v>19</v>
      </c>
      <c r="N485" s="33">
        <v>7.8</v>
      </c>
    </row>
    <row r="486" spans="1:14" x14ac:dyDescent="0.25">
      <c r="A486" s="30">
        <v>1</v>
      </c>
      <c r="B486" s="2" t="s">
        <v>7398</v>
      </c>
      <c r="C486" s="2" t="s">
        <v>7399</v>
      </c>
      <c r="D486" s="2" t="s">
        <v>5894</v>
      </c>
      <c r="E486" s="5">
        <v>12</v>
      </c>
      <c r="F486" s="2" t="s">
        <v>1913</v>
      </c>
      <c r="G486" s="2" t="s">
        <v>7400</v>
      </c>
      <c r="H486" s="2" t="s">
        <v>479</v>
      </c>
      <c r="I486" s="4">
        <v>8</v>
      </c>
      <c r="J486" s="4">
        <v>66</v>
      </c>
      <c r="L486" s="31">
        <v>4.42</v>
      </c>
      <c r="M486" s="32">
        <v>16.7</v>
      </c>
      <c r="N486" s="33">
        <v>1.8</v>
      </c>
    </row>
    <row r="487" spans="1:14" x14ac:dyDescent="0.25">
      <c r="A487" s="30">
        <v>1</v>
      </c>
      <c r="B487" s="2" t="s">
        <v>7398</v>
      </c>
      <c r="C487" s="2" t="s">
        <v>7399</v>
      </c>
      <c r="D487" s="2" t="s">
        <v>5895</v>
      </c>
      <c r="E487" s="5">
        <v>24</v>
      </c>
      <c r="F487" s="2" t="s">
        <v>1915</v>
      </c>
      <c r="G487" s="2" t="s">
        <v>7401</v>
      </c>
      <c r="H487" s="2" t="s">
        <v>480</v>
      </c>
      <c r="I487" s="4">
        <v>551</v>
      </c>
      <c r="J487" s="4">
        <v>416</v>
      </c>
      <c r="L487" s="31">
        <v>40.28</v>
      </c>
      <c r="M487" s="32">
        <v>24</v>
      </c>
      <c r="N487" s="33">
        <v>13.7</v>
      </c>
    </row>
    <row r="488" spans="1:14" x14ac:dyDescent="0.25">
      <c r="A488" s="30">
        <v>1</v>
      </c>
      <c r="B488" s="2" t="s">
        <v>7398</v>
      </c>
      <c r="C488" s="2" t="s">
        <v>7399</v>
      </c>
      <c r="D488" s="2" t="s">
        <v>5896</v>
      </c>
      <c r="E488" s="5">
        <v>24</v>
      </c>
      <c r="F488" s="2" t="s">
        <v>1915</v>
      </c>
      <c r="G488" s="2" t="s">
        <v>7401</v>
      </c>
      <c r="H488" s="2" t="s">
        <v>481</v>
      </c>
      <c r="I488" s="4">
        <v>47</v>
      </c>
      <c r="J488" s="4">
        <v>104</v>
      </c>
      <c r="L488" s="31">
        <v>5.28</v>
      </c>
      <c r="M488" s="32">
        <v>28.6</v>
      </c>
      <c r="N488" s="33">
        <v>8.9</v>
      </c>
    </row>
    <row r="489" spans="1:14" x14ac:dyDescent="0.25">
      <c r="A489" s="30">
        <v>1</v>
      </c>
      <c r="B489" s="2" t="s">
        <v>7398</v>
      </c>
      <c r="C489" s="2" t="s">
        <v>7399</v>
      </c>
      <c r="D489" s="2" t="s">
        <v>5897</v>
      </c>
      <c r="E489" s="5">
        <v>24</v>
      </c>
      <c r="F489" s="2" t="s">
        <v>1915</v>
      </c>
      <c r="G489" s="2" t="s">
        <v>7401</v>
      </c>
      <c r="H489" s="2" t="s">
        <v>482</v>
      </c>
      <c r="I489" s="4">
        <v>305</v>
      </c>
      <c r="J489" s="4">
        <v>416</v>
      </c>
      <c r="L489" s="31">
        <v>31.85</v>
      </c>
      <c r="M489" s="32">
        <v>22.6</v>
      </c>
      <c r="N489" s="33">
        <v>9.6</v>
      </c>
    </row>
    <row r="490" spans="1:14" x14ac:dyDescent="0.25">
      <c r="A490" s="30">
        <v>1</v>
      </c>
      <c r="B490" s="2" t="s">
        <v>7398</v>
      </c>
      <c r="C490" s="2" t="s">
        <v>7399</v>
      </c>
      <c r="D490" s="2" t="s">
        <v>5898</v>
      </c>
      <c r="E490" s="5">
        <v>24</v>
      </c>
      <c r="F490" s="2" t="s">
        <v>1915</v>
      </c>
      <c r="G490" s="2" t="s">
        <v>7401</v>
      </c>
      <c r="H490" s="2" t="s">
        <v>483</v>
      </c>
      <c r="I490" s="4">
        <v>813</v>
      </c>
      <c r="J490" s="4">
        <v>728</v>
      </c>
      <c r="L490" s="31">
        <v>72.42</v>
      </c>
      <c r="M490" s="32">
        <v>21.3</v>
      </c>
      <c r="N490" s="33">
        <v>11.2</v>
      </c>
    </row>
    <row r="491" spans="1:14" x14ac:dyDescent="0.25">
      <c r="A491" s="30">
        <v>1</v>
      </c>
      <c r="B491" s="2" t="s">
        <v>7398</v>
      </c>
      <c r="C491" s="2" t="s">
        <v>7399</v>
      </c>
      <c r="D491" s="2" t="s">
        <v>5899</v>
      </c>
      <c r="E491" s="5">
        <v>12</v>
      </c>
      <c r="F491" s="2" t="s">
        <v>1914</v>
      </c>
      <c r="G491" s="2" t="s">
        <v>7401</v>
      </c>
      <c r="H491" s="2" t="s">
        <v>484</v>
      </c>
      <c r="I491" s="4">
        <v>92</v>
      </c>
      <c r="J491" s="4">
        <v>0</v>
      </c>
      <c r="L491" s="31">
        <v>1.85</v>
      </c>
      <c r="M491" s="32">
        <v>49.7</v>
      </c>
      <c r="N491" s="33">
        <v>49.7</v>
      </c>
    </row>
    <row r="492" spans="1:14" x14ac:dyDescent="0.25">
      <c r="A492" s="30">
        <v>1</v>
      </c>
      <c r="B492" s="2" t="s">
        <v>7398</v>
      </c>
      <c r="C492" s="2" t="s">
        <v>7399</v>
      </c>
      <c r="D492" s="2" t="s">
        <v>5900</v>
      </c>
      <c r="E492" s="5">
        <v>12</v>
      </c>
      <c r="F492" s="2" t="s">
        <v>1914</v>
      </c>
      <c r="G492" s="2" t="s">
        <v>7401</v>
      </c>
      <c r="H492" s="2" t="s">
        <v>485</v>
      </c>
      <c r="I492" s="4">
        <v>24</v>
      </c>
      <c r="J492" s="4">
        <v>80</v>
      </c>
      <c r="L492" s="31">
        <v>7.14</v>
      </c>
      <c r="M492" s="32">
        <v>14.6</v>
      </c>
      <c r="N492" s="33">
        <v>3.4</v>
      </c>
    </row>
    <row r="493" spans="1:14" x14ac:dyDescent="0.25">
      <c r="A493" s="30">
        <v>1</v>
      </c>
      <c r="B493" s="2" t="s">
        <v>7398</v>
      </c>
      <c r="C493" s="2" t="s">
        <v>7399</v>
      </c>
      <c r="D493" s="2" t="s">
        <v>5901</v>
      </c>
      <c r="E493" s="5">
        <v>12</v>
      </c>
      <c r="F493" s="2" t="s">
        <v>1914</v>
      </c>
      <c r="G493" s="2" t="s">
        <v>7401</v>
      </c>
      <c r="H493" s="2" t="s">
        <v>486</v>
      </c>
      <c r="I493" s="4">
        <v>59</v>
      </c>
      <c r="J493" s="4">
        <v>0</v>
      </c>
      <c r="L493" s="31">
        <v>4</v>
      </c>
      <c r="M493" s="32">
        <v>14.8</v>
      </c>
      <c r="N493" s="33">
        <v>14.8</v>
      </c>
    </row>
    <row r="494" spans="1:14" x14ac:dyDescent="0.25">
      <c r="A494" s="30">
        <v>1</v>
      </c>
      <c r="B494" s="2" t="s">
        <v>7398</v>
      </c>
      <c r="C494" s="2" t="s">
        <v>7399</v>
      </c>
      <c r="D494" s="2" t="s">
        <v>5902</v>
      </c>
      <c r="E494" s="5">
        <v>12</v>
      </c>
      <c r="F494" s="2" t="s">
        <v>1914</v>
      </c>
      <c r="G494" s="2" t="s">
        <v>7401</v>
      </c>
      <c r="H494" s="2" t="s">
        <v>487</v>
      </c>
      <c r="I494" s="4">
        <v>41</v>
      </c>
      <c r="J494" s="4">
        <v>80</v>
      </c>
      <c r="L494" s="31">
        <v>6.14</v>
      </c>
      <c r="M494" s="32">
        <v>19.7</v>
      </c>
      <c r="N494" s="33">
        <v>6.7</v>
      </c>
    </row>
    <row r="495" spans="1:14" x14ac:dyDescent="0.25">
      <c r="A495" s="30">
        <v>1</v>
      </c>
      <c r="B495" s="2" t="s">
        <v>7398</v>
      </c>
      <c r="C495" s="2" t="s">
        <v>7399</v>
      </c>
      <c r="D495" s="2" t="s">
        <v>5903</v>
      </c>
      <c r="E495" s="5">
        <v>48</v>
      </c>
      <c r="F495" s="2" t="s">
        <v>1847</v>
      </c>
      <c r="G495" s="2" t="s">
        <v>7401</v>
      </c>
      <c r="H495" s="2" t="s">
        <v>488</v>
      </c>
      <c r="I495" s="4">
        <v>22</v>
      </c>
      <c r="J495" s="4">
        <v>0</v>
      </c>
      <c r="L495" s="31">
        <v>0.28000000000000003</v>
      </c>
      <c r="M495" s="32">
        <v>78.599999999999994</v>
      </c>
      <c r="N495" s="33">
        <v>78.599999999999994</v>
      </c>
    </row>
    <row r="496" spans="1:14" x14ac:dyDescent="0.25">
      <c r="A496" s="30">
        <v>1</v>
      </c>
      <c r="B496" s="2" t="s">
        <v>7398</v>
      </c>
      <c r="C496" s="2" t="s">
        <v>7399</v>
      </c>
      <c r="D496" s="2" t="s">
        <v>5904</v>
      </c>
      <c r="E496" s="5">
        <v>48</v>
      </c>
      <c r="F496" s="2" t="s">
        <v>1847</v>
      </c>
      <c r="G496" s="2" t="s">
        <v>7401</v>
      </c>
      <c r="H496" s="2" t="s">
        <v>489</v>
      </c>
      <c r="I496" s="4">
        <v>123</v>
      </c>
      <c r="J496" s="4">
        <v>0</v>
      </c>
      <c r="L496" s="31">
        <v>5.28</v>
      </c>
      <c r="M496" s="32">
        <v>23.3</v>
      </c>
      <c r="N496" s="33">
        <v>23.3</v>
      </c>
    </row>
    <row r="497" spans="1:14" x14ac:dyDescent="0.25">
      <c r="A497" s="30">
        <v>1</v>
      </c>
      <c r="B497" s="2" t="s">
        <v>7398</v>
      </c>
      <c r="C497" s="2" t="s">
        <v>7399</v>
      </c>
      <c r="D497" s="2" t="s">
        <v>5905</v>
      </c>
      <c r="E497" s="5">
        <v>48</v>
      </c>
      <c r="F497" s="2" t="s">
        <v>1847</v>
      </c>
      <c r="G497" s="2" t="s">
        <v>7401</v>
      </c>
      <c r="H497" s="2" t="s">
        <v>490</v>
      </c>
      <c r="I497" s="4">
        <v>0</v>
      </c>
      <c r="J497" s="4">
        <v>0</v>
      </c>
      <c r="L497" s="31">
        <v>0</v>
      </c>
      <c r="M497" s="32">
        <v>0</v>
      </c>
      <c r="N497" s="33">
        <v>9999</v>
      </c>
    </row>
    <row r="498" spans="1:14" x14ac:dyDescent="0.25">
      <c r="A498" s="30">
        <v>1</v>
      </c>
      <c r="B498" s="2" t="s">
        <v>7398</v>
      </c>
      <c r="C498" s="2" t="s">
        <v>7399</v>
      </c>
      <c r="D498" s="2" t="s">
        <v>5906</v>
      </c>
      <c r="E498" s="5">
        <v>48</v>
      </c>
      <c r="F498" s="2" t="s">
        <v>1847</v>
      </c>
      <c r="G498" s="2" t="s">
        <v>7401</v>
      </c>
      <c r="H498" s="2" t="s">
        <v>491</v>
      </c>
      <c r="I498" s="4">
        <v>35</v>
      </c>
      <c r="J498" s="4">
        <v>0</v>
      </c>
      <c r="L498" s="31">
        <v>0.14000000000000001</v>
      </c>
      <c r="M498" s="32">
        <v>250</v>
      </c>
      <c r="N498" s="33">
        <v>250</v>
      </c>
    </row>
    <row r="499" spans="1:14" x14ac:dyDescent="0.25">
      <c r="A499" s="30">
        <v>1</v>
      </c>
      <c r="B499" s="2" t="s">
        <v>7398</v>
      </c>
      <c r="C499" s="2" t="s">
        <v>7399</v>
      </c>
      <c r="D499" s="2" t="s">
        <v>5907</v>
      </c>
      <c r="E499" s="5">
        <v>12</v>
      </c>
      <c r="F499" s="2" t="s">
        <v>1914</v>
      </c>
      <c r="G499" s="2" t="s">
        <v>7401</v>
      </c>
      <c r="H499" s="2" t="s">
        <v>492</v>
      </c>
      <c r="I499" s="4">
        <v>47</v>
      </c>
      <c r="J499" s="4">
        <v>0</v>
      </c>
      <c r="L499" s="31">
        <v>0.42</v>
      </c>
      <c r="M499" s="32">
        <v>111.9</v>
      </c>
      <c r="N499" s="33">
        <v>111.9</v>
      </c>
    </row>
    <row r="500" spans="1:14" x14ac:dyDescent="0.25">
      <c r="A500" s="30">
        <v>1</v>
      </c>
      <c r="B500" s="2" t="s">
        <v>7398</v>
      </c>
      <c r="C500" s="2" t="s">
        <v>7399</v>
      </c>
      <c r="D500" s="2" t="s">
        <v>5908</v>
      </c>
      <c r="E500" s="5">
        <v>24</v>
      </c>
      <c r="F500" s="2" t="s">
        <v>1915</v>
      </c>
      <c r="G500" s="2" t="s">
        <v>7401</v>
      </c>
      <c r="H500" s="2" t="s">
        <v>493</v>
      </c>
      <c r="I500" s="4">
        <v>236</v>
      </c>
      <c r="J500" s="4">
        <v>0</v>
      </c>
      <c r="L500" s="31">
        <v>3.71</v>
      </c>
      <c r="M500" s="32">
        <v>63.6</v>
      </c>
      <c r="N500" s="33">
        <v>63.6</v>
      </c>
    </row>
    <row r="501" spans="1:14" x14ac:dyDescent="0.25">
      <c r="A501" s="30">
        <v>1</v>
      </c>
      <c r="B501" s="2" t="s">
        <v>7398</v>
      </c>
      <c r="C501" s="2" t="s">
        <v>7399</v>
      </c>
      <c r="D501" s="2" t="s">
        <v>5909</v>
      </c>
      <c r="E501" s="5">
        <v>24</v>
      </c>
      <c r="F501" s="2" t="s">
        <v>1915</v>
      </c>
      <c r="G501" s="2" t="s">
        <v>7401</v>
      </c>
      <c r="H501" s="2" t="s">
        <v>494</v>
      </c>
      <c r="I501" s="4">
        <v>33</v>
      </c>
      <c r="J501" s="4">
        <v>0</v>
      </c>
      <c r="L501" s="31">
        <v>3.57</v>
      </c>
      <c r="M501" s="32">
        <v>9.1999999999999993</v>
      </c>
      <c r="N501" s="33">
        <v>9.1999999999999993</v>
      </c>
    </row>
    <row r="502" spans="1:14" x14ac:dyDescent="0.25">
      <c r="A502" s="30">
        <v>1</v>
      </c>
      <c r="B502" s="2" t="s">
        <v>7398</v>
      </c>
      <c r="C502" s="2" t="s">
        <v>7399</v>
      </c>
      <c r="D502" s="2" t="s">
        <v>5910</v>
      </c>
      <c r="E502" s="5">
        <v>24</v>
      </c>
      <c r="F502" s="2" t="s">
        <v>1915</v>
      </c>
      <c r="G502" s="2" t="s">
        <v>7401</v>
      </c>
      <c r="H502" s="2" t="s">
        <v>495</v>
      </c>
      <c r="I502" s="4">
        <v>62</v>
      </c>
      <c r="J502" s="4">
        <v>0</v>
      </c>
      <c r="L502" s="31">
        <v>4.42</v>
      </c>
      <c r="M502" s="32">
        <v>14</v>
      </c>
      <c r="N502" s="33">
        <v>14</v>
      </c>
    </row>
    <row r="503" spans="1:14" x14ac:dyDescent="0.25">
      <c r="A503" s="30">
        <v>1</v>
      </c>
      <c r="B503" s="2" t="s">
        <v>7398</v>
      </c>
      <c r="C503" s="2" t="s">
        <v>7399</v>
      </c>
      <c r="D503" s="2" t="s">
        <v>5911</v>
      </c>
      <c r="E503" s="5">
        <v>12</v>
      </c>
      <c r="F503" s="2" t="s">
        <v>1913</v>
      </c>
      <c r="G503" s="2" t="s">
        <v>7413</v>
      </c>
      <c r="H503" s="2" t="s">
        <v>496</v>
      </c>
      <c r="I503" s="4">
        <v>441</v>
      </c>
      <c r="J503" s="4">
        <v>0</v>
      </c>
      <c r="L503" s="31">
        <v>23.85</v>
      </c>
      <c r="M503" s="32">
        <v>18.5</v>
      </c>
      <c r="N503" s="33">
        <v>18.5</v>
      </c>
    </row>
    <row r="504" spans="1:14" x14ac:dyDescent="0.25">
      <c r="A504" s="30">
        <v>1</v>
      </c>
      <c r="B504" s="2" t="s">
        <v>7398</v>
      </c>
      <c r="C504" s="2" t="s">
        <v>7399</v>
      </c>
      <c r="D504" s="2" t="s">
        <v>5912</v>
      </c>
      <c r="E504" s="5">
        <v>12</v>
      </c>
      <c r="F504" s="2" t="s">
        <v>1913</v>
      </c>
      <c r="G504" s="2" t="s">
        <v>7413</v>
      </c>
      <c r="H504" s="2" t="s">
        <v>497</v>
      </c>
      <c r="I504" s="4">
        <v>301</v>
      </c>
      <c r="J504" s="4">
        <v>64</v>
      </c>
      <c r="L504" s="31">
        <v>24</v>
      </c>
      <c r="M504" s="32">
        <v>15.2</v>
      </c>
      <c r="N504" s="33">
        <v>12.5</v>
      </c>
    </row>
    <row r="505" spans="1:14" x14ac:dyDescent="0.25">
      <c r="A505" s="30">
        <v>1</v>
      </c>
      <c r="B505" s="2" t="s">
        <v>7398</v>
      </c>
      <c r="C505" s="2" t="s">
        <v>7399</v>
      </c>
      <c r="D505" s="2" t="s">
        <v>5913</v>
      </c>
      <c r="E505" s="5">
        <v>24</v>
      </c>
      <c r="F505" s="2" t="s">
        <v>1916</v>
      </c>
      <c r="G505" s="2" t="s">
        <v>7413</v>
      </c>
      <c r="H505" s="2" t="s">
        <v>498</v>
      </c>
      <c r="I505" s="4">
        <v>661</v>
      </c>
      <c r="J505" s="4">
        <v>72</v>
      </c>
      <c r="L505" s="31">
        <v>3</v>
      </c>
      <c r="M505" s="32">
        <v>244.3</v>
      </c>
      <c r="N505" s="33">
        <v>220.3</v>
      </c>
    </row>
    <row r="506" spans="1:14" x14ac:dyDescent="0.25">
      <c r="A506" s="30">
        <v>1</v>
      </c>
      <c r="B506" s="2" t="s">
        <v>7398</v>
      </c>
      <c r="C506" s="2" t="s">
        <v>7399</v>
      </c>
      <c r="D506" s="2" t="s">
        <v>5914</v>
      </c>
      <c r="E506" s="5">
        <v>12</v>
      </c>
      <c r="F506" s="2" t="s">
        <v>1913</v>
      </c>
      <c r="G506" s="2" t="s">
        <v>7413</v>
      </c>
      <c r="H506" s="2" t="s">
        <v>499</v>
      </c>
      <c r="I506" s="4">
        <v>522</v>
      </c>
      <c r="J506" s="4">
        <v>576</v>
      </c>
      <c r="L506" s="31">
        <v>60.85</v>
      </c>
      <c r="M506" s="32">
        <v>18</v>
      </c>
      <c r="N506" s="33">
        <v>8.6</v>
      </c>
    </row>
    <row r="507" spans="1:14" x14ac:dyDescent="0.25">
      <c r="A507" s="30">
        <v>1</v>
      </c>
      <c r="B507" s="2" t="s">
        <v>7398</v>
      </c>
      <c r="C507" s="2" t="s">
        <v>7399</v>
      </c>
      <c r="D507" s="2" t="s">
        <v>5915</v>
      </c>
      <c r="E507" s="5">
        <v>12</v>
      </c>
      <c r="F507" s="2" t="s">
        <v>1914</v>
      </c>
      <c r="G507" s="2" t="s">
        <v>7401</v>
      </c>
      <c r="H507" s="2" t="s">
        <v>500</v>
      </c>
      <c r="I507" s="4">
        <v>25</v>
      </c>
      <c r="J507" s="4">
        <v>0</v>
      </c>
      <c r="L507" s="31">
        <v>0.14000000000000001</v>
      </c>
      <c r="M507" s="32">
        <v>178.6</v>
      </c>
      <c r="N507" s="33">
        <v>178.6</v>
      </c>
    </row>
    <row r="508" spans="1:14" x14ac:dyDescent="0.25">
      <c r="A508" s="30">
        <v>1</v>
      </c>
      <c r="B508" s="2" t="s">
        <v>7398</v>
      </c>
      <c r="C508" s="2" t="s">
        <v>7399</v>
      </c>
      <c r="D508" s="2" t="s">
        <v>5916</v>
      </c>
      <c r="E508" s="5">
        <v>12</v>
      </c>
      <c r="F508" s="2" t="s">
        <v>1914</v>
      </c>
      <c r="G508" s="2" t="s">
        <v>7401</v>
      </c>
      <c r="H508" s="2" t="s">
        <v>501</v>
      </c>
      <c r="I508" s="4">
        <v>49</v>
      </c>
      <c r="J508" s="4">
        <v>24</v>
      </c>
      <c r="L508" s="31">
        <v>2.85</v>
      </c>
      <c r="M508" s="32">
        <v>25.6</v>
      </c>
      <c r="N508" s="33">
        <v>17.2</v>
      </c>
    </row>
    <row r="509" spans="1:14" x14ac:dyDescent="0.25">
      <c r="A509" s="30">
        <v>1</v>
      </c>
      <c r="B509" s="2" t="s">
        <v>7398</v>
      </c>
      <c r="C509" s="2" t="s">
        <v>7399</v>
      </c>
      <c r="D509" s="2" t="s">
        <v>5917</v>
      </c>
      <c r="E509" s="5">
        <v>24</v>
      </c>
      <c r="F509" s="2" t="s">
        <v>1917</v>
      </c>
      <c r="G509" s="2" t="s">
        <v>7413</v>
      </c>
      <c r="H509" s="2" t="s">
        <v>502</v>
      </c>
      <c r="I509" s="4">
        <v>468</v>
      </c>
      <c r="J509" s="4">
        <v>120</v>
      </c>
      <c r="L509" s="31">
        <v>3.71</v>
      </c>
      <c r="M509" s="32">
        <v>158.5</v>
      </c>
      <c r="N509" s="33">
        <v>126.1</v>
      </c>
    </row>
    <row r="510" spans="1:14" x14ac:dyDescent="0.25">
      <c r="A510" s="30">
        <v>1</v>
      </c>
      <c r="B510" s="2" t="s">
        <v>7398</v>
      </c>
      <c r="C510" s="2" t="s">
        <v>7399</v>
      </c>
      <c r="D510" s="2" t="s">
        <v>5918</v>
      </c>
      <c r="E510" s="5">
        <v>440</v>
      </c>
      <c r="F510" s="2" t="s">
        <v>1918</v>
      </c>
      <c r="G510" s="2" t="s">
        <v>7401</v>
      </c>
      <c r="H510" s="2" t="s">
        <v>503</v>
      </c>
      <c r="I510" s="4">
        <v>357</v>
      </c>
      <c r="J510" s="4">
        <v>224</v>
      </c>
      <c r="L510" s="31">
        <v>21.85</v>
      </c>
      <c r="M510" s="32">
        <v>26.6</v>
      </c>
      <c r="N510" s="33">
        <v>16.3</v>
      </c>
    </row>
    <row r="511" spans="1:14" x14ac:dyDescent="0.25">
      <c r="A511" s="30">
        <v>1</v>
      </c>
      <c r="B511" s="2" t="s">
        <v>7398</v>
      </c>
      <c r="C511" s="2" t="s">
        <v>7399</v>
      </c>
      <c r="D511" s="2" t="s">
        <v>5919</v>
      </c>
      <c r="E511" s="5">
        <v>12</v>
      </c>
      <c r="F511" s="2" t="s">
        <v>1913</v>
      </c>
      <c r="G511" s="2" t="s">
        <v>7413</v>
      </c>
      <c r="H511" s="2" t="s">
        <v>504</v>
      </c>
      <c r="I511" s="4">
        <v>15343</v>
      </c>
      <c r="J511" s="4">
        <v>31215</v>
      </c>
      <c r="L511" s="31">
        <v>1744</v>
      </c>
      <c r="M511" s="32">
        <v>26.7</v>
      </c>
      <c r="N511" s="33">
        <v>8.8000000000000007</v>
      </c>
    </row>
    <row r="512" spans="1:14" x14ac:dyDescent="0.25">
      <c r="A512" s="30">
        <v>1</v>
      </c>
      <c r="B512" s="2" t="s">
        <v>7398</v>
      </c>
      <c r="C512" s="2" t="s">
        <v>7399</v>
      </c>
      <c r="D512" s="2" t="s">
        <v>5920</v>
      </c>
      <c r="E512" s="5">
        <v>24</v>
      </c>
      <c r="F512" s="2" t="s">
        <v>1916</v>
      </c>
      <c r="G512" s="2" t="s">
        <v>7413</v>
      </c>
      <c r="H512" s="2" t="s">
        <v>505</v>
      </c>
      <c r="I512" s="4">
        <v>5794</v>
      </c>
      <c r="J512" s="4">
        <v>8575</v>
      </c>
      <c r="L512" s="31">
        <v>498.85</v>
      </c>
      <c r="M512" s="32">
        <v>28.8</v>
      </c>
      <c r="N512" s="33">
        <v>11.6</v>
      </c>
    </row>
    <row r="513" spans="1:14" x14ac:dyDescent="0.25">
      <c r="A513" s="30">
        <v>1</v>
      </c>
      <c r="B513" s="2" t="s">
        <v>7398</v>
      </c>
      <c r="C513" s="2" t="s">
        <v>7399</v>
      </c>
      <c r="D513" s="2" t="s">
        <v>5921</v>
      </c>
      <c r="E513" s="5">
        <v>48</v>
      </c>
      <c r="F513" s="2" t="s">
        <v>1847</v>
      </c>
      <c r="G513" s="2" t="s">
        <v>7401</v>
      </c>
      <c r="H513" s="2" t="s">
        <v>506</v>
      </c>
      <c r="I513" s="4">
        <v>28</v>
      </c>
      <c r="J513" s="4">
        <v>0</v>
      </c>
      <c r="L513" s="31">
        <v>1.1399999999999999</v>
      </c>
      <c r="M513" s="32">
        <v>24.6</v>
      </c>
      <c r="N513" s="33">
        <v>24.6</v>
      </c>
    </row>
    <row r="514" spans="1:14" x14ac:dyDescent="0.25">
      <c r="A514" s="30">
        <v>1</v>
      </c>
      <c r="B514" s="2" t="s">
        <v>7398</v>
      </c>
      <c r="C514" s="2" t="s">
        <v>7399</v>
      </c>
      <c r="D514" s="2" t="s">
        <v>5922</v>
      </c>
      <c r="E514" s="5">
        <v>24</v>
      </c>
      <c r="F514" s="2" t="s">
        <v>1919</v>
      </c>
      <c r="G514" s="2" t="s">
        <v>7401</v>
      </c>
      <c r="H514" s="2" t="s">
        <v>507</v>
      </c>
      <c r="I514" s="4">
        <v>357</v>
      </c>
      <c r="J514" s="4">
        <v>810</v>
      </c>
      <c r="L514" s="31">
        <v>15.14</v>
      </c>
      <c r="M514" s="32">
        <v>77.099999999999994</v>
      </c>
      <c r="N514" s="33">
        <v>23.6</v>
      </c>
    </row>
    <row r="515" spans="1:14" x14ac:dyDescent="0.25">
      <c r="A515" s="30">
        <v>1</v>
      </c>
      <c r="B515" s="2" t="s">
        <v>7398</v>
      </c>
      <c r="C515" s="2" t="s">
        <v>7399</v>
      </c>
      <c r="D515" s="2" t="s">
        <v>5923</v>
      </c>
      <c r="E515" s="5">
        <v>12</v>
      </c>
      <c r="F515" s="2" t="s">
        <v>1914</v>
      </c>
      <c r="G515" s="2" t="s">
        <v>7401</v>
      </c>
      <c r="H515" s="2" t="s">
        <v>508</v>
      </c>
      <c r="I515" s="4">
        <v>617</v>
      </c>
      <c r="J515" s="4">
        <v>0</v>
      </c>
      <c r="L515" s="31">
        <v>14</v>
      </c>
      <c r="M515" s="32">
        <v>44.1</v>
      </c>
      <c r="N515" s="33">
        <v>44.1</v>
      </c>
    </row>
    <row r="516" spans="1:14" x14ac:dyDescent="0.25">
      <c r="A516" s="30">
        <v>1</v>
      </c>
      <c r="B516" s="2" t="s">
        <v>7398</v>
      </c>
      <c r="C516" s="2" t="s">
        <v>7399</v>
      </c>
      <c r="D516" s="2" t="s">
        <v>5924</v>
      </c>
      <c r="E516" s="5">
        <v>24</v>
      </c>
      <c r="F516" s="2" t="s">
        <v>1915</v>
      </c>
      <c r="G516" s="2" t="s">
        <v>7401</v>
      </c>
      <c r="H516" s="2" t="s">
        <v>509</v>
      </c>
      <c r="I516" s="4">
        <v>1998</v>
      </c>
      <c r="J516" s="4">
        <v>0</v>
      </c>
      <c r="L516" s="31">
        <v>80.28</v>
      </c>
      <c r="M516" s="32">
        <v>24.9</v>
      </c>
      <c r="N516" s="33">
        <v>24.9</v>
      </c>
    </row>
    <row r="517" spans="1:14" x14ac:dyDescent="0.25">
      <c r="A517" s="30">
        <v>1</v>
      </c>
      <c r="B517" s="2" t="s">
        <v>7398</v>
      </c>
      <c r="C517" s="2" t="s">
        <v>7399</v>
      </c>
      <c r="D517" s="2" t="s">
        <v>5925</v>
      </c>
      <c r="E517" s="5">
        <v>24</v>
      </c>
      <c r="F517" s="2" t="s">
        <v>1919</v>
      </c>
      <c r="G517" s="2" t="s">
        <v>7401</v>
      </c>
      <c r="H517" s="2" t="s">
        <v>510</v>
      </c>
      <c r="I517" s="4">
        <v>484</v>
      </c>
      <c r="J517" s="4">
        <v>450</v>
      </c>
      <c r="L517" s="31">
        <v>27.71</v>
      </c>
      <c r="M517" s="32">
        <v>33.700000000000003</v>
      </c>
      <c r="N517" s="33">
        <v>17.5</v>
      </c>
    </row>
    <row r="518" spans="1:14" x14ac:dyDescent="0.25">
      <c r="A518" s="30">
        <v>1</v>
      </c>
      <c r="B518" s="2" t="s">
        <v>7398</v>
      </c>
      <c r="C518" s="2" t="s">
        <v>7399</v>
      </c>
      <c r="D518" s="2" t="s">
        <v>5926</v>
      </c>
      <c r="E518" s="5">
        <v>24</v>
      </c>
      <c r="F518" s="2" t="s">
        <v>1919</v>
      </c>
      <c r="G518" s="2" t="s">
        <v>7401</v>
      </c>
      <c r="H518" s="2" t="s">
        <v>511</v>
      </c>
      <c r="I518" s="4">
        <v>7499</v>
      </c>
      <c r="J518" s="4">
        <v>14000</v>
      </c>
      <c r="L518" s="31">
        <v>728.57</v>
      </c>
      <c r="M518" s="32">
        <v>29.5</v>
      </c>
      <c r="N518" s="33">
        <v>10.3</v>
      </c>
    </row>
    <row r="519" spans="1:14" x14ac:dyDescent="0.25">
      <c r="A519" s="30">
        <v>1</v>
      </c>
      <c r="B519" s="2" t="s">
        <v>7398</v>
      </c>
      <c r="C519" s="2" t="s">
        <v>7399</v>
      </c>
      <c r="D519" s="2" t="s">
        <v>5927</v>
      </c>
      <c r="E519" s="5">
        <v>24</v>
      </c>
      <c r="F519" s="2" t="s">
        <v>1919</v>
      </c>
      <c r="G519" s="2" t="s">
        <v>7401</v>
      </c>
      <c r="H519" s="2" t="s">
        <v>512</v>
      </c>
      <c r="I519" s="4">
        <v>942</v>
      </c>
      <c r="J519" s="4">
        <v>600</v>
      </c>
      <c r="L519" s="31">
        <v>48.28</v>
      </c>
      <c r="M519" s="32">
        <v>31.9</v>
      </c>
      <c r="N519" s="33">
        <v>19.5</v>
      </c>
    </row>
    <row r="520" spans="1:14" x14ac:dyDescent="0.25">
      <c r="A520" s="30">
        <v>1</v>
      </c>
      <c r="B520" s="2" t="s">
        <v>7398</v>
      </c>
      <c r="C520" s="2" t="s">
        <v>7399</v>
      </c>
      <c r="D520" s="2" t="s">
        <v>5928</v>
      </c>
      <c r="E520" s="5">
        <v>24</v>
      </c>
      <c r="F520" s="2" t="s">
        <v>1918</v>
      </c>
      <c r="G520" s="2" t="s">
        <v>7401</v>
      </c>
      <c r="H520" s="2" t="s">
        <v>513</v>
      </c>
      <c r="I520" s="4">
        <v>66861</v>
      </c>
      <c r="J520" s="4">
        <v>89880</v>
      </c>
      <c r="L520" s="31">
        <v>5444.57</v>
      </c>
      <c r="M520" s="32">
        <v>28.8</v>
      </c>
      <c r="N520" s="33">
        <v>12.3</v>
      </c>
    </row>
    <row r="521" spans="1:14" x14ac:dyDescent="0.25">
      <c r="A521" s="30">
        <v>1</v>
      </c>
      <c r="B521" s="2" t="s">
        <v>7398</v>
      </c>
      <c r="C521" s="2" t="s">
        <v>7399</v>
      </c>
      <c r="D521" s="2" t="s">
        <v>5929</v>
      </c>
      <c r="E521" s="5">
        <v>24</v>
      </c>
      <c r="F521" s="2" t="s">
        <v>1920</v>
      </c>
      <c r="G521" s="2" t="s">
        <v>7413</v>
      </c>
      <c r="H521" s="2" t="s">
        <v>514</v>
      </c>
      <c r="I521" s="4">
        <v>204</v>
      </c>
      <c r="J521" s="4">
        <v>900</v>
      </c>
      <c r="L521" s="31">
        <v>23</v>
      </c>
      <c r="M521" s="32">
        <v>48</v>
      </c>
      <c r="N521" s="33">
        <v>8.9</v>
      </c>
    </row>
    <row r="522" spans="1:14" x14ac:dyDescent="0.25">
      <c r="A522" s="30">
        <v>1</v>
      </c>
      <c r="B522" s="2" t="s">
        <v>7398</v>
      </c>
      <c r="C522" s="2" t="s">
        <v>7399</v>
      </c>
      <c r="D522" s="2" t="s">
        <v>5930</v>
      </c>
      <c r="E522" s="5">
        <v>5</v>
      </c>
      <c r="F522" s="2" t="s">
        <v>1844</v>
      </c>
      <c r="G522" s="2" t="s">
        <v>7401</v>
      </c>
      <c r="H522" s="2" t="s">
        <v>515</v>
      </c>
      <c r="I522" s="4">
        <v>1405</v>
      </c>
      <c r="J522" s="4">
        <v>1728</v>
      </c>
      <c r="L522" s="31">
        <v>125.14</v>
      </c>
      <c r="M522" s="32">
        <v>25</v>
      </c>
      <c r="N522" s="33">
        <v>11.2</v>
      </c>
    </row>
    <row r="523" spans="1:14" x14ac:dyDescent="0.25">
      <c r="A523" s="30">
        <v>1</v>
      </c>
      <c r="B523" s="2" t="s">
        <v>7398</v>
      </c>
      <c r="C523" s="2" t="s">
        <v>7399</v>
      </c>
      <c r="D523" s="2" t="s">
        <v>5931</v>
      </c>
      <c r="E523" s="5">
        <v>24</v>
      </c>
      <c r="F523" s="2" t="s">
        <v>1918</v>
      </c>
      <c r="G523" s="2" t="s">
        <v>7401</v>
      </c>
      <c r="H523" s="2" t="s">
        <v>516</v>
      </c>
      <c r="I523" s="4">
        <v>904</v>
      </c>
      <c r="J523" s="4">
        <v>480</v>
      </c>
      <c r="L523" s="31">
        <v>40</v>
      </c>
      <c r="M523" s="32">
        <v>34.6</v>
      </c>
      <c r="N523" s="33">
        <v>22.6</v>
      </c>
    </row>
    <row r="524" spans="1:14" x14ac:dyDescent="0.25">
      <c r="A524" s="30">
        <v>1</v>
      </c>
      <c r="B524" s="2" t="s">
        <v>7398</v>
      </c>
      <c r="C524" s="2" t="s">
        <v>7399</v>
      </c>
      <c r="D524" s="2" t="s">
        <v>5932</v>
      </c>
      <c r="E524" s="5">
        <v>24</v>
      </c>
      <c r="F524" s="2" t="s">
        <v>1915</v>
      </c>
      <c r="G524" s="2" t="s">
        <v>7401</v>
      </c>
      <c r="H524" s="2" t="s">
        <v>517</v>
      </c>
      <c r="I524" s="4">
        <v>382</v>
      </c>
      <c r="J524" s="4">
        <v>0</v>
      </c>
      <c r="L524" s="31">
        <v>2</v>
      </c>
      <c r="M524" s="32">
        <v>191</v>
      </c>
      <c r="N524" s="33">
        <v>191</v>
      </c>
    </row>
    <row r="525" spans="1:14" x14ac:dyDescent="0.25">
      <c r="A525" s="30">
        <v>1</v>
      </c>
      <c r="B525" s="2" t="s">
        <v>7398</v>
      </c>
      <c r="C525" s="2" t="s">
        <v>7399</v>
      </c>
      <c r="D525" s="2" t="s">
        <v>5933</v>
      </c>
      <c r="E525" s="5">
        <v>12</v>
      </c>
      <c r="F525" s="2" t="s">
        <v>1914</v>
      </c>
      <c r="G525" s="2" t="s">
        <v>7401</v>
      </c>
      <c r="H525" s="2" t="s">
        <v>518</v>
      </c>
      <c r="I525" s="4">
        <v>57</v>
      </c>
      <c r="J525" s="4">
        <v>0</v>
      </c>
      <c r="L525" s="31">
        <v>2.42</v>
      </c>
      <c r="M525" s="32">
        <v>23.6</v>
      </c>
      <c r="N525" s="33">
        <v>23.6</v>
      </c>
    </row>
    <row r="526" spans="1:14" x14ac:dyDescent="0.25">
      <c r="A526" s="30">
        <v>1</v>
      </c>
      <c r="B526" s="2" t="s">
        <v>7398</v>
      </c>
      <c r="C526" s="2" t="s">
        <v>7399</v>
      </c>
      <c r="D526" s="2" t="s">
        <v>5934</v>
      </c>
      <c r="E526" s="5">
        <v>24</v>
      </c>
      <c r="F526" s="2" t="s">
        <v>1918</v>
      </c>
      <c r="G526" s="2" t="s">
        <v>7401</v>
      </c>
      <c r="H526" s="2" t="s">
        <v>512</v>
      </c>
      <c r="I526" s="4">
        <v>3492</v>
      </c>
      <c r="J526" s="4">
        <v>0</v>
      </c>
      <c r="L526" s="31">
        <v>105.42</v>
      </c>
      <c r="M526" s="32">
        <v>33.1</v>
      </c>
      <c r="N526" s="33">
        <v>33.1</v>
      </c>
    </row>
    <row r="527" spans="1:14" x14ac:dyDescent="0.25">
      <c r="A527" s="30">
        <v>1</v>
      </c>
      <c r="B527" s="2" t="s">
        <v>7398</v>
      </c>
      <c r="C527" s="2" t="s">
        <v>7399</v>
      </c>
      <c r="D527" s="2" t="s">
        <v>5935</v>
      </c>
      <c r="E527" s="5">
        <v>12</v>
      </c>
      <c r="F527" s="2" t="s">
        <v>1913</v>
      </c>
      <c r="G527" s="2" t="s">
        <v>7410</v>
      </c>
      <c r="H527" s="2" t="s">
        <v>519</v>
      </c>
      <c r="I527" s="4">
        <v>1472</v>
      </c>
      <c r="J527" s="4">
        <v>3328</v>
      </c>
      <c r="L527" s="31">
        <v>308.14</v>
      </c>
      <c r="M527" s="32">
        <v>15.6</v>
      </c>
      <c r="N527" s="33">
        <v>4.8</v>
      </c>
    </row>
    <row r="528" spans="1:14" x14ac:dyDescent="0.25">
      <c r="A528" s="30">
        <v>1</v>
      </c>
      <c r="B528" s="2" t="s">
        <v>7398</v>
      </c>
      <c r="C528" s="2" t="s">
        <v>7399</v>
      </c>
      <c r="D528" s="2" t="s">
        <v>5936</v>
      </c>
      <c r="E528" s="5">
        <v>12</v>
      </c>
      <c r="F528" s="2" t="s">
        <v>1913</v>
      </c>
      <c r="G528" s="2" t="s">
        <v>7410</v>
      </c>
      <c r="H528" s="2" t="s">
        <v>520</v>
      </c>
      <c r="I528" s="4">
        <v>1939</v>
      </c>
      <c r="J528" s="4">
        <v>1664</v>
      </c>
      <c r="L528" s="31">
        <v>220.57</v>
      </c>
      <c r="M528" s="32">
        <v>16.3</v>
      </c>
      <c r="N528" s="33">
        <v>8.8000000000000007</v>
      </c>
    </row>
    <row r="529" spans="1:14" x14ac:dyDescent="0.25">
      <c r="A529" s="30">
        <v>1</v>
      </c>
      <c r="B529" s="2" t="s">
        <v>7398</v>
      </c>
      <c r="C529" s="2" t="s">
        <v>7399</v>
      </c>
      <c r="D529" s="2" t="s">
        <v>5937</v>
      </c>
      <c r="E529" s="5">
        <v>24</v>
      </c>
      <c r="F529" s="2" t="s">
        <v>1900</v>
      </c>
      <c r="G529" s="2" t="s">
        <v>7401</v>
      </c>
      <c r="H529" s="2" t="s">
        <v>521</v>
      </c>
      <c r="I529" s="4">
        <v>87</v>
      </c>
      <c r="J529" s="4">
        <v>0</v>
      </c>
      <c r="L529" s="31">
        <v>1.57</v>
      </c>
      <c r="M529" s="32">
        <v>55.4</v>
      </c>
      <c r="N529" s="33">
        <v>55.4</v>
      </c>
    </row>
    <row r="530" spans="1:14" x14ac:dyDescent="0.25">
      <c r="A530" s="30">
        <v>1</v>
      </c>
      <c r="B530" s="2" t="s">
        <v>7398</v>
      </c>
      <c r="C530" s="2" t="s">
        <v>7399</v>
      </c>
      <c r="D530" s="2" t="s">
        <v>5938</v>
      </c>
      <c r="E530" s="5">
        <v>12</v>
      </c>
      <c r="F530" s="2" t="s">
        <v>1913</v>
      </c>
      <c r="G530" s="2" t="s">
        <v>7410</v>
      </c>
      <c r="H530" s="2" t="s">
        <v>522</v>
      </c>
      <c r="I530" s="4">
        <v>0</v>
      </c>
      <c r="J530" s="4">
        <v>5824</v>
      </c>
      <c r="L530" s="31">
        <v>914</v>
      </c>
      <c r="M530" s="32">
        <v>6.4</v>
      </c>
      <c r="N530" s="33">
        <v>0</v>
      </c>
    </row>
    <row r="531" spans="1:14" x14ac:dyDescent="0.25">
      <c r="A531" s="30">
        <v>1</v>
      </c>
      <c r="B531" s="2" t="s">
        <v>7398</v>
      </c>
      <c r="C531" s="2" t="s">
        <v>7399</v>
      </c>
      <c r="D531" s="2" t="s">
        <v>5939</v>
      </c>
      <c r="E531" s="5">
        <v>12</v>
      </c>
      <c r="F531" s="2" t="s">
        <v>1913</v>
      </c>
      <c r="G531" s="2" t="s">
        <v>7410</v>
      </c>
      <c r="H531" s="2" t="s">
        <v>523</v>
      </c>
      <c r="I531" s="4">
        <v>556</v>
      </c>
      <c r="J531" s="4">
        <v>4608</v>
      </c>
      <c r="L531" s="31">
        <v>687.85</v>
      </c>
      <c r="M531" s="32">
        <v>7.5</v>
      </c>
      <c r="N531" s="33">
        <v>0.8</v>
      </c>
    </row>
    <row r="532" spans="1:14" x14ac:dyDescent="0.25">
      <c r="A532" s="30">
        <v>1</v>
      </c>
      <c r="B532" s="2" t="s">
        <v>7398</v>
      </c>
      <c r="C532" s="2" t="s">
        <v>7399</v>
      </c>
      <c r="D532" s="2" t="s">
        <v>5940</v>
      </c>
      <c r="E532" s="5">
        <v>12</v>
      </c>
      <c r="F532" s="2" t="s">
        <v>1913</v>
      </c>
      <c r="G532" s="2" t="s">
        <v>7410</v>
      </c>
      <c r="H532" s="2" t="s">
        <v>524</v>
      </c>
      <c r="I532" s="4">
        <v>1439</v>
      </c>
      <c r="J532" s="4">
        <v>4992</v>
      </c>
      <c r="L532" s="31">
        <v>452.85</v>
      </c>
      <c r="M532" s="32">
        <v>14.2</v>
      </c>
      <c r="N532" s="33">
        <v>3.2</v>
      </c>
    </row>
    <row r="533" spans="1:14" x14ac:dyDescent="0.25">
      <c r="A533" s="30">
        <v>1</v>
      </c>
      <c r="B533" s="2" t="s">
        <v>7398</v>
      </c>
      <c r="C533" s="2" t="s">
        <v>7399</v>
      </c>
      <c r="D533" s="2" t="s">
        <v>5941</v>
      </c>
      <c r="E533" s="5">
        <v>12</v>
      </c>
      <c r="F533" s="2" t="s">
        <v>1913</v>
      </c>
      <c r="G533" s="2" t="s">
        <v>7410</v>
      </c>
      <c r="H533" s="2" t="s">
        <v>525</v>
      </c>
      <c r="I533" s="4">
        <v>0</v>
      </c>
      <c r="J533" s="4">
        <v>7424</v>
      </c>
      <c r="L533" s="31">
        <v>802.57</v>
      </c>
      <c r="M533" s="32">
        <v>9.3000000000000007</v>
      </c>
      <c r="N533" s="33">
        <v>0</v>
      </c>
    </row>
    <row r="534" spans="1:14" x14ac:dyDescent="0.25">
      <c r="A534" s="30">
        <v>1</v>
      </c>
      <c r="B534" s="2" t="s">
        <v>7398</v>
      </c>
      <c r="C534" s="2" t="s">
        <v>7399</v>
      </c>
      <c r="D534" s="2" t="s">
        <v>5942</v>
      </c>
      <c r="E534" s="5">
        <v>12</v>
      </c>
      <c r="F534" s="2" t="s">
        <v>1913</v>
      </c>
      <c r="G534" s="2" t="s">
        <v>7410</v>
      </c>
      <c r="H534" s="2" t="s">
        <v>526</v>
      </c>
      <c r="I534" s="4">
        <v>0</v>
      </c>
      <c r="J534" s="4">
        <v>4992</v>
      </c>
      <c r="L534" s="31">
        <v>1122.1400000000001</v>
      </c>
      <c r="M534" s="32">
        <v>4.4000000000000004</v>
      </c>
      <c r="N534" s="33">
        <v>0</v>
      </c>
    </row>
    <row r="535" spans="1:14" x14ac:dyDescent="0.25">
      <c r="A535" s="30">
        <v>1</v>
      </c>
      <c r="B535" s="2" t="s">
        <v>7398</v>
      </c>
      <c r="C535" s="2" t="s">
        <v>7399</v>
      </c>
      <c r="D535" s="2" t="s">
        <v>5943</v>
      </c>
      <c r="E535" s="5">
        <v>12</v>
      </c>
      <c r="F535" s="2" t="s">
        <v>1913</v>
      </c>
      <c r="G535" s="2" t="s">
        <v>7413</v>
      </c>
      <c r="H535" s="2" t="s">
        <v>527</v>
      </c>
      <c r="I535" s="4">
        <v>92</v>
      </c>
      <c r="J535" s="4">
        <v>128</v>
      </c>
      <c r="L535" s="31">
        <v>13.71</v>
      </c>
      <c r="M535" s="32">
        <v>16</v>
      </c>
      <c r="N535" s="33">
        <v>6.7</v>
      </c>
    </row>
    <row r="536" spans="1:14" x14ac:dyDescent="0.25">
      <c r="A536" s="30">
        <v>1</v>
      </c>
      <c r="B536" s="2" t="s">
        <v>7398</v>
      </c>
      <c r="C536" s="2" t="s">
        <v>7399</v>
      </c>
      <c r="D536" s="2" t="s">
        <v>5944</v>
      </c>
      <c r="E536" s="5">
        <v>12</v>
      </c>
      <c r="F536" s="2" t="s">
        <v>1877</v>
      </c>
      <c r="G536" s="2" t="s">
        <v>7401</v>
      </c>
      <c r="H536" s="2" t="s">
        <v>528</v>
      </c>
      <c r="I536" s="4">
        <v>2283</v>
      </c>
      <c r="J536" s="4">
        <v>0</v>
      </c>
      <c r="L536" s="31">
        <v>7.57</v>
      </c>
      <c r="M536" s="32">
        <v>301.60000000000002</v>
      </c>
      <c r="N536" s="33">
        <v>301.60000000000002</v>
      </c>
    </row>
    <row r="537" spans="1:14" x14ac:dyDescent="0.25">
      <c r="A537" s="30">
        <v>1</v>
      </c>
      <c r="B537" s="2" t="s">
        <v>7398</v>
      </c>
      <c r="C537" s="2" t="s">
        <v>7399</v>
      </c>
      <c r="D537" s="2" t="s">
        <v>5945</v>
      </c>
      <c r="E537" s="5">
        <v>12</v>
      </c>
      <c r="F537" s="2" t="s">
        <v>1877</v>
      </c>
      <c r="G537" s="2" t="s">
        <v>7401</v>
      </c>
      <c r="H537" s="2" t="s">
        <v>529</v>
      </c>
      <c r="I537" s="4">
        <v>74</v>
      </c>
      <c r="J537" s="4">
        <v>0</v>
      </c>
      <c r="L537" s="31">
        <v>15.14</v>
      </c>
      <c r="M537" s="32">
        <v>4.9000000000000004</v>
      </c>
      <c r="N537" s="33">
        <v>4.9000000000000004</v>
      </c>
    </row>
    <row r="538" spans="1:14" x14ac:dyDescent="0.25">
      <c r="A538" s="30">
        <v>1</v>
      </c>
      <c r="B538" s="2" t="s">
        <v>7398</v>
      </c>
      <c r="C538" s="2" t="s">
        <v>7399</v>
      </c>
      <c r="D538" s="2" t="s">
        <v>5946</v>
      </c>
      <c r="E538" s="5">
        <v>12</v>
      </c>
      <c r="F538" s="2" t="s">
        <v>1921</v>
      </c>
      <c r="G538" s="2" t="s">
        <v>7409</v>
      </c>
      <c r="H538" s="2" t="s">
        <v>530</v>
      </c>
      <c r="I538" s="4">
        <v>84</v>
      </c>
      <c r="J538" s="4">
        <v>140</v>
      </c>
      <c r="L538" s="31">
        <v>5.85</v>
      </c>
      <c r="M538" s="32">
        <v>38.299999999999997</v>
      </c>
      <c r="N538" s="33">
        <v>14.4</v>
      </c>
    </row>
    <row r="539" spans="1:14" x14ac:dyDescent="0.25">
      <c r="A539" s="30">
        <v>1</v>
      </c>
      <c r="B539" s="2" t="s">
        <v>7398</v>
      </c>
      <c r="C539" s="2" t="s">
        <v>7399</v>
      </c>
      <c r="D539" s="2" t="s">
        <v>5947</v>
      </c>
      <c r="E539" s="5">
        <v>12</v>
      </c>
      <c r="F539" s="2" t="s">
        <v>1913</v>
      </c>
      <c r="G539" s="2" t="s">
        <v>7413</v>
      </c>
      <c r="H539" s="2" t="s">
        <v>480</v>
      </c>
      <c r="I539" s="4">
        <v>967</v>
      </c>
      <c r="J539" s="4">
        <v>1344</v>
      </c>
      <c r="L539" s="31">
        <v>156.41999999999999</v>
      </c>
      <c r="M539" s="32">
        <v>14.8</v>
      </c>
      <c r="N539" s="33">
        <v>6.2</v>
      </c>
    </row>
    <row r="540" spans="1:14" x14ac:dyDescent="0.25">
      <c r="A540" s="30">
        <v>1</v>
      </c>
      <c r="B540" s="2" t="s">
        <v>7398</v>
      </c>
      <c r="C540" s="2" t="s">
        <v>7399</v>
      </c>
      <c r="D540" s="2" t="s">
        <v>5948</v>
      </c>
      <c r="E540" s="5">
        <v>24</v>
      </c>
      <c r="F540" s="2" t="s">
        <v>1900</v>
      </c>
      <c r="G540" s="2" t="s">
        <v>7401</v>
      </c>
      <c r="H540" s="2" t="s">
        <v>531</v>
      </c>
      <c r="I540" s="4">
        <v>184</v>
      </c>
      <c r="J540" s="4">
        <v>0</v>
      </c>
      <c r="L540" s="31">
        <v>7.85</v>
      </c>
      <c r="M540" s="32">
        <v>23.4</v>
      </c>
      <c r="N540" s="33">
        <v>23.4</v>
      </c>
    </row>
    <row r="541" spans="1:14" x14ac:dyDescent="0.25">
      <c r="A541" s="30">
        <v>1</v>
      </c>
      <c r="B541" s="2" t="s">
        <v>7398</v>
      </c>
      <c r="C541" s="2" t="s">
        <v>7399</v>
      </c>
      <c r="D541" s="2" t="s">
        <v>5949</v>
      </c>
      <c r="E541" s="5">
        <v>24</v>
      </c>
      <c r="F541" s="2" t="s">
        <v>1900</v>
      </c>
      <c r="G541" s="2" t="s">
        <v>7401</v>
      </c>
      <c r="H541" s="2" t="s">
        <v>532</v>
      </c>
      <c r="I541" s="4">
        <v>1096</v>
      </c>
      <c r="J541" s="4">
        <v>0</v>
      </c>
      <c r="L541" s="31">
        <v>5.85</v>
      </c>
      <c r="M541" s="32">
        <v>187.4</v>
      </c>
      <c r="N541" s="33">
        <v>187.4</v>
      </c>
    </row>
    <row r="542" spans="1:14" x14ac:dyDescent="0.25">
      <c r="A542" s="30">
        <v>1</v>
      </c>
      <c r="B542" s="2" t="s">
        <v>7398</v>
      </c>
      <c r="C542" s="2" t="s">
        <v>7399</v>
      </c>
      <c r="D542" s="2" t="s">
        <v>5950</v>
      </c>
      <c r="E542" s="5">
        <v>12</v>
      </c>
      <c r="F542" s="2" t="s">
        <v>1913</v>
      </c>
      <c r="G542" s="2" t="s">
        <v>7413</v>
      </c>
      <c r="H542" s="2" t="s">
        <v>533</v>
      </c>
      <c r="I542" s="4">
        <v>182</v>
      </c>
      <c r="J542" s="4">
        <v>0</v>
      </c>
      <c r="L542" s="31">
        <v>7.57</v>
      </c>
      <c r="M542" s="32">
        <v>24</v>
      </c>
      <c r="N542" s="33">
        <v>24</v>
      </c>
    </row>
    <row r="543" spans="1:14" x14ac:dyDescent="0.25">
      <c r="A543" s="30">
        <v>1</v>
      </c>
      <c r="B543" s="2" t="s">
        <v>7398</v>
      </c>
      <c r="C543" s="2" t="s">
        <v>7399</v>
      </c>
      <c r="D543" s="2" t="s">
        <v>5951</v>
      </c>
      <c r="E543" s="5">
        <v>6</v>
      </c>
      <c r="F543" s="2" t="s">
        <v>1897</v>
      </c>
      <c r="G543" s="2" t="s">
        <v>7409</v>
      </c>
      <c r="H543" s="2" t="s">
        <v>534</v>
      </c>
      <c r="I543" s="4">
        <v>166</v>
      </c>
      <c r="J543" s="4">
        <v>252</v>
      </c>
      <c r="L543" s="31">
        <v>36.14</v>
      </c>
      <c r="M543" s="32">
        <v>11.6</v>
      </c>
      <c r="N543" s="33">
        <v>4.5999999999999996</v>
      </c>
    </row>
    <row r="544" spans="1:14" x14ac:dyDescent="0.25">
      <c r="A544" s="30">
        <v>1</v>
      </c>
      <c r="B544" s="2" t="s">
        <v>7398</v>
      </c>
      <c r="C544" s="2" t="s">
        <v>7399</v>
      </c>
      <c r="D544" s="2" t="s">
        <v>5952</v>
      </c>
      <c r="E544" s="5">
        <v>240</v>
      </c>
      <c r="F544" s="2" t="s">
        <v>1913</v>
      </c>
      <c r="G544" s="2" t="s">
        <v>7413</v>
      </c>
      <c r="H544" s="2" t="s">
        <v>535</v>
      </c>
      <c r="I544" s="4">
        <v>0</v>
      </c>
      <c r="J544" s="4">
        <v>0</v>
      </c>
      <c r="L544" s="31">
        <v>0</v>
      </c>
      <c r="M544" s="32">
        <v>0</v>
      </c>
      <c r="N544" s="33">
        <v>9999</v>
      </c>
    </row>
    <row r="545" spans="1:14" x14ac:dyDescent="0.25">
      <c r="A545" s="30">
        <v>1</v>
      </c>
      <c r="B545" s="2" t="s">
        <v>7398</v>
      </c>
      <c r="C545" s="2" t="s">
        <v>7399</v>
      </c>
      <c r="D545" s="2" t="s">
        <v>5953</v>
      </c>
      <c r="E545" s="5">
        <v>24</v>
      </c>
      <c r="F545" s="2" t="s">
        <v>1900</v>
      </c>
      <c r="G545" s="2" t="s">
        <v>7401</v>
      </c>
      <c r="H545" s="2" t="s">
        <v>536</v>
      </c>
      <c r="I545" s="4">
        <v>0</v>
      </c>
      <c r="J545" s="4">
        <v>0</v>
      </c>
      <c r="L545" s="31">
        <v>4.57</v>
      </c>
      <c r="M545" s="32">
        <v>0</v>
      </c>
      <c r="N545" s="33">
        <v>0</v>
      </c>
    </row>
    <row r="546" spans="1:14" x14ac:dyDescent="0.25">
      <c r="A546" s="30">
        <v>1</v>
      </c>
      <c r="B546" s="2" t="s">
        <v>7398</v>
      </c>
      <c r="C546" s="2" t="s">
        <v>7399</v>
      </c>
      <c r="D546" s="2" t="s">
        <v>5954</v>
      </c>
      <c r="E546" s="5">
        <v>12</v>
      </c>
      <c r="F546" s="2" t="s">
        <v>1879</v>
      </c>
      <c r="G546" s="2" t="s">
        <v>7401</v>
      </c>
      <c r="H546" s="2" t="s">
        <v>537</v>
      </c>
      <c r="I546" s="4">
        <v>1072</v>
      </c>
      <c r="J546" s="4">
        <v>0</v>
      </c>
      <c r="L546" s="31">
        <v>17.850000000000001</v>
      </c>
      <c r="M546" s="32">
        <v>60.1</v>
      </c>
      <c r="N546" s="33">
        <v>60.1</v>
      </c>
    </row>
    <row r="547" spans="1:14" x14ac:dyDescent="0.25">
      <c r="A547" s="30">
        <v>1</v>
      </c>
      <c r="B547" s="2" t="s">
        <v>7398</v>
      </c>
      <c r="C547" s="2" t="s">
        <v>7399</v>
      </c>
      <c r="D547" s="2" t="s">
        <v>5955</v>
      </c>
      <c r="E547" s="5">
        <v>20</v>
      </c>
      <c r="F547" s="2" t="s">
        <v>1910</v>
      </c>
      <c r="G547" s="2" t="s">
        <v>7409</v>
      </c>
      <c r="H547" s="2" t="s">
        <v>538</v>
      </c>
      <c r="I547" s="4">
        <v>0</v>
      </c>
      <c r="J547" s="4">
        <v>0</v>
      </c>
      <c r="L547" s="31">
        <v>0</v>
      </c>
      <c r="M547" s="32">
        <v>0</v>
      </c>
      <c r="N547" s="33">
        <v>9999</v>
      </c>
    </row>
    <row r="548" spans="1:14" x14ac:dyDescent="0.25">
      <c r="A548" s="30">
        <v>1</v>
      </c>
      <c r="B548" s="2" t="s">
        <v>7398</v>
      </c>
      <c r="C548" s="2" t="s">
        <v>7399</v>
      </c>
      <c r="D548" s="2" t="s">
        <v>5956</v>
      </c>
      <c r="E548" s="5">
        <v>8</v>
      </c>
      <c r="F548" s="2" t="s">
        <v>1907</v>
      </c>
      <c r="G548" s="2" t="s">
        <v>7409</v>
      </c>
      <c r="H548" s="2" t="s">
        <v>539</v>
      </c>
      <c r="I548" s="4">
        <v>0</v>
      </c>
      <c r="J548" s="4">
        <v>0</v>
      </c>
      <c r="L548" s="31">
        <v>0</v>
      </c>
      <c r="M548" s="32">
        <v>0</v>
      </c>
      <c r="N548" s="33">
        <v>9999</v>
      </c>
    </row>
    <row r="549" spans="1:14" x14ac:dyDescent="0.25">
      <c r="A549" s="30">
        <v>1</v>
      </c>
      <c r="B549" s="2" t="s">
        <v>7398</v>
      </c>
      <c r="C549" s="2" t="s">
        <v>7399</v>
      </c>
      <c r="D549" s="2" t="s">
        <v>5957</v>
      </c>
      <c r="E549" s="5">
        <v>12</v>
      </c>
      <c r="F549" s="2" t="s">
        <v>1866</v>
      </c>
      <c r="G549" s="2" t="s">
        <v>7410</v>
      </c>
      <c r="H549" s="2" t="s">
        <v>540</v>
      </c>
      <c r="I549" s="4">
        <v>1</v>
      </c>
      <c r="J549" s="4">
        <v>50</v>
      </c>
      <c r="L549" s="31">
        <v>9.42</v>
      </c>
      <c r="M549" s="32">
        <v>5.4</v>
      </c>
      <c r="N549" s="33">
        <v>0.1</v>
      </c>
    </row>
    <row r="550" spans="1:14" x14ac:dyDescent="0.25">
      <c r="A550" s="30">
        <v>1</v>
      </c>
      <c r="B550" s="2" t="s">
        <v>7398</v>
      </c>
      <c r="C550" s="2" t="s">
        <v>7399</v>
      </c>
      <c r="D550" s="2" t="s">
        <v>5958</v>
      </c>
      <c r="E550" s="5">
        <v>12</v>
      </c>
      <c r="F550" s="2" t="s">
        <v>1866</v>
      </c>
      <c r="G550" s="2" t="s">
        <v>7410</v>
      </c>
      <c r="H550" s="2" t="s">
        <v>541</v>
      </c>
      <c r="I550" s="4">
        <v>192</v>
      </c>
      <c r="J550" s="4">
        <v>0</v>
      </c>
      <c r="L550" s="31">
        <v>16.420000000000002</v>
      </c>
      <c r="M550" s="32">
        <v>11.7</v>
      </c>
      <c r="N550" s="33">
        <v>11.7</v>
      </c>
    </row>
    <row r="551" spans="1:14" x14ac:dyDescent="0.25">
      <c r="A551" s="30">
        <v>1</v>
      </c>
      <c r="B551" s="2" t="s">
        <v>7398</v>
      </c>
      <c r="C551" s="2" t="s">
        <v>7399</v>
      </c>
      <c r="D551" s="2" t="s">
        <v>5959</v>
      </c>
      <c r="E551" s="5">
        <v>12</v>
      </c>
      <c r="F551" s="2" t="s">
        <v>1866</v>
      </c>
      <c r="G551" s="2" t="s">
        <v>7410</v>
      </c>
      <c r="H551" s="2" t="s">
        <v>542</v>
      </c>
      <c r="I551" s="4">
        <v>30</v>
      </c>
      <c r="J551" s="4">
        <v>0</v>
      </c>
      <c r="L551" s="31">
        <v>11.14</v>
      </c>
      <c r="M551" s="32">
        <v>2.7</v>
      </c>
      <c r="N551" s="33">
        <v>2.7</v>
      </c>
    </row>
    <row r="552" spans="1:14" x14ac:dyDescent="0.25">
      <c r="A552" s="30">
        <v>1</v>
      </c>
      <c r="B552" s="2" t="s">
        <v>7398</v>
      </c>
      <c r="C552" s="2" t="s">
        <v>7399</v>
      </c>
      <c r="D552" s="2" t="s">
        <v>5960</v>
      </c>
      <c r="E552" s="5">
        <v>12</v>
      </c>
      <c r="F552" s="2" t="s">
        <v>1879</v>
      </c>
      <c r="G552" s="2" t="s">
        <v>7401</v>
      </c>
      <c r="H552" s="2" t="s">
        <v>543</v>
      </c>
      <c r="I552" s="4">
        <v>0</v>
      </c>
      <c r="J552" s="4">
        <v>0</v>
      </c>
      <c r="L552" s="31">
        <v>0</v>
      </c>
      <c r="M552" s="32">
        <v>0</v>
      </c>
      <c r="N552" s="33">
        <v>9999</v>
      </c>
    </row>
    <row r="553" spans="1:14" x14ac:dyDescent="0.25">
      <c r="A553" s="30">
        <v>1</v>
      </c>
      <c r="B553" s="2" t="s">
        <v>7398</v>
      </c>
      <c r="C553" s="2" t="s">
        <v>7399</v>
      </c>
      <c r="D553" s="2" t="s">
        <v>5961</v>
      </c>
      <c r="E553" s="5">
        <v>24</v>
      </c>
      <c r="F553" s="2" t="s">
        <v>1855</v>
      </c>
      <c r="G553" s="2" t="s">
        <v>7401</v>
      </c>
      <c r="H553" s="2" t="s">
        <v>544</v>
      </c>
      <c r="I553" s="4">
        <v>867</v>
      </c>
      <c r="J553" s="4">
        <v>0</v>
      </c>
      <c r="L553" s="31">
        <v>20.57</v>
      </c>
      <c r="M553" s="32">
        <v>42.1</v>
      </c>
      <c r="N553" s="33">
        <v>42.1</v>
      </c>
    </row>
    <row r="554" spans="1:14" x14ac:dyDescent="0.25">
      <c r="A554" s="30">
        <v>1</v>
      </c>
      <c r="B554" s="2" t="s">
        <v>7398</v>
      </c>
      <c r="C554" s="2" t="s">
        <v>7399</v>
      </c>
      <c r="D554" s="2" t="s">
        <v>5962</v>
      </c>
      <c r="E554" s="5">
        <v>24</v>
      </c>
      <c r="F554" s="2" t="s">
        <v>1855</v>
      </c>
      <c r="G554" s="2" t="s">
        <v>7401</v>
      </c>
      <c r="H554" s="2" t="s">
        <v>545</v>
      </c>
      <c r="I554" s="4">
        <v>214</v>
      </c>
      <c r="J554" s="4">
        <v>0</v>
      </c>
      <c r="L554" s="31">
        <v>12.85</v>
      </c>
      <c r="M554" s="32">
        <v>16.7</v>
      </c>
      <c r="N554" s="33">
        <v>16.7</v>
      </c>
    </row>
    <row r="555" spans="1:14" x14ac:dyDescent="0.25">
      <c r="A555" s="30">
        <v>1</v>
      </c>
      <c r="B555" s="2" t="s">
        <v>7398</v>
      </c>
      <c r="C555" s="2" t="s">
        <v>7399</v>
      </c>
      <c r="D555" s="2" t="s">
        <v>5963</v>
      </c>
      <c r="E555" s="5">
        <v>24</v>
      </c>
      <c r="F555" s="2" t="s">
        <v>1855</v>
      </c>
      <c r="G555" s="2" t="s">
        <v>7401</v>
      </c>
      <c r="H555" s="2" t="s">
        <v>546</v>
      </c>
      <c r="I555" s="4">
        <v>92</v>
      </c>
      <c r="J555" s="4">
        <v>0</v>
      </c>
      <c r="L555" s="31">
        <v>1</v>
      </c>
      <c r="M555" s="32">
        <v>92</v>
      </c>
      <c r="N555" s="33">
        <v>92</v>
      </c>
    </row>
    <row r="556" spans="1:14" x14ac:dyDescent="0.25">
      <c r="A556" s="30">
        <v>1</v>
      </c>
      <c r="B556" s="2" t="s">
        <v>7398</v>
      </c>
      <c r="C556" s="2" t="s">
        <v>7399</v>
      </c>
      <c r="D556" s="2" t="s">
        <v>5964</v>
      </c>
      <c r="E556" s="5">
        <v>12</v>
      </c>
      <c r="F556" s="2" t="s">
        <v>1839</v>
      </c>
      <c r="G556" s="2" t="s">
        <v>7409</v>
      </c>
      <c r="H556" s="2" t="s">
        <v>547</v>
      </c>
      <c r="I556" s="4">
        <v>28</v>
      </c>
      <c r="J556" s="4">
        <v>162</v>
      </c>
      <c r="L556" s="31">
        <v>11.14</v>
      </c>
      <c r="M556" s="32">
        <v>17.100000000000001</v>
      </c>
      <c r="N556" s="33">
        <v>2.5</v>
      </c>
    </row>
    <row r="557" spans="1:14" x14ac:dyDescent="0.25">
      <c r="A557" s="30">
        <v>1</v>
      </c>
      <c r="B557" s="2" t="s">
        <v>7398</v>
      </c>
      <c r="C557" s="2" t="s">
        <v>7399</v>
      </c>
      <c r="D557" s="2" t="s">
        <v>5965</v>
      </c>
      <c r="E557" s="5">
        <v>12</v>
      </c>
      <c r="F557" s="2" t="s">
        <v>1839</v>
      </c>
      <c r="G557" s="2" t="s">
        <v>7409</v>
      </c>
      <c r="H557" s="2" t="s">
        <v>548</v>
      </c>
      <c r="I557" s="4">
        <v>104</v>
      </c>
      <c r="J557" s="4">
        <v>162</v>
      </c>
      <c r="L557" s="31">
        <v>13</v>
      </c>
      <c r="M557" s="32">
        <v>20.5</v>
      </c>
      <c r="N557" s="33">
        <v>8</v>
      </c>
    </row>
    <row r="558" spans="1:14" x14ac:dyDescent="0.25">
      <c r="A558" s="30">
        <v>1</v>
      </c>
      <c r="B558" s="2" t="s">
        <v>7398</v>
      </c>
      <c r="C558" s="2" t="s">
        <v>7399</v>
      </c>
      <c r="D558" s="2" t="s">
        <v>5966</v>
      </c>
      <c r="E558" s="5">
        <v>24</v>
      </c>
      <c r="F558" s="2" t="s">
        <v>1902</v>
      </c>
      <c r="G558" s="2" t="s">
        <v>7401</v>
      </c>
      <c r="H558" s="2" t="s">
        <v>549</v>
      </c>
      <c r="I558" s="4">
        <v>384</v>
      </c>
      <c r="J558" s="4">
        <v>8800</v>
      </c>
      <c r="L558" s="31">
        <v>136</v>
      </c>
      <c r="M558" s="32">
        <v>67.5</v>
      </c>
      <c r="N558" s="33">
        <v>2.8</v>
      </c>
    </row>
    <row r="559" spans="1:14" x14ac:dyDescent="0.25">
      <c r="A559" s="30">
        <v>1</v>
      </c>
      <c r="B559" s="2" t="s">
        <v>7398</v>
      </c>
      <c r="C559" s="2" t="s">
        <v>7399</v>
      </c>
      <c r="D559" s="2" t="s">
        <v>5967</v>
      </c>
      <c r="E559" s="5">
        <v>12</v>
      </c>
      <c r="F559" s="2" t="s">
        <v>1839</v>
      </c>
      <c r="G559" s="2" t="s">
        <v>7409</v>
      </c>
      <c r="H559" s="2" t="s">
        <v>550</v>
      </c>
      <c r="I559" s="4">
        <v>39</v>
      </c>
      <c r="J559" s="4">
        <v>594</v>
      </c>
      <c r="L559" s="31">
        <v>33.85</v>
      </c>
      <c r="M559" s="32">
        <v>18.7</v>
      </c>
      <c r="N559" s="33">
        <v>1.2</v>
      </c>
    </row>
    <row r="560" spans="1:14" x14ac:dyDescent="0.25">
      <c r="A560" s="30">
        <v>1</v>
      </c>
      <c r="B560" s="2" t="s">
        <v>7398</v>
      </c>
      <c r="C560" s="2" t="s">
        <v>7399</v>
      </c>
      <c r="D560" s="2" t="s">
        <v>5968</v>
      </c>
      <c r="E560" s="5">
        <v>12</v>
      </c>
      <c r="F560" s="2" t="s">
        <v>1839</v>
      </c>
      <c r="G560" s="2" t="s">
        <v>7409</v>
      </c>
      <c r="H560" s="2" t="s">
        <v>551</v>
      </c>
      <c r="I560" s="4">
        <v>81</v>
      </c>
      <c r="J560" s="4">
        <v>162</v>
      </c>
      <c r="L560" s="31">
        <v>2.71</v>
      </c>
      <c r="M560" s="32">
        <v>89.7</v>
      </c>
      <c r="N560" s="33">
        <v>29.9</v>
      </c>
    </row>
    <row r="561" spans="1:14" x14ac:dyDescent="0.25">
      <c r="A561" s="30">
        <v>1</v>
      </c>
      <c r="B561" s="2" t="s">
        <v>7398</v>
      </c>
      <c r="C561" s="2" t="s">
        <v>7399</v>
      </c>
      <c r="D561" s="2" t="s">
        <v>5969</v>
      </c>
      <c r="E561" s="5">
        <v>12</v>
      </c>
      <c r="F561" s="2" t="s">
        <v>1839</v>
      </c>
      <c r="G561" s="2" t="s">
        <v>7409</v>
      </c>
      <c r="H561" s="2" t="s">
        <v>552</v>
      </c>
      <c r="I561" s="4">
        <v>16</v>
      </c>
      <c r="J561" s="4">
        <v>216</v>
      </c>
      <c r="L561" s="31">
        <v>19.420000000000002</v>
      </c>
      <c r="M561" s="32">
        <v>11.9</v>
      </c>
      <c r="N561" s="33">
        <v>0.8</v>
      </c>
    </row>
    <row r="562" spans="1:14" x14ac:dyDescent="0.25">
      <c r="A562" s="30">
        <v>1</v>
      </c>
      <c r="B562" s="2" t="s">
        <v>7398</v>
      </c>
      <c r="C562" s="2" t="s">
        <v>7399</v>
      </c>
      <c r="D562" s="2" t="s">
        <v>5970</v>
      </c>
      <c r="E562" s="5">
        <v>12</v>
      </c>
      <c r="F562" s="2" t="s">
        <v>1839</v>
      </c>
      <c r="G562" s="2" t="s">
        <v>7409</v>
      </c>
      <c r="H562" s="2" t="s">
        <v>553</v>
      </c>
      <c r="I562" s="4">
        <v>126</v>
      </c>
      <c r="J562" s="4">
        <v>108</v>
      </c>
      <c r="L562" s="31">
        <v>7.57</v>
      </c>
      <c r="M562" s="32">
        <v>30.9</v>
      </c>
      <c r="N562" s="33">
        <v>16.600000000000001</v>
      </c>
    </row>
    <row r="563" spans="1:14" x14ac:dyDescent="0.25">
      <c r="A563" s="30">
        <v>1</v>
      </c>
      <c r="B563" s="2" t="s">
        <v>7398</v>
      </c>
      <c r="C563" s="2" t="s">
        <v>7399</v>
      </c>
      <c r="D563" s="2" t="s">
        <v>5971</v>
      </c>
      <c r="E563" s="5">
        <v>12</v>
      </c>
      <c r="F563" s="2" t="s">
        <v>1839</v>
      </c>
      <c r="G563" s="2" t="s">
        <v>7409</v>
      </c>
      <c r="H563" s="2" t="s">
        <v>554</v>
      </c>
      <c r="I563" s="4">
        <v>115</v>
      </c>
      <c r="J563" s="4">
        <v>0</v>
      </c>
      <c r="L563" s="31">
        <v>2.57</v>
      </c>
      <c r="M563" s="32">
        <v>44.7</v>
      </c>
      <c r="N563" s="33">
        <v>44.7</v>
      </c>
    </row>
    <row r="564" spans="1:14" x14ac:dyDescent="0.25">
      <c r="A564" s="30">
        <v>1</v>
      </c>
      <c r="B564" s="2" t="s">
        <v>7398</v>
      </c>
      <c r="C564" s="2" t="s">
        <v>7399</v>
      </c>
      <c r="D564" s="2" t="s">
        <v>5972</v>
      </c>
      <c r="E564" s="5">
        <v>12</v>
      </c>
      <c r="F564" s="2" t="s">
        <v>1922</v>
      </c>
      <c r="G564" s="2" t="s">
        <v>7401</v>
      </c>
      <c r="H564" s="2" t="s">
        <v>555</v>
      </c>
      <c r="I564" s="4">
        <v>595</v>
      </c>
      <c r="J564" s="4">
        <v>1690</v>
      </c>
      <c r="L564" s="31">
        <v>113.85</v>
      </c>
      <c r="M564" s="32">
        <v>20.100000000000001</v>
      </c>
      <c r="N564" s="33">
        <v>5.2</v>
      </c>
    </row>
    <row r="565" spans="1:14" x14ac:dyDescent="0.25">
      <c r="A565" s="30">
        <v>1</v>
      </c>
      <c r="B565" s="2" t="s">
        <v>7398</v>
      </c>
      <c r="C565" s="2" t="s">
        <v>7399</v>
      </c>
      <c r="D565" s="2" t="s">
        <v>5973</v>
      </c>
      <c r="E565" s="5">
        <v>12</v>
      </c>
      <c r="F565" s="2" t="s">
        <v>1923</v>
      </c>
      <c r="G565" s="2" t="s">
        <v>7401</v>
      </c>
      <c r="H565" s="2" t="s">
        <v>556</v>
      </c>
      <c r="I565" s="4">
        <v>475</v>
      </c>
      <c r="J565" s="4">
        <v>0</v>
      </c>
      <c r="L565" s="31">
        <v>23.42</v>
      </c>
      <c r="M565" s="32">
        <v>20.3</v>
      </c>
      <c r="N565" s="33">
        <v>20.3</v>
      </c>
    </row>
    <row r="566" spans="1:14" x14ac:dyDescent="0.25">
      <c r="A566" s="30">
        <v>1</v>
      </c>
      <c r="B566" s="2" t="s">
        <v>7398</v>
      </c>
      <c r="C566" s="2" t="s">
        <v>7399</v>
      </c>
      <c r="D566" s="2" t="s">
        <v>5974</v>
      </c>
      <c r="E566" s="5">
        <v>6</v>
      </c>
      <c r="F566" s="2" t="s">
        <v>1852</v>
      </c>
      <c r="G566" s="2" t="s">
        <v>7401</v>
      </c>
      <c r="H566" s="2" t="s">
        <v>557</v>
      </c>
      <c r="I566" s="4">
        <v>84</v>
      </c>
      <c r="J566" s="4">
        <v>0</v>
      </c>
      <c r="L566" s="31">
        <v>2.14</v>
      </c>
      <c r="M566" s="32">
        <v>39.299999999999997</v>
      </c>
      <c r="N566" s="33">
        <v>39.299999999999997</v>
      </c>
    </row>
    <row r="567" spans="1:14" x14ac:dyDescent="0.25">
      <c r="A567" s="30">
        <v>1</v>
      </c>
      <c r="B567" s="2" t="s">
        <v>7398</v>
      </c>
      <c r="C567" s="2" t="s">
        <v>7399</v>
      </c>
      <c r="D567" s="2" t="s">
        <v>5975</v>
      </c>
      <c r="E567" s="5">
        <v>24</v>
      </c>
      <c r="F567" s="2" t="s">
        <v>1866</v>
      </c>
      <c r="G567" s="2" t="s">
        <v>7401</v>
      </c>
      <c r="H567" s="2" t="s">
        <v>558</v>
      </c>
      <c r="I567" s="4">
        <v>9</v>
      </c>
      <c r="J567" s="4">
        <v>680</v>
      </c>
      <c r="L567" s="31">
        <v>28.71</v>
      </c>
      <c r="M567" s="32">
        <v>24</v>
      </c>
      <c r="N567" s="33">
        <v>0.3</v>
      </c>
    </row>
    <row r="568" spans="1:14" x14ac:dyDescent="0.25">
      <c r="A568" s="30">
        <v>1</v>
      </c>
      <c r="B568" s="2" t="s">
        <v>7398</v>
      </c>
      <c r="C568" s="2" t="s">
        <v>7399</v>
      </c>
      <c r="D568" s="2" t="s">
        <v>5976</v>
      </c>
      <c r="E568" s="5">
        <v>12</v>
      </c>
      <c r="F568" s="2" t="s">
        <v>1869</v>
      </c>
      <c r="G568" s="2" t="s">
        <v>7409</v>
      </c>
      <c r="H568" s="2" t="s">
        <v>559</v>
      </c>
      <c r="I568" s="4">
        <v>270</v>
      </c>
      <c r="J568" s="4">
        <v>96</v>
      </c>
      <c r="L568" s="31">
        <v>0</v>
      </c>
      <c r="M568" s="32">
        <v>0</v>
      </c>
      <c r="N568" s="33">
        <v>9999</v>
      </c>
    </row>
    <row r="569" spans="1:14" x14ac:dyDescent="0.25">
      <c r="A569" s="30">
        <v>1</v>
      </c>
      <c r="B569" s="2" t="s">
        <v>7398</v>
      </c>
      <c r="C569" s="2" t="s">
        <v>7399</v>
      </c>
      <c r="D569" s="2" t="s">
        <v>5977</v>
      </c>
      <c r="E569" s="5">
        <v>12</v>
      </c>
      <c r="F569" s="2" t="s">
        <v>1922</v>
      </c>
      <c r="G569" s="2" t="s">
        <v>7401</v>
      </c>
      <c r="H569" s="2" t="s">
        <v>560</v>
      </c>
      <c r="I569" s="4">
        <v>194</v>
      </c>
      <c r="J569" s="4">
        <v>845</v>
      </c>
      <c r="L569" s="31">
        <v>44.14</v>
      </c>
      <c r="M569" s="32">
        <v>23.5</v>
      </c>
      <c r="N569" s="33">
        <v>4.4000000000000004</v>
      </c>
    </row>
    <row r="570" spans="1:14" x14ac:dyDescent="0.25">
      <c r="A570" s="30">
        <v>1</v>
      </c>
      <c r="B570" s="2" t="s">
        <v>7398</v>
      </c>
      <c r="C570" s="2" t="s">
        <v>7399</v>
      </c>
      <c r="D570" s="2" t="s">
        <v>5978</v>
      </c>
      <c r="E570" s="5">
        <v>12</v>
      </c>
      <c r="F570" s="2" t="s">
        <v>1923</v>
      </c>
      <c r="G570" s="2" t="s">
        <v>7401</v>
      </c>
      <c r="H570" s="2" t="s">
        <v>561</v>
      </c>
      <c r="I570" s="4">
        <v>109</v>
      </c>
      <c r="J570" s="4">
        <v>240</v>
      </c>
      <c r="L570" s="31">
        <v>8.2799999999999994</v>
      </c>
      <c r="M570" s="32">
        <v>42.1</v>
      </c>
      <c r="N570" s="33">
        <v>13.2</v>
      </c>
    </row>
    <row r="571" spans="1:14" x14ac:dyDescent="0.25">
      <c r="A571" s="30">
        <v>1</v>
      </c>
      <c r="B571" s="2" t="s">
        <v>7398</v>
      </c>
      <c r="C571" s="2" t="s">
        <v>7399</v>
      </c>
      <c r="D571" s="2" t="s">
        <v>5979</v>
      </c>
      <c r="E571" s="5">
        <v>72</v>
      </c>
      <c r="F571" s="2" t="s">
        <v>1866</v>
      </c>
      <c r="G571" s="2" t="s">
        <v>7404</v>
      </c>
      <c r="H571" s="2" t="s">
        <v>562</v>
      </c>
      <c r="I571" s="4">
        <v>329</v>
      </c>
      <c r="J571" s="4">
        <v>0</v>
      </c>
      <c r="L571" s="31">
        <v>3.71</v>
      </c>
      <c r="M571" s="32">
        <v>88.7</v>
      </c>
      <c r="N571" s="33">
        <v>88.7</v>
      </c>
    </row>
    <row r="572" spans="1:14" x14ac:dyDescent="0.25">
      <c r="A572" s="30">
        <v>1</v>
      </c>
      <c r="B572" s="2" t="s">
        <v>7398</v>
      </c>
      <c r="C572" s="2" t="s">
        <v>7399</v>
      </c>
      <c r="D572" s="2" t="s">
        <v>5980</v>
      </c>
      <c r="E572" s="5">
        <v>12</v>
      </c>
      <c r="F572" s="2" t="s">
        <v>1922</v>
      </c>
      <c r="G572" s="2" t="s">
        <v>7401</v>
      </c>
      <c r="H572" s="2" t="s">
        <v>563</v>
      </c>
      <c r="I572" s="4">
        <v>9</v>
      </c>
      <c r="J572" s="4">
        <v>507</v>
      </c>
      <c r="L572" s="31">
        <v>5</v>
      </c>
      <c r="M572" s="32">
        <v>103.2</v>
      </c>
      <c r="N572" s="33">
        <v>1.8</v>
      </c>
    </row>
    <row r="573" spans="1:14" x14ac:dyDescent="0.25">
      <c r="A573" s="30">
        <v>1</v>
      </c>
      <c r="B573" s="2" t="s">
        <v>7398</v>
      </c>
      <c r="C573" s="2" t="s">
        <v>7399</v>
      </c>
      <c r="D573" s="2" t="s">
        <v>5981</v>
      </c>
      <c r="E573" s="5">
        <v>12</v>
      </c>
      <c r="F573" s="2" t="s">
        <v>1923</v>
      </c>
      <c r="G573" s="2" t="s">
        <v>7401</v>
      </c>
      <c r="H573" s="2" t="s">
        <v>564</v>
      </c>
      <c r="I573" s="4">
        <v>23</v>
      </c>
      <c r="J573" s="4">
        <v>80</v>
      </c>
      <c r="L573" s="31">
        <v>0.56999999999999995</v>
      </c>
      <c r="M573" s="32">
        <v>180.7</v>
      </c>
      <c r="N573" s="33">
        <v>40.4</v>
      </c>
    </row>
    <row r="574" spans="1:14" x14ac:dyDescent="0.25">
      <c r="A574" s="30">
        <v>1</v>
      </c>
      <c r="B574" s="2" t="s">
        <v>7398</v>
      </c>
      <c r="C574" s="2" t="s">
        <v>7399</v>
      </c>
      <c r="D574" s="2" t="s">
        <v>5982</v>
      </c>
      <c r="E574" s="5">
        <v>12</v>
      </c>
      <c r="F574" s="2" t="s">
        <v>1881</v>
      </c>
      <c r="G574" s="2" t="s">
        <v>7401</v>
      </c>
      <c r="H574" s="2" t="s">
        <v>565</v>
      </c>
      <c r="I574" s="4">
        <v>21</v>
      </c>
      <c r="J574" s="4">
        <v>160</v>
      </c>
      <c r="L574" s="31">
        <v>1.85</v>
      </c>
      <c r="M574" s="32">
        <v>97.8</v>
      </c>
      <c r="N574" s="33">
        <v>11.4</v>
      </c>
    </row>
    <row r="575" spans="1:14" x14ac:dyDescent="0.25">
      <c r="A575" s="30">
        <v>1</v>
      </c>
      <c r="B575" s="2" t="s">
        <v>7398</v>
      </c>
      <c r="C575" s="2" t="s">
        <v>7399</v>
      </c>
      <c r="D575" s="2" t="s">
        <v>5983</v>
      </c>
      <c r="E575" s="5">
        <v>12</v>
      </c>
      <c r="F575" s="2" t="s">
        <v>1923</v>
      </c>
      <c r="G575" s="2" t="s">
        <v>7401</v>
      </c>
      <c r="H575" s="2" t="s">
        <v>566</v>
      </c>
      <c r="I575" s="4">
        <v>39</v>
      </c>
      <c r="J575" s="4">
        <v>0</v>
      </c>
      <c r="L575" s="31">
        <v>0.85</v>
      </c>
      <c r="M575" s="32">
        <v>45.9</v>
      </c>
      <c r="N575" s="33">
        <v>45.9</v>
      </c>
    </row>
    <row r="576" spans="1:14" x14ac:dyDescent="0.25">
      <c r="A576" s="30">
        <v>1</v>
      </c>
      <c r="B576" s="2" t="s">
        <v>7398</v>
      </c>
      <c r="C576" s="2" t="s">
        <v>7399</v>
      </c>
      <c r="D576" s="2" t="s">
        <v>5984</v>
      </c>
      <c r="E576" s="5">
        <v>12</v>
      </c>
      <c r="F576" s="2" t="s">
        <v>1922</v>
      </c>
      <c r="G576" s="2" t="s">
        <v>7401</v>
      </c>
      <c r="H576" s="2" t="s">
        <v>567</v>
      </c>
      <c r="I576" s="4">
        <v>0</v>
      </c>
      <c r="J576" s="4">
        <v>845</v>
      </c>
      <c r="L576" s="31">
        <v>12</v>
      </c>
      <c r="M576" s="32">
        <v>70.400000000000006</v>
      </c>
      <c r="N576" s="33">
        <v>0</v>
      </c>
    </row>
    <row r="577" spans="1:14" x14ac:dyDescent="0.25">
      <c r="A577" s="30">
        <v>1</v>
      </c>
      <c r="B577" s="2" t="s">
        <v>7398</v>
      </c>
      <c r="C577" s="2" t="s">
        <v>7399</v>
      </c>
      <c r="D577" s="2" t="s">
        <v>5985</v>
      </c>
      <c r="E577" s="5">
        <v>12</v>
      </c>
      <c r="F577" s="2" t="s">
        <v>1923</v>
      </c>
      <c r="G577" s="2" t="s">
        <v>7401</v>
      </c>
      <c r="H577" s="2" t="s">
        <v>568</v>
      </c>
      <c r="I577" s="4">
        <v>0</v>
      </c>
      <c r="J577" s="4">
        <v>560</v>
      </c>
      <c r="L577" s="31">
        <v>0.85</v>
      </c>
      <c r="M577" s="32">
        <v>658.8</v>
      </c>
      <c r="N577" s="33">
        <v>0</v>
      </c>
    </row>
    <row r="578" spans="1:14" x14ac:dyDescent="0.25">
      <c r="A578" s="30">
        <v>1</v>
      </c>
      <c r="B578" s="2" t="s">
        <v>7398</v>
      </c>
      <c r="C578" s="2" t="s">
        <v>7399</v>
      </c>
      <c r="D578" s="2" t="s">
        <v>5986</v>
      </c>
      <c r="E578" s="5">
        <v>12</v>
      </c>
      <c r="F578" s="2" t="s">
        <v>1923</v>
      </c>
      <c r="G578" s="2" t="s">
        <v>7401</v>
      </c>
      <c r="H578" s="2" t="s">
        <v>569</v>
      </c>
      <c r="I578" s="4">
        <v>838</v>
      </c>
      <c r="J578" s="4">
        <v>0</v>
      </c>
      <c r="L578" s="31">
        <v>2</v>
      </c>
      <c r="M578" s="32">
        <v>419</v>
      </c>
      <c r="N578" s="33">
        <v>419</v>
      </c>
    </row>
    <row r="579" spans="1:14" x14ac:dyDescent="0.25">
      <c r="A579" s="30">
        <v>1</v>
      </c>
      <c r="B579" s="2" t="s">
        <v>7398</v>
      </c>
      <c r="C579" s="2" t="s">
        <v>7399</v>
      </c>
      <c r="D579" s="2" t="s">
        <v>5987</v>
      </c>
      <c r="E579" s="5">
        <v>12</v>
      </c>
      <c r="F579" s="2" t="s">
        <v>1874</v>
      </c>
      <c r="G579" s="2" t="s">
        <v>7401</v>
      </c>
      <c r="H579" s="2" t="s">
        <v>570</v>
      </c>
      <c r="I579" s="4">
        <v>84</v>
      </c>
      <c r="J579" s="4">
        <v>845</v>
      </c>
      <c r="L579" s="31">
        <v>51.14</v>
      </c>
      <c r="M579" s="32">
        <v>18.2</v>
      </c>
      <c r="N579" s="33">
        <v>1.6</v>
      </c>
    </row>
    <row r="580" spans="1:14" x14ac:dyDescent="0.25">
      <c r="A580" s="30">
        <v>1</v>
      </c>
      <c r="B580" s="2" t="s">
        <v>7398</v>
      </c>
      <c r="C580" s="2" t="s">
        <v>7399</v>
      </c>
      <c r="D580" s="2" t="s">
        <v>5988</v>
      </c>
      <c r="E580" s="5">
        <v>12</v>
      </c>
      <c r="F580" s="2" t="s">
        <v>1879</v>
      </c>
      <c r="G580" s="2" t="s">
        <v>7403</v>
      </c>
      <c r="H580" s="2" t="s">
        <v>571</v>
      </c>
      <c r="I580" s="4">
        <v>549</v>
      </c>
      <c r="J580" s="4">
        <v>0</v>
      </c>
      <c r="L580" s="31">
        <v>12.57</v>
      </c>
      <c r="M580" s="32">
        <v>43.7</v>
      </c>
      <c r="N580" s="33">
        <v>43.7</v>
      </c>
    </row>
    <row r="581" spans="1:14" x14ac:dyDescent="0.25">
      <c r="A581" s="30">
        <v>1</v>
      </c>
      <c r="B581" s="2" t="s">
        <v>7398</v>
      </c>
      <c r="C581" s="2" t="s">
        <v>7399</v>
      </c>
      <c r="D581" s="2" t="s">
        <v>5989</v>
      </c>
      <c r="E581" s="5">
        <v>12</v>
      </c>
      <c r="F581" s="2" t="s">
        <v>1866</v>
      </c>
      <c r="G581" s="2" t="s">
        <v>7401</v>
      </c>
      <c r="H581" s="2" t="s">
        <v>572</v>
      </c>
      <c r="I581" s="4">
        <v>0</v>
      </c>
      <c r="J581" s="4">
        <v>448</v>
      </c>
      <c r="L581" s="31">
        <v>0</v>
      </c>
      <c r="M581" s="32">
        <v>0</v>
      </c>
      <c r="N581" s="33">
        <v>9999</v>
      </c>
    </row>
    <row r="582" spans="1:14" x14ac:dyDescent="0.25">
      <c r="A582" s="30">
        <v>1</v>
      </c>
      <c r="B582" s="2" t="s">
        <v>7398</v>
      </c>
      <c r="C582" s="2" t="s">
        <v>7399</v>
      </c>
      <c r="D582" s="2" t="s">
        <v>5990</v>
      </c>
      <c r="E582" s="5">
        <v>12</v>
      </c>
      <c r="F582" s="2" t="s">
        <v>1866</v>
      </c>
      <c r="G582" s="2" t="s">
        <v>7401</v>
      </c>
      <c r="H582" s="2" t="s">
        <v>573</v>
      </c>
      <c r="I582" s="4">
        <v>6493</v>
      </c>
      <c r="J582" s="4">
        <v>3276</v>
      </c>
      <c r="L582" s="31">
        <v>703.14</v>
      </c>
      <c r="M582" s="32">
        <v>13.9</v>
      </c>
      <c r="N582" s="33">
        <v>9.1999999999999993</v>
      </c>
    </row>
    <row r="583" spans="1:14" x14ac:dyDescent="0.25">
      <c r="A583" s="30">
        <v>1</v>
      </c>
      <c r="B583" s="2" t="s">
        <v>7398</v>
      </c>
      <c r="C583" s="2" t="s">
        <v>7399</v>
      </c>
      <c r="D583" s="2" t="s">
        <v>5991</v>
      </c>
      <c r="E583" s="5">
        <v>12</v>
      </c>
      <c r="F583" s="2" t="s">
        <v>1866</v>
      </c>
      <c r="G583" s="2" t="s">
        <v>7401</v>
      </c>
      <c r="H583" s="2" t="s">
        <v>574</v>
      </c>
      <c r="I583" s="4">
        <v>1869</v>
      </c>
      <c r="J583" s="4">
        <v>0</v>
      </c>
      <c r="L583" s="31">
        <v>7</v>
      </c>
      <c r="M583" s="32">
        <v>267</v>
      </c>
      <c r="N583" s="33">
        <v>267</v>
      </c>
    </row>
    <row r="584" spans="1:14" x14ac:dyDescent="0.25">
      <c r="A584" s="30">
        <v>1</v>
      </c>
      <c r="B584" s="2" t="s">
        <v>7398</v>
      </c>
      <c r="C584" s="2" t="s">
        <v>7399</v>
      </c>
      <c r="D584" s="2" t="s">
        <v>5992</v>
      </c>
      <c r="E584" s="5">
        <v>24</v>
      </c>
      <c r="F584" s="2" t="s">
        <v>1866</v>
      </c>
      <c r="G584" s="2" t="s">
        <v>7401</v>
      </c>
      <c r="H584" s="2" t="s">
        <v>575</v>
      </c>
      <c r="I584" s="4">
        <v>12</v>
      </c>
      <c r="J584" s="4">
        <v>126</v>
      </c>
      <c r="L584" s="31">
        <v>1.57</v>
      </c>
      <c r="M584" s="32">
        <v>87.9</v>
      </c>
      <c r="N584" s="33">
        <v>7.6</v>
      </c>
    </row>
    <row r="585" spans="1:14" x14ac:dyDescent="0.25">
      <c r="A585" s="30">
        <v>1</v>
      </c>
      <c r="B585" s="2" t="s">
        <v>7398</v>
      </c>
      <c r="C585" s="2" t="s">
        <v>7399</v>
      </c>
      <c r="D585" s="2" t="s">
        <v>5993</v>
      </c>
      <c r="E585" s="5">
        <v>24</v>
      </c>
      <c r="F585" s="2" t="s">
        <v>1866</v>
      </c>
      <c r="G585" s="2" t="s">
        <v>7401</v>
      </c>
      <c r="H585" s="2" t="s">
        <v>576</v>
      </c>
      <c r="I585" s="4">
        <v>43</v>
      </c>
      <c r="J585" s="4">
        <v>252</v>
      </c>
      <c r="L585" s="31">
        <v>1.85</v>
      </c>
      <c r="M585" s="32">
        <v>159.5</v>
      </c>
      <c r="N585" s="33">
        <v>23.2</v>
      </c>
    </row>
    <row r="586" spans="1:14" x14ac:dyDescent="0.25">
      <c r="A586" s="30">
        <v>1</v>
      </c>
      <c r="B586" s="2" t="s">
        <v>7398</v>
      </c>
      <c r="C586" s="2" t="s">
        <v>7399</v>
      </c>
      <c r="D586" s="2" t="s">
        <v>5994</v>
      </c>
      <c r="E586" s="5">
        <v>12</v>
      </c>
      <c r="F586" s="2" t="s">
        <v>1849</v>
      </c>
      <c r="G586" s="2" t="s">
        <v>7401</v>
      </c>
      <c r="H586" s="2" t="s">
        <v>577</v>
      </c>
      <c r="I586" s="4">
        <v>809</v>
      </c>
      <c r="J586" s="4">
        <v>0</v>
      </c>
      <c r="L586" s="31">
        <v>31</v>
      </c>
      <c r="M586" s="32">
        <v>26.1</v>
      </c>
      <c r="N586" s="33">
        <v>26.1</v>
      </c>
    </row>
    <row r="587" spans="1:14" x14ac:dyDescent="0.25">
      <c r="A587" s="30">
        <v>1</v>
      </c>
      <c r="B587" s="2" t="s">
        <v>7398</v>
      </c>
      <c r="C587" s="2" t="s">
        <v>7399</v>
      </c>
      <c r="D587" s="2" t="s">
        <v>5995</v>
      </c>
      <c r="E587" s="5">
        <v>12</v>
      </c>
      <c r="F587" s="2" t="s">
        <v>1849</v>
      </c>
      <c r="G587" s="2" t="s">
        <v>7401</v>
      </c>
      <c r="H587" s="2" t="s">
        <v>578</v>
      </c>
      <c r="I587" s="4">
        <v>190</v>
      </c>
      <c r="J587" s="4">
        <v>170</v>
      </c>
      <c r="L587" s="31">
        <v>22.28</v>
      </c>
      <c r="M587" s="32">
        <v>16.2</v>
      </c>
      <c r="N587" s="33">
        <v>8.5</v>
      </c>
    </row>
    <row r="588" spans="1:14" x14ac:dyDescent="0.25">
      <c r="A588" s="30">
        <v>1</v>
      </c>
      <c r="B588" s="2" t="s">
        <v>7398</v>
      </c>
      <c r="C588" s="2" t="s">
        <v>7399</v>
      </c>
      <c r="D588" s="2" t="s">
        <v>5996</v>
      </c>
      <c r="E588" s="5">
        <v>12</v>
      </c>
      <c r="F588" s="2" t="s">
        <v>1869</v>
      </c>
      <c r="G588" s="2" t="s">
        <v>7400</v>
      </c>
      <c r="H588" s="2" t="s">
        <v>579</v>
      </c>
      <c r="I588" s="4">
        <v>41</v>
      </c>
      <c r="J588" s="4">
        <v>75</v>
      </c>
      <c r="L588" s="31">
        <v>2</v>
      </c>
      <c r="M588" s="32">
        <v>58</v>
      </c>
      <c r="N588" s="33">
        <v>20.5</v>
      </c>
    </row>
    <row r="589" spans="1:14" x14ac:dyDescent="0.25">
      <c r="A589" s="30">
        <v>1</v>
      </c>
      <c r="B589" s="2" t="s">
        <v>7398</v>
      </c>
      <c r="C589" s="2" t="s">
        <v>7399</v>
      </c>
      <c r="D589" s="2" t="s">
        <v>5997</v>
      </c>
      <c r="E589" s="5">
        <v>12</v>
      </c>
      <c r="F589" s="2" t="s">
        <v>1873</v>
      </c>
      <c r="G589" s="2" t="s">
        <v>7409</v>
      </c>
      <c r="H589" s="2" t="s">
        <v>580</v>
      </c>
      <c r="I589" s="4">
        <v>65</v>
      </c>
      <c r="J589" s="4">
        <v>350</v>
      </c>
      <c r="L589" s="31">
        <v>7.42</v>
      </c>
      <c r="M589" s="32">
        <v>55.9</v>
      </c>
      <c r="N589" s="33">
        <v>8.8000000000000007</v>
      </c>
    </row>
    <row r="590" spans="1:14" x14ac:dyDescent="0.25">
      <c r="A590" s="30">
        <v>1</v>
      </c>
      <c r="B590" s="2" t="s">
        <v>7398</v>
      </c>
      <c r="C590" s="2" t="s">
        <v>7399</v>
      </c>
      <c r="D590" s="2" t="s">
        <v>5998</v>
      </c>
      <c r="E590" s="5">
        <v>12</v>
      </c>
      <c r="F590" s="2" t="s">
        <v>1869</v>
      </c>
      <c r="G590" s="2" t="s">
        <v>7400</v>
      </c>
      <c r="H590" s="2" t="s">
        <v>581</v>
      </c>
      <c r="I590" s="4">
        <v>2</v>
      </c>
      <c r="J590" s="4">
        <v>300</v>
      </c>
      <c r="L590" s="31">
        <v>10.14</v>
      </c>
      <c r="M590" s="32">
        <v>29.8</v>
      </c>
      <c r="N590" s="33">
        <v>0.2</v>
      </c>
    </row>
    <row r="591" spans="1:14" x14ac:dyDescent="0.25">
      <c r="A591" s="30">
        <v>1</v>
      </c>
      <c r="B591" s="2" t="s">
        <v>7398</v>
      </c>
      <c r="C591" s="2" t="s">
        <v>7399</v>
      </c>
      <c r="D591" s="2" t="s">
        <v>5999</v>
      </c>
      <c r="E591" s="5">
        <v>12</v>
      </c>
      <c r="F591" s="2" t="s">
        <v>1869</v>
      </c>
      <c r="G591" s="2" t="s">
        <v>7400</v>
      </c>
      <c r="H591" s="2" t="s">
        <v>582</v>
      </c>
      <c r="I591" s="4">
        <v>60</v>
      </c>
      <c r="J591" s="4">
        <v>0</v>
      </c>
      <c r="L591" s="31">
        <v>1.1399999999999999</v>
      </c>
      <c r="M591" s="32">
        <v>52.6</v>
      </c>
      <c r="N591" s="33">
        <v>52.6</v>
      </c>
    </row>
    <row r="592" spans="1:14" x14ac:dyDescent="0.25">
      <c r="A592" s="30">
        <v>1</v>
      </c>
      <c r="B592" s="2" t="s">
        <v>7398</v>
      </c>
      <c r="C592" s="2" t="s">
        <v>7399</v>
      </c>
      <c r="D592" s="2" t="s">
        <v>6000</v>
      </c>
      <c r="E592" s="5">
        <v>12</v>
      </c>
      <c r="F592" s="2" t="s">
        <v>1869</v>
      </c>
      <c r="G592" s="2" t="s">
        <v>7400</v>
      </c>
      <c r="H592" s="2" t="s">
        <v>583</v>
      </c>
      <c r="I592" s="4">
        <v>119</v>
      </c>
      <c r="J592" s="4">
        <v>0</v>
      </c>
      <c r="L592" s="31">
        <v>1</v>
      </c>
      <c r="M592" s="32">
        <v>119</v>
      </c>
      <c r="N592" s="33">
        <v>119</v>
      </c>
    </row>
    <row r="593" spans="1:14" x14ac:dyDescent="0.25">
      <c r="A593" s="30">
        <v>1</v>
      </c>
      <c r="B593" s="2" t="s">
        <v>7398</v>
      </c>
      <c r="C593" s="2" t="s">
        <v>7399</v>
      </c>
      <c r="D593" s="2" t="s">
        <v>6001</v>
      </c>
      <c r="E593" s="5">
        <v>12</v>
      </c>
      <c r="F593" s="2" t="s">
        <v>1869</v>
      </c>
      <c r="G593" s="2" t="s">
        <v>7400</v>
      </c>
      <c r="H593" s="2" t="s">
        <v>584</v>
      </c>
      <c r="I593" s="4">
        <v>143</v>
      </c>
      <c r="J593" s="4">
        <v>450</v>
      </c>
      <c r="L593" s="31">
        <v>15.85</v>
      </c>
      <c r="M593" s="32">
        <v>37.4</v>
      </c>
      <c r="N593" s="33">
        <v>9</v>
      </c>
    </row>
    <row r="594" spans="1:14" x14ac:dyDescent="0.25">
      <c r="A594" s="30">
        <v>1</v>
      </c>
      <c r="B594" s="2" t="s">
        <v>7398</v>
      </c>
      <c r="C594" s="2" t="s">
        <v>7399</v>
      </c>
      <c r="D594" s="2" t="s">
        <v>6002</v>
      </c>
      <c r="E594" s="5">
        <v>12</v>
      </c>
      <c r="F594" s="2" t="s">
        <v>1918</v>
      </c>
      <c r="G594" s="2" t="s">
        <v>7400</v>
      </c>
      <c r="H594" s="2" t="s">
        <v>585</v>
      </c>
      <c r="I594" s="4">
        <v>887</v>
      </c>
      <c r="J594" s="4">
        <v>2100</v>
      </c>
      <c r="L594" s="31">
        <v>159.41999999999999</v>
      </c>
      <c r="M594" s="32">
        <v>18.7</v>
      </c>
      <c r="N594" s="33">
        <v>5.6</v>
      </c>
    </row>
    <row r="595" spans="1:14" x14ac:dyDescent="0.25">
      <c r="A595" s="30">
        <v>1</v>
      </c>
      <c r="B595" s="2" t="s">
        <v>7398</v>
      </c>
      <c r="C595" s="2" t="s">
        <v>7399</v>
      </c>
      <c r="D595" s="2" t="s">
        <v>6003</v>
      </c>
      <c r="E595" s="5">
        <v>12</v>
      </c>
      <c r="F595" s="2" t="s">
        <v>1918</v>
      </c>
      <c r="G595" s="2" t="s">
        <v>7400</v>
      </c>
      <c r="H595" s="2" t="s">
        <v>586</v>
      </c>
      <c r="I595" s="4">
        <v>226</v>
      </c>
      <c r="J595" s="4">
        <v>150</v>
      </c>
      <c r="L595" s="31">
        <v>15.85</v>
      </c>
      <c r="M595" s="32">
        <v>23.7</v>
      </c>
      <c r="N595" s="33">
        <v>14.3</v>
      </c>
    </row>
    <row r="596" spans="1:14" x14ac:dyDescent="0.25">
      <c r="A596" s="30">
        <v>1</v>
      </c>
      <c r="B596" s="2" t="s">
        <v>7398</v>
      </c>
      <c r="C596" s="2" t="s">
        <v>7399</v>
      </c>
      <c r="D596" s="2" t="s">
        <v>6004</v>
      </c>
      <c r="E596" s="5">
        <v>12</v>
      </c>
      <c r="F596" s="2" t="s">
        <v>1918</v>
      </c>
      <c r="G596" s="2" t="s">
        <v>7400</v>
      </c>
      <c r="H596" s="2" t="s">
        <v>587</v>
      </c>
      <c r="I596" s="4">
        <v>604</v>
      </c>
      <c r="J596" s="4">
        <v>1500</v>
      </c>
      <c r="L596" s="31">
        <v>118.57</v>
      </c>
      <c r="M596" s="32">
        <v>17.7</v>
      </c>
      <c r="N596" s="33">
        <v>5.0999999999999996</v>
      </c>
    </row>
    <row r="597" spans="1:14" x14ac:dyDescent="0.25">
      <c r="A597" s="30">
        <v>1</v>
      </c>
      <c r="B597" s="2" t="s">
        <v>7398</v>
      </c>
      <c r="C597" s="2" t="s">
        <v>7399</v>
      </c>
      <c r="D597" s="2" t="s">
        <v>6005</v>
      </c>
      <c r="E597" s="5">
        <v>12</v>
      </c>
      <c r="F597" s="2" t="s">
        <v>1918</v>
      </c>
      <c r="G597" s="2" t="s">
        <v>7400</v>
      </c>
      <c r="H597" s="2" t="s">
        <v>588</v>
      </c>
      <c r="I597" s="4">
        <v>0</v>
      </c>
      <c r="J597" s="4">
        <v>225</v>
      </c>
      <c r="L597" s="31">
        <v>5.14</v>
      </c>
      <c r="M597" s="32">
        <v>43.8</v>
      </c>
      <c r="N597" s="33">
        <v>0</v>
      </c>
    </row>
    <row r="598" spans="1:14" x14ac:dyDescent="0.25">
      <c r="A598" s="30">
        <v>1</v>
      </c>
      <c r="B598" s="2" t="s">
        <v>7398</v>
      </c>
      <c r="C598" s="2" t="s">
        <v>7399</v>
      </c>
      <c r="D598" s="2" t="s">
        <v>6006</v>
      </c>
      <c r="E598" s="5">
        <v>20</v>
      </c>
      <c r="F598" s="2" t="s">
        <v>1924</v>
      </c>
      <c r="G598" s="2" t="s">
        <v>7409</v>
      </c>
      <c r="H598" s="2" t="s">
        <v>589</v>
      </c>
      <c r="I598" s="4">
        <v>0</v>
      </c>
      <c r="J598" s="4">
        <v>534</v>
      </c>
      <c r="L598" s="31">
        <v>11.28</v>
      </c>
      <c r="M598" s="32">
        <v>47.3</v>
      </c>
      <c r="N598" s="33">
        <v>0</v>
      </c>
    </row>
    <row r="599" spans="1:14" x14ac:dyDescent="0.25">
      <c r="A599" s="30">
        <v>1</v>
      </c>
      <c r="B599" s="2" t="s">
        <v>7398</v>
      </c>
      <c r="C599" s="2" t="s">
        <v>7399</v>
      </c>
      <c r="D599" s="2" t="s">
        <v>6007</v>
      </c>
      <c r="E599" s="5">
        <v>12</v>
      </c>
      <c r="F599" s="2" t="s">
        <v>1913</v>
      </c>
      <c r="G599" s="2" t="s">
        <v>7400</v>
      </c>
      <c r="H599" s="2" t="s">
        <v>590</v>
      </c>
      <c r="I599" s="4">
        <v>158</v>
      </c>
      <c r="J599" s="4">
        <v>0</v>
      </c>
      <c r="L599" s="31">
        <v>1.71</v>
      </c>
      <c r="M599" s="32">
        <v>92.4</v>
      </c>
      <c r="N599" s="33">
        <v>92.4</v>
      </c>
    </row>
    <row r="600" spans="1:14" x14ac:dyDescent="0.25">
      <c r="A600" s="30">
        <v>1</v>
      </c>
      <c r="B600" s="2" t="s">
        <v>7398</v>
      </c>
      <c r="C600" s="2" t="s">
        <v>7399</v>
      </c>
      <c r="D600" s="2" t="s">
        <v>6008</v>
      </c>
      <c r="E600" s="5">
        <v>12</v>
      </c>
      <c r="F600" s="2" t="s">
        <v>1874</v>
      </c>
      <c r="G600" s="2" t="s">
        <v>7401</v>
      </c>
      <c r="H600" s="2" t="s">
        <v>591</v>
      </c>
      <c r="I600" s="4">
        <v>32</v>
      </c>
      <c r="J600" s="4">
        <v>169</v>
      </c>
      <c r="L600" s="31">
        <v>4.42</v>
      </c>
      <c r="M600" s="32">
        <v>45.5</v>
      </c>
      <c r="N600" s="33">
        <v>7.2</v>
      </c>
    </row>
    <row r="601" spans="1:14" x14ac:dyDescent="0.25">
      <c r="A601" s="30">
        <v>1</v>
      </c>
      <c r="B601" s="2" t="s">
        <v>7398</v>
      </c>
      <c r="C601" s="2" t="s">
        <v>7399</v>
      </c>
      <c r="D601" s="2" t="s">
        <v>6009</v>
      </c>
      <c r="E601" s="5">
        <v>10</v>
      </c>
      <c r="F601" s="2" t="s">
        <v>1845</v>
      </c>
      <c r="G601" s="2" t="s">
        <v>7410</v>
      </c>
      <c r="H601" s="2" t="s">
        <v>592</v>
      </c>
      <c r="I601" s="4">
        <v>81</v>
      </c>
      <c r="J601" s="4">
        <v>168</v>
      </c>
      <c r="L601" s="31">
        <v>14.71</v>
      </c>
      <c r="M601" s="32">
        <v>16.899999999999999</v>
      </c>
      <c r="N601" s="33">
        <v>5.5</v>
      </c>
    </row>
    <row r="602" spans="1:14" x14ac:dyDescent="0.25">
      <c r="A602" s="30">
        <v>1</v>
      </c>
      <c r="B602" s="2" t="s">
        <v>7398</v>
      </c>
      <c r="C602" s="2" t="s">
        <v>7399</v>
      </c>
      <c r="D602" s="2" t="s">
        <v>6010</v>
      </c>
      <c r="E602" s="5">
        <v>12</v>
      </c>
      <c r="F602" s="2" t="s">
        <v>1874</v>
      </c>
      <c r="G602" s="2" t="s">
        <v>7409</v>
      </c>
      <c r="H602" s="2" t="s">
        <v>593</v>
      </c>
      <c r="I602" s="4">
        <v>252</v>
      </c>
      <c r="J602" s="4">
        <v>336</v>
      </c>
      <c r="L602" s="31">
        <v>35</v>
      </c>
      <c r="M602" s="32">
        <v>16.8</v>
      </c>
      <c r="N602" s="33">
        <v>7.2</v>
      </c>
    </row>
    <row r="603" spans="1:14" x14ac:dyDescent="0.25">
      <c r="A603" s="30">
        <v>1</v>
      </c>
      <c r="B603" s="2" t="s">
        <v>7398</v>
      </c>
      <c r="C603" s="2" t="s">
        <v>7399</v>
      </c>
      <c r="D603" s="2" t="s">
        <v>6011</v>
      </c>
      <c r="E603" s="5">
        <v>12</v>
      </c>
      <c r="F603" s="2" t="s">
        <v>1849</v>
      </c>
      <c r="G603" s="2" t="s">
        <v>7401</v>
      </c>
      <c r="H603" s="2" t="s">
        <v>594</v>
      </c>
      <c r="I603" s="4">
        <v>4</v>
      </c>
      <c r="J603" s="4">
        <v>85</v>
      </c>
      <c r="L603" s="31">
        <v>5.71</v>
      </c>
      <c r="M603" s="32">
        <v>15.6</v>
      </c>
      <c r="N603" s="33">
        <v>0.7</v>
      </c>
    </row>
    <row r="604" spans="1:14" x14ac:dyDescent="0.25">
      <c r="A604" s="30">
        <v>1</v>
      </c>
      <c r="B604" s="2" t="s">
        <v>7398</v>
      </c>
      <c r="C604" s="2" t="s">
        <v>7399</v>
      </c>
      <c r="D604" s="2" t="s">
        <v>6012</v>
      </c>
      <c r="E604" s="5">
        <v>12</v>
      </c>
      <c r="F604" s="2" t="s">
        <v>1849</v>
      </c>
      <c r="G604" s="2" t="s">
        <v>7401</v>
      </c>
      <c r="H604" s="2" t="s">
        <v>595</v>
      </c>
      <c r="I604" s="4">
        <v>672</v>
      </c>
      <c r="J604" s="4">
        <v>0</v>
      </c>
      <c r="L604" s="31">
        <v>56.28</v>
      </c>
      <c r="M604" s="32">
        <v>11.9</v>
      </c>
      <c r="N604" s="33">
        <v>11.9</v>
      </c>
    </row>
    <row r="605" spans="1:14" x14ac:dyDescent="0.25">
      <c r="A605" s="30">
        <v>1</v>
      </c>
      <c r="B605" s="2" t="s">
        <v>7398</v>
      </c>
      <c r="C605" s="2" t="s">
        <v>7399</v>
      </c>
      <c r="D605" s="2" t="s">
        <v>6013</v>
      </c>
      <c r="E605" s="5">
        <v>12</v>
      </c>
      <c r="F605" s="2" t="s">
        <v>1849</v>
      </c>
      <c r="G605" s="2" t="s">
        <v>7401</v>
      </c>
      <c r="H605" s="2" t="s">
        <v>596</v>
      </c>
      <c r="I605" s="4">
        <v>3714</v>
      </c>
      <c r="J605" s="4">
        <v>2550</v>
      </c>
      <c r="L605" s="31">
        <v>442.57</v>
      </c>
      <c r="M605" s="32">
        <v>14.2</v>
      </c>
      <c r="N605" s="33">
        <v>8.4</v>
      </c>
    </row>
    <row r="606" spans="1:14" x14ac:dyDescent="0.25">
      <c r="A606" s="30">
        <v>1</v>
      </c>
      <c r="B606" s="2" t="s">
        <v>7398</v>
      </c>
      <c r="C606" s="2" t="s">
        <v>7399</v>
      </c>
      <c r="D606" s="2" t="s">
        <v>6014</v>
      </c>
      <c r="E606" s="5">
        <v>12</v>
      </c>
      <c r="F606" s="2" t="s">
        <v>1849</v>
      </c>
      <c r="G606" s="2" t="s">
        <v>7401</v>
      </c>
      <c r="H606" s="2" t="s">
        <v>597</v>
      </c>
      <c r="I606" s="4">
        <v>715</v>
      </c>
      <c r="J606" s="4">
        <v>0</v>
      </c>
      <c r="L606" s="31">
        <v>47.14</v>
      </c>
      <c r="M606" s="32">
        <v>15.2</v>
      </c>
      <c r="N606" s="33">
        <v>15.2</v>
      </c>
    </row>
    <row r="607" spans="1:14" x14ac:dyDescent="0.25">
      <c r="A607" s="30">
        <v>1</v>
      </c>
      <c r="B607" s="2" t="s">
        <v>7398</v>
      </c>
      <c r="C607" s="2" t="s">
        <v>7399</v>
      </c>
      <c r="D607" s="2" t="s">
        <v>6015</v>
      </c>
      <c r="E607" s="5">
        <v>12</v>
      </c>
      <c r="F607" s="2" t="s">
        <v>1849</v>
      </c>
      <c r="G607" s="2" t="s">
        <v>7401</v>
      </c>
      <c r="H607" s="2" t="s">
        <v>598</v>
      </c>
      <c r="I607" s="4">
        <v>622</v>
      </c>
      <c r="J607" s="4">
        <v>510</v>
      </c>
      <c r="L607" s="31">
        <v>87.42</v>
      </c>
      <c r="M607" s="32">
        <v>12.9</v>
      </c>
      <c r="N607" s="33">
        <v>7.1</v>
      </c>
    </row>
    <row r="608" spans="1:14" x14ac:dyDescent="0.25">
      <c r="A608" s="30">
        <v>1</v>
      </c>
      <c r="B608" s="2" t="s">
        <v>7398</v>
      </c>
      <c r="C608" s="2" t="s">
        <v>7399</v>
      </c>
      <c r="D608" s="2" t="s">
        <v>6016</v>
      </c>
      <c r="E608" s="5">
        <v>12</v>
      </c>
      <c r="F608" s="2" t="s">
        <v>1849</v>
      </c>
      <c r="G608" s="2" t="s">
        <v>7401</v>
      </c>
      <c r="H608" s="2" t="s">
        <v>599</v>
      </c>
      <c r="I608" s="4">
        <v>1051</v>
      </c>
      <c r="J608" s="4">
        <v>340</v>
      </c>
      <c r="L608" s="31">
        <v>119.71</v>
      </c>
      <c r="M608" s="32">
        <v>11.6</v>
      </c>
      <c r="N608" s="33">
        <v>8.8000000000000007</v>
      </c>
    </row>
    <row r="609" spans="1:14" x14ac:dyDescent="0.25">
      <c r="A609" s="30">
        <v>1</v>
      </c>
      <c r="B609" s="2" t="s">
        <v>7398</v>
      </c>
      <c r="C609" s="2" t="s">
        <v>7399</v>
      </c>
      <c r="D609" s="2" t="s">
        <v>6017</v>
      </c>
      <c r="E609" s="5">
        <v>12</v>
      </c>
      <c r="F609" s="2" t="s">
        <v>1859</v>
      </c>
      <c r="G609" s="2" t="s">
        <v>7403</v>
      </c>
      <c r="H609" s="2" t="s">
        <v>600</v>
      </c>
      <c r="I609" s="4">
        <v>62</v>
      </c>
      <c r="J609" s="4">
        <v>150</v>
      </c>
      <c r="L609" s="31">
        <v>3.71</v>
      </c>
      <c r="M609" s="32">
        <v>57.1</v>
      </c>
      <c r="N609" s="33">
        <v>16.7</v>
      </c>
    </row>
    <row r="610" spans="1:14" x14ac:dyDescent="0.25">
      <c r="A610" s="30">
        <v>1</v>
      </c>
      <c r="B610" s="2" t="s">
        <v>7398</v>
      </c>
      <c r="C610" s="2" t="s">
        <v>7399</v>
      </c>
      <c r="D610" s="2" t="s">
        <v>6018</v>
      </c>
      <c r="E610" s="5">
        <v>12</v>
      </c>
      <c r="F610" s="2" t="s">
        <v>1849</v>
      </c>
      <c r="G610" s="2" t="s">
        <v>7401</v>
      </c>
      <c r="H610" s="2" t="s">
        <v>601</v>
      </c>
      <c r="I610" s="4">
        <v>193</v>
      </c>
      <c r="J610" s="4">
        <v>0</v>
      </c>
      <c r="L610" s="31">
        <v>9.57</v>
      </c>
      <c r="M610" s="32">
        <v>20.2</v>
      </c>
      <c r="N610" s="33">
        <v>20.2</v>
      </c>
    </row>
    <row r="611" spans="1:14" x14ac:dyDescent="0.25">
      <c r="A611" s="30">
        <v>1</v>
      </c>
      <c r="B611" s="2" t="s">
        <v>7398</v>
      </c>
      <c r="C611" s="2" t="s">
        <v>7399</v>
      </c>
      <c r="D611" s="2" t="s">
        <v>6019</v>
      </c>
      <c r="E611" s="5">
        <v>12</v>
      </c>
      <c r="F611" s="2" t="s">
        <v>1849</v>
      </c>
      <c r="G611" s="2" t="s">
        <v>7401</v>
      </c>
      <c r="H611" s="2" t="s">
        <v>602</v>
      </c>
      <c r="I611" s="4">
        <v>174</v>
      </c>
      <c r="J611" s="4">
        <v>0</v>
      </c>
      <c r="L611" s="31">
        <v>10.71</v>
      </c>
      <c r="M611" s="32">
        <v>16.2</v>
      </c>
      <c r="N611" s="33">
        <v>16.2</v>
      </c>
    </row>
    <row r="612" spans="1:14" x14ac:dyDescent="0.25">
      <c r="A612" s="30">
        <v>1</v>
      </c>
      <c r="B612" s="2" t="s">
        <v>7398</v>
      </c>
      <c r="C612" s="2" t="s">
        <v>7399</v>
      </c>
      <c r="D612" s="2" t="s">
        <v>6020</v>
      </c>
      <c r="E612" s="5">
        <v>12</v>
      </c>
      <c r="F612" s="2" t="s">
        <v>1849</v>
      </c>
      <c r="G612" s="2" t="s">
        <v>7401</v>
      </c>
      <c r="H612" s="2" t="s">
        <v>603</v>
      </c>
      <c r="I612" s="4">
        <v>106</v>
      </c>
      <c r="J612" s="4">
        <v>170</v>
      </c>
      <c r="L612" s="31">
        <v>19.850000000000001</v>
      </c>
      <c r="M612" s="32">
        <v>13.9</v>
      </c>
      <c r="N612" s="33">
        <v>5.3</v>
      </c>
    </row>
    <row r="613" spans="1:14" x14ac:dyDescent="0.25">
      <c r="A613" s="30">
        <v>1</v>
      </c>
      <c r="B613" s="2" t="s">
        <v>7398</v>
      </c>
      <c r="C613" s="2" t="s">
        <v>7399</v>
      </c>
      <c r="D613" s="2" t="s">
        <v>6021</v>
      </c>
      <c r="E613" s="5">
        <v>12</v>
      </c>
      <c r="F613" s="2" t="s">
        <v>1849</v>
      </c>
      <c r="G613" s="2" t="s">
        <v>7401</v>
      </c>
      <c r="H613" s="2" t="s">
        <v>604</v>
      </c>
      <c r="I613" s="4">
        <v>484</v>
      </c>
      <c r="J613" s="4">
        <v>0</v>
      </c>
      <c r="L613" s="31">
        <v>37.42</v>
      </c>
      <c r="M613" s="32">
        <v>12.9</v>
      </c>
      <c r="N613" s="33">
        <v>12.9</v>
      </c>
    </row>
    <row r="614" spans="1:14" x14ac:dyDescent="0.25">
      <c r="A614" s="30">
        <v>1</v>
      </c>
      <c r="B614" s="2" t="s">
        <v>7398</v>
      </c>
      <c r="C614" s="2" t="s">
        <v>7399</v>
      </c>
      <c r="D614" s="2" t="s">
        <v>6022</v>
      </c>
      <c r="E614" s="5">
        <v>20</v>
      </c>
      <c r="F614" s="2" t="s">
        <v>1925</v>
      </c>
      <c r="G614" s="2" t="s">
        <v>7409</v>
      </c>
      <c r="H614" s="2" t="s">
        <v>605</v>
      </c>
      <c r="I614" s="4">
        <v>162</v>
      </c>
      <c r="J614" s="4">
        <v>675</v>
      </c>
      <c r="L614" s="31">
        <v>67.709999999999994</v>
      </c>
      <c r="M614" s="32">
        <v>12.4</v>
      </c>
      <c r="N614" s="33">
        <v>2.4</v>
      </c>
    </row>
    <row r="615" spans="1:14" x14ac:dyDescent="0.25">
      <c r="A615" s="30">
        <v>1</v>
      </c>
      <c r="B615" s="2" t="s">
        <v>7398</v>
      </c>
      <c r="C615" s="2" t="s">
        <v>7399</v>
      </c>
      <c r="D615" s="2" t="s">
        <v>6023</v>
      </c>
      <c r="E615" s="5">
        <v>20</v>
      </c>
      <c r="F615" s="2" t="s">
        <v>1924</v>
      </c>
      <c r="G615" s="2" t="s">
        <v>7409</v>
      </c>
      <c r="H615" s="2" t="s">
        <v>606</v>
      </c>
      <c r="I615" s="4">
        <v>213</v>
      </c>
      <c r="J615" s="4">
        <v>246</v>
      </c>
      <c r="L615" s="31">
        <v>30.14</v>
      </c>
      <c r="M615" s="32">
        <v>15.2</v>
      </c>
      <c r="N615" s="33">
        <v>7.1</v>
      </c>
    </row>
    <row r="616" spans="1:14" x14ac:dyDescent="0.25">
      <c r="A616" s="30">
        <v>1</v>
      </c>
      <c r="B616" s="2" t="s">
        <v>7398</v>
      </c>
      <c r="C616" s="2" t="s">
        <v>7399</v>
      </c>
      <c r="D616" s="2" t="s">
        <v>6024</v>
      </c>
      <c r="E616" s="5">
        <v>20</v>
      </c>
      <c r="F616" s="2" t="s">
        <v>1924</v>
      </c>
      <c r="G616" s="2" t="s">
        <v>7409</v>
      </c>
      <c r="H616" s="2" t="s">
        <v>607</v>
      </c>
      <c r="I616" s="4">
        <v>142</v>
      </c>
      <c r="J616" s="4">
        <v>525</v>
      </c>
      <c r="L616" s="31">
        <v>37</v>
      </c>
      <c r="M616" s="32">
        <v>18</v>
      </c>
      <c r="N616" s="33">
        <v>3.8</v>
      </c>
    </row>
    <row r="617" spans="1:14" x14ac:dyDescent="0.25">
      <c r="A617" s="30">
        <v>1</v>
      </c>
      <c r="B617" s="2" t="s">
        <v>7398</v>
      </c>
      <c r="C617" s="2" t="s">
        <v>7399</v>
      </c>
      <c r="D617" s="2" t="s">
        <v>6025</v>
      </c>
      <c r="E617" s="5">
        <v>20</v>
      </c>
      <c r="F617" s="2" t="s">
        <v>1924</v>
      </c>
      <c r="G617" s="2" t="s">
        <v>7409</v>
      </c>
      <c r="H617" s="2" t="s">
        <v>608</v>
      </c>
      <c r="I617" s="4">
        <v>837</v>
      </c>
      <c r="J617" s="4">
        <v>2268</v>
      </c>
      <c r="L617" s="31">
        <v>278.85000000000002</v>
      </c>
      <c r="M617" s="32">
        <v>11.1</v>
      </c>
      <c r="N617" s="33">
        <v>3</v>
      </c>
    </row>
    <row r="618" spans="1:14" x14ac:dyDescent="0.25">
      <c r="A618" s="30">
        <v>1</v>
      </c>
      <c r="B618" s="2" t="s">
        <v>7398</v>
      </c>
      <c r="C618" s="2" t="s">
        <v>7399</v>
      </c>
      <c r="D618" s="2" t="s">
        <v>6026</v>
      </c>
      <c r="E618" s="5">
        <v>20</v>
      </c>
      <c r="F618" s="2" t="s">
        <v>1924</v>
      </c>
      <c r="G618" s="2" t="s">
        <v>7409</v>
      </c>
      <c r="H618" s="2" t="s">
        <v>609</v>
      </c>
      <c r="I618" s="4">
        <v>987</v>
      </c>
      <c r="J618" s="4">
        <v>3240</v>
      </c>
      <c r="L618" s="31">
        <v>362</v>
      </c>
      <c r="M618" s="32">
        <v>11.7</v>
      </c>
      <c r="N618" s="33">
        <v>2.7</v>
      </c>
    </row>
    <row r="619" spans="1:14" x14ac:dyDescent="0.25">
      <c r="A619" s="30">
        <v>1</v>
      </c>
      <c r="B619" s="2" t="s">
        <v>7398</v>
      </c>
      <c r="C619" s="2" t="s">
        <v>7399</v>
      </c>
      <c r="D619" s="2" t="s">
        <v>6027</v>
      </c>
      <c r="E619" s="5">
        <v>20</v>
      </c>
      <c r="F619" s="2" t="s">
        <v>1924</v>
      </c>
      <c r="G619" s="2" t="s">
        <v>7409</v>
      </c>
      <c r="H619" s="2" t="s">
        <v>610</v>
      </c>
      <c r="I619" s="4">
        <v>790</v>
      </c>
      <c r="J619" s="4">
        <v>920</v>
      </c>
      <c r="L619" s="31">
        <v>90.42</v>
      </c>
      <c r="M619" s="32">
        <v>18.899999999999999</v>
      </c>
      <c r="N619" s="33">
        <v>8.6999999999999993</v>
      </c>
    </row>
    <row r="620" spans="1:14" x14ac:dyDescent="0.25">
      <c r="A620" s="30">
        <v>1</v>
      </c>
      <c r="B620" s="2" t="s">
        <v>7398</v>
      </c>
      <c r="C620" s="2" t="s">
        <v>7399</v>
      </c>
      <c r="D620" s="2" t="s">
        <v>6028</v>
      </c>
      <c r="E620" s="5">
        <v>20</v>
      </c>
      <c r="F620" s="2" t="s">
        <v>1924</v>
      </c>
      <c r="G620" s="2" t="s">
        <v>7409</v>
      </c>
      <c r="H620" s="2" t="s">
        <v>611</v>
      </c>
      <c r="I620" s="4">
        <v>414</v>
      </c>
      <c r="J620" s="4">
        <v>414</v>
      </c>
      <c r="L620" s="31">
        <v>43</v>
      </c>
      <c r="M620" s="32">
        <v>19.3</v>
      </c>
      <c r="N620" s="33">
        <v>9.6</v>
      </c>
    </row>
    <row r="621" spans="1:14" x14ac:dyDescent="0.25">
      <c r="A621" s="30">
        <v>1</v>
      </c>
      <c r="B621" s="2" t="s">
        <v>7398</v>
      </c>
      <c r="C621" s="2" t="s">
        <v>7399</v>
      </c>
      <c r="D621" s="2" t="s">
        <v>6029</v>
      </c>
      <c r="E621" s="5">
        <v>20</v>
      </c>
      <c r="F621" s="2" t="s">
        <v>1924</v>
      </c>
      <c r="G621" s="2" t="s">
        <v>7409</v>
      </c>
      <c r="H621" s="2" t="s">
        <v>612</v>
      </c>
      <c r="I621" s="4">
        <v>394</v>
      </c>
      <c r="J621" s="4">
        <v>792</v>
      </c>
      <c r="L621" s="31">
        <v>86.28</v>
      </c>
      <c r="M621" s="32">
        <v>13.7</v>
      </c>
      <c r="N621" s="33">
        <v>4.5999999999999996</v>
      </c>
    </row>
    <row r="622" spans="1:14" x14ac:dyDescent="0.25">
      <c r="A622" s="30">
        <v>1</v>
      </c>
      <c r="B622" s="2" t="s">
        <v>7398</v>
      </c>
      <c r="C622" s="2" t="s">
        <v>7399</v>
      </c>
      <c r="D622" s="2" t="s">
        <v>6030</v>
      </c>
      <c r="E622" s="5">
        <v>20</v>
      </c>
      <c r="F622" s="2" t="s">
        <v>1924</v>
      </c>
      <c r="G622" s="2" t="s">
        <v>7409</v>
      </c>
      <c r="H622" s="2" t="s">
        <v>613</v>
      </c>
      <c r="I622" s="4">
        <v>792</v>
      </c>
      <c r="J622" s="4">
        <v>2052</v>
      </c>
      <c r="L622" s="31">
        <v>233</v>
      </c>
      <c r="M622" s="32">
        <v>12.2</v>
      </c>
      <c r="N622" s="33">
        <v>3.4</v>
      </c>
    </row>
    <row r="623" spans="1:14" x14ac:dyDescent="0.25">
      <c r="A623" s="30">
        <v>1</v>
      </c>
      <c r="B623" s="2" t="s">
        <v>7398</v>
      </c>
      <c r="C623" s="2" t="s">
        <v>7399</v>
      </c>
      <c r="D623" s="2" t="s">
        <v>6031</v>
      </c>
      <c r="E623" s="5">
        <v>20</v>
      </c>
      <c r="F623" s="2" t="s">
        <v>1924</v>
      </c>
      <c r="G623" s="2" t="s">
        <v>7409</v>
      </c>
      <c r="H623" s="2" t="s">
        <v>614</v>
      </c>
      <c r="I623" s="4">
        <v>179</v>
      </c>
      <c r="J623" s="4">
        <v>684</v>
      </c>
      <c r="L623" s="31">
        <v>61.85</v>
      </c>
      <c r="M623" s="32">
        <v>14</v>
      </c>
      <c r="N623" s="33">
        <v>2.9</v>
      </c>
    </row>
    <row r="624" spans="1:14" x14ac:dyDescent="0.25">
      <c r="A624" s="30">
        <v>1</v>
      </c>
      <c r="B624" s="2" t="s">
        <v>7398</v>
      </c>
      <c r="C624" s="2" t="s">
        <v>7399</v>
      </c>
      <c r="D624" s="2" t="s">
        <v>6032</v>
      </c>
      <c r="E624" s="5">
        <v>20</v>
      </c>
      <c r="F624" s="2" t="s">
        <v>1924</v>
      </c>
      <c r="G624" s="2" t="s">
        <v>7409</v>
      </c>
      <c r="H624" s="2" t="s">
        <v>615</v>
      </c>
      <c r="I624" s="4">
        <v>516</v>
      </c>
      <c r="J624" s="4">
        <v>936</v>
      </c>
      <c r="L624" s="31">
        <v>97</v>
      </c>
      <c r="M624" s="32">
        <v>15</v>
      </c>
      <c r="N624" s="33">
        <v>5.3</v>
      </c>
    </row>
    <row r="625" spans="1:14" x14ac:dyDescent="0.25">
      <c r="A625" s="30">
        <v>1</v>
      </c>
      <c r="B625" s="2" t="s">
        <v>7398</v>
      </c>
      <c r="C625" s="2" t="s">
        <v>7399</v>
      </c>
      <c r="D625" s="2" t="s">
        <v>6033</v>
      </c>
      <c r="E625" s="5">
        <v>20</v>
      </c>
      <c r="F625" s="2" t="s">
        <v>1924</v>
      </c>
      <c r="G625" s="2" t="s">
        <v>7409</v>
      </c>
      <c r="H625" s="2" t="s">
        <v>616</v>
      </c>
      <c r="I625" s="4">
        <v>1475</v>
      </c>
      <c r="J625" s="4">
        <v>2625</v>
      </c>
      <c r="L625" s="31">
        <v>353.85</v>
      </c>
      <c r="M625" s="32">
        <v>11.6</v>
      </c>
      <c r="N625" s="33">
        <v>4.2</v>
      </c>
    </row>
    <row r="626" spans="1:14" x14ac:dyDescent="0.25">
      <c r="A626" s="30">
        <v>1</v>
      </c>
      <c r="B626" s="2" t="s">
        <v>7398</v>
      </c>
      <c r="C626" s="2" t="s">
        <v>7399</v>
      </c>
      <c r="D626" s="2" t="s">
        <v>6034</v>
      </c>
      <c r="E626" s="5">
        <v>20</v>
      </c>
      <c r="F626" s="2" t="s">
        <v>1925</v>
      </c>
      <c r="G626" s="2" t="s">
        <v>7409</v>
      </c>
      <c r="H626" s="2" t="s">
        <v>617</v>
      </c>
      <c r="I626" s="4">
        <v>217</v>
      </c>
      <c r="J626" s="4">
        <v>285</v>
      </c>
      <c r="L626" s="31">
        <v>33.42</v>
      </c>
      <c r="M626" s="32">
        <v>15</v>
      </c>
      <c r="N626" s="33">
        <v>6.5</v>
      </c>
    </row>
    <row r="627" spans="1:14" x14ac:dyDescent="0.25">
      <c r="A627" s="30">
        <v>1</v>
      </c>
      <c r="B627" s="2" t="s">
        <v>7398</v>
      </c>
      <c r="C627" s="2" t="s">
        <v>7399</v>
      </c>
      <c r="D627" s="2" t="s">
        <v>6035</v>
      </c>
      <c r="E627" s="5">
        <v>20</v>
      </c>
      <c r="F627" s="2" t="s">
        <v>1924</v>
      </c>
      <c r="G627" s="2" t="s">
        <v>7409</v>
      </c>
      <c r="H627" s="2" t="s">
        <v>618</v>
      </c>
      <c r="I627" s="4">
        <v>983</v>
      </c>
      <c r="J627" s="4">
        <v>2352</v>
      </c>
      <c r="L627" s="31">
        <v>296.57</v>
      </c>
      <c r="M627" s="32">
        <v>11.2</v>
      </c>
      <c r="N627" s="33">
        <v>3.3</v>
      </c>
    </row>
    <row r="628" spans="1:14" x14ac:dyDescent="0.25">
      <c r="A628" s="30">
        <v>1</v>
      </c>
      <c r="B628" s="2" t="s">
        <v>7398</v>
      </c>
      <c r="C628" s="2" t="s">
        <v>7399</v>
      </c>
      <c r="D628" s="2" t="s">
        <v>6036</v>
      </c>
      <c r="E628" s="5">
        <v>20</v>
      </c>
      <c r="F628" s="2" t="s">
        <v>1849</v>
      </c>
      <c r="G628" s="2" t="s">
        <v>7409</v>
      </c>
      <c r="H628" s="2" t="s">
        <v>619</v>
      </c>
      <c r="I628" s="4">
        <v>911</v>
      </c>
      <c r="J628" s="4">
        <v>1260</v>
      </c>
      <c r="L628" s="31">
        <v>145.71</v>
      </c>
      <c r="M628" s="32">
        <v>14.9</v>
      </c>
      <c r="N628" s="33">
        <v>6.3</v>
      </c>
    </row>
    <row r="629" spans="1:14" x14ac:dyDescent="0.25">
      <c r="A629" s="30">
        <v>1</v>
      </c>
      <c r="B629" s="2" t="s">
        <v>7398</v>
      </c>
      <c r="C629" s="2" t="s">
        <v>7399</v>
      </c>
      <c r="D629" s="2" t="s">
        <v>6037</v>
      </c>
      <c r="E629" s="5">
        <v>20</v>
      </c>
      <c r="F629" s="2" t="s">
        <v>1849</v>
      </c>
      <c r="G629" s="2" t="s">
        <v>7409</v>
      </c>
      <c r="H629" s="2" t="s">
        <v>620</v>
      </c>
      <c r="I629" s="4">
        <v>210</v>
      </c>
      <c r="J629" s="4">
        <v>200</v>
      </c>
      <c r="L629" s="31">
        <v>28.57</v>
      </c>
      <c r="M629" s="32">
        <v>14.4</v>
      </c>
      <c r="N629" s="33">
        <v>7.4</v>
      </c>
    </row>
    <row r="630" spans="1:14" x14ac:dyDescent="0.25">
      <c r="A630" s="30">
        <v>1</v>
      </c>
      <c r="B630" s="2" t="s">
        <v>7398</v>
      </c>
      <c r="C630" s="2" t="s">
        <v>7399</v>
      </c>
      <c r="D630" s="2" t="s">
        <v>6038</v>
      </c>
      <c r="E630" s="5">
        <v>20</v>
      </c>
      <c r="F630" s="2" t="s">
        <v>1849</v>
      </c>
      <c r="G630" s="2" t="s">
        <v>7409</v>
      </c>
      <c r="H630" s="2" t="s">
        <v>621</v>
      </c>
      <c r="I630" s="4">
        <v>300</v>
      </c>
      <c r="J630" s="4">
        <v>360</v>
      </c>
      <c r="L630" s="31">
        <v>39.57</v>
      </c>
      <c r="M630" s="32">
        <v>16.7</v>
      </c>
      <c r="N630" s="33">
        <v>7.6</v>
      </c>
    </row>
    <row r="631" spans="1:14" x14ac:dyDescent="0.25">
      <c r="A631" s="30">
        <v>1</v>
      </c>
      <c r="B631" s="2" t="s">
        <v>7398</v>
      </c>
      <c r="C631" s="2" t="s">
        <v>7399</v>
      </c>
      <c r="D631" s="2" t="s">
        <v>6039</v>
      </c>
      <c r="E631" s="5">
        <v>20</v>
      </c>
      <c r="F631" s="2" t="s">
        <v>1849</v>
      </c>
      <c r="G631" s="2" t="s">
        <v>7409</v>
      </c>
      <c r="H631" s="2" t="s">
        <v>622</v>
      </c>
      <c r="I631" s="4">
        <v>247</v>
      </c>
      <c r="J631" s="4">
        <v>350</v>
      </c>
      <c r="L631" s="31">
        <v>42.57</v>
      </c>
      <c r="M631" s="32">
        <v>14</v>
      </c>
      <c r="N631" s="33">
        <v>5.8</v>
      </c>
    </row>
    <row r="632" spans="1:14" x14ac:dyDescent="0.25">
      <c r="A632" s="30">
        <v>1</v>
      </c>
      <c r="B632" s="2" t="s">
        <v>7398</v>
      </c>
      <c r="C632" s="2" t="s">
        <v>7399</v>
      </c>
      <c r="D632" s="2" t="s">
        <v>6040</v>
      </c>
      <c r="E632" s="5">
        <v>12</v>
      </c>
      <c r="F632" s="2" t="s">
        <v>1839</v>
      </c>
      <c r="G632" s="2" t="s">
        <v>7414</v>
      </c>
      <c r="H632" s="2" t="s">
        <v>623</v>
      </c>
      <c r="I632" s="4">
        <v>46</v>
      </c>
      <c r="J632" s="4">
        <v>56</v>
      </c>
      <c r="L632" s="31">
        <v>7</v>
      </c>
      <c r="M632" s="32">
        <v>14.6</v>
      </c>
      <c r="N632" s="33">
        <v>6.6</v>
      </c>
    </row>
    <row r="633" spans="1:14" x14ac:dyDescent="0.25">
      <c r="A633" s="30">
        <v>1</v>
      </c>
      <c r="B633" s="2" t="s">
        <v>7398</v>
      </c>
      <c r="C633" s="2" t="s">
        <v>7399</v>
      </c>
      <c r="D633" s="2" t="s">
        <v>6041</v>
      </c>
      <c r="E633" s="5">
        <v>12</v>
      </c>
      <c r="F633" s="2" t="s">
        <v>1839</v>
      </c>
      <c r="G633" s="2" t="s">
        <v>7414</v>
      </c>
      <c r="H633" s="2" t="s">
        <v>624</v>
      </c>
      <c r="I633" s="4">
        <v>52</v>
      </c>
      <c r="J633" s="4">
        <v>0</v>
      </c>
      <c r="L633" s="31">
        <v>1.71</v>
      </c>
      <c r="M633" s="32">
        <v>30.4</v>
      </c>
      <c r="N633" s="33">
        <v>30.4</v>
      </c>
    </row>
    <row r="634" spans="1:14" x14ac:dyDescent="0.25">
      <c r="A634" s="30">
        <v>1</v>
      </c>
      <c r="B634" s="2" t="s">
        <v>7398</v>
      </c>
      <c r="C634" s="2" t="s">
        <v>7399</v>
      </c>
      <c r="D634" s="2" t="s">
        <v>6042</v>
      </c>
      <c r="E634" s="5">
        <v>15</v>
      </c>
      <c r="F634" s="2" t="s">
        <v>1926</v>
      </c>
      <c r="G634" s="2" t="s">
        <v>7410</v>
      </c>
      <c r="H634" s="2" t="s">
        <v>625</v>
      </c>
      <c r="I634" s="4">
        <v>154</v>
      </c>
      <c r="J634" s="4">
        <v>180</v>
      </c>
      <c r="L634" s="31">
        <v>18.57</v>
      </c>
      <c r="M634" s="32">
        <v>18</v>
      </c>
      <c r="N634" s="33">
        <v>8.3000000000000007</v>
      </c>
    </row>
    <row r="635" spans="1:14" x14ac:dyDescent="0.25">
      <c r="A635" s="30">
        <v>1</v>
      </c>
      <c r="B635" s="2" t="s">
        <v>7398</v>
      </c>
      <c r="C635" s="2" t="s">
        <v>7399</v>
      </c>
      <c r="D635" s="2" t="s">
        <v>6043</v>
      </c>
      <c r="E635" s="5">
        <v>10</v>
      </c>
      <c r="F635" s="2" t="s">
        <v>1849</v>
      </c>
      <c r="G635" s="2" t="s">
        <v>7410</v>
      </c>
      <c r="H635" s="2" t="s">
        <v>626</v>
      </c>
      <c r="I635" s="4">
        <v>779</v>
      </c>
      <c r="J635" s="4">
        <v>864</v>
      </c>
      <c r="L635" s="31">
        <v>109.57</v>
      </c>
      <c r="M635" s="32">
        <v>15</v>
      </c>
      <c r="N635" s="33">
        <v>7.1</v>
      </c>
    </row>
    <row r="636" spans="1:14" x14ac:dyDescent="0.25">
      <c r="A636" s="30">
        <v>1</v>
      </c>
      <c r="B636" s="2" t="s">
        <v>7398</v>
      </c>
      <c r="C636" s="2" t="s">
        <v>7399</v>
      </c>
      <c r="D636" s="2" t="s">
        <v>6044</v>
      </c>
      <c r="E636" s="5">
        <v>20</v>
      </c>
      <c r="F636" s="2" t="s">
        <v>1927</v>
      </c>
      <c r="G636" s="2" t="s">
        <v>7409</v>
      </c>
      <c r="H636" s="2" t="s">
        <v>627</v>
      </c>
      <c r="I636" s="4">
        <v>372</v>
      </c>
      <c r="J636" s="4">
        <v>810</v>
      </c>
      <c r="L636" s="31">
        <v>105.71</v>
      </c>
      <c r="M636" s="32">
        <v>11.2</v>
      </c>
      <c r="N636" s="33">
        <v>3.5</v>
      </c>
    </row>
    <row r="637" spans="1:14" x14ac:dyDescent="0.25">
      <c r="A637" s="30">
        <v>1</v>
      </c>
      <c r="B637" s="2" t="s">
        <v>7398</v>
      </c>
      <c r="C637" s="2" t="s">
        <v>7399</v>
      </c>
      <c r="D637" s="2" t="s">
        <v>6045</v>
      </c>
      <c r="E637" s="5">
        <v>12</v>
      </c>
      <c r="F637" s="2" t="s">
        <v>1928</v>
      </c>
      <c r="G637" s="2" t="s">
        <v>7410</v>
      </c>
      <c r="H637" s="2" t="s">
        <v>628</v>
      </c>
      <c r="I637" s="4">
        <v>46</v>
      </c>
      <c r="J637" s="4">
        <v>32</v>
      </c>
      <c r="L637" s="31">
        <v>3</v>
      </c>
      <c r="M637" s="32">
        <v>26</v>
      </c>
      <c r="N637" s="33">
        <v>15.3</v>
      </c>
    </row>
    <row r="638" spans="1:14" x14ac:dyDescent="0.25">
      <c r="A638" s="30">
        <v>1</v>
      </c>
      <c r="B638" s="2" t="s">
        <v>7398</v>
      </c>
      <c r="C638" s="2" t="s">
        <v>7399</v>
      </c>
      <c r="D638" s="2" t="s">
        <v>6046</v>
      </c>
      <c r="E638" s="5">
        <v>10</v>
      </c>
      <c r="F638" s="2" t="s">
        <v>1929</v>
      </c>
      <c r="G638" s="2" t="s">
        <v>7410</v>
      </c>
      <c r="H638" s="2" t="s">
        <v>629</v>
      </c>
      <c r="I638" s="4">
        <v>229</v>
      </c>
      <c r="J638" s="4">
        <v>288</v>
      </c>
      <c r="L638" s="31">
        <v>30.57</v>
      </c>
      <c r="M638" s="32">
        <v>16.899999999999999</v>
      </c>
      <c r="N638" s="33">
        <v>7.5</v>
      </c>
    </row>
    <row r="639" spans="1:14" x14ac:dyDescent="0.25">
      <c r="A639" s="30">
        <v>1</v>
      </c>
      <c r="B639" s="2" t="s">
        <v>7398</v>
      </c>
      <c r="C639" s="2" t="s">
        <v>7399</v>
      </c>
      <c r="D639" s="2" t="s">
        <v>6047</v>
      </c>
      <c r="E639" s="5">
        <v>12</v>
      </c>
      <c r="F639" s="2" t="s">
        <v>1839</v>
      </c>
      <c r="G639" s="2" t="s">
        <v>7414</v>
      </c>
      <c r="H639" s="2" t="s">
        <v>630</v>
      </c>
      <c r="I639" s="4">
        <v>62</v>
      </c>
      <c r="J639" s="4">
        <v>28</v>
      </c>
      <c r="L639" s="31">
        <v>4.28</v>
      </c>
      <c r="M639" s="32">
        <v>21</v>
      </c>
      <c r="N639" s="33">
        <v>14.5</v>
      </c>
    </row>
    <row r="640" spans="1:14" x14ac:dyDescent="0.25">
      <c r="A640" s="30">
        <v>1</v>
      </c>
      <c r="B640" s="2" t="s">
        <v>7398</v>
      </c>
      <c r="C640" s="2" t="s">
        <v>7399</v>
      </c>
      <c r="D640" s="2" t="s">
        <v>6048</v>
      </c>
      <c r="E640" s="5">
        <v>12</v>
      </c>
      <c r="F640" s="2" t="s">
        <v>1839</v>
      </c>
      <c r="G640" s="2" t="s">
        <v>7414</v>
      </c>
      <c r="H640" s="2" t="s">
        <v>631</v>
      </c>
      <c r="I640" s="4">
        <v>52</v>
      </c>
      <c r="J640" s="4">
        <v>0</v>
      </c>
      <c r="L640" s="31">
        <v>1</v>
      </c>
      <c r="M640" s="32">
        <v>52</v>
      </c>
      <c r="N640" s="33">
        <v>52</v>
      </c>
    </row>
    <row r="641" spans="1:14" x14ac:dyDescent="0.25">
      <c r="A641" s="30">
        <v>1</v>
      </c>
      <c r="B641" s="2" t="s">
        <v>7398</v>
      </c>
      <c r="C641" s="2" t="s">
        <v>7399</v>
      </c>
      <c r="D641" s="2" t="s">
        <v>6049</v>
      </c>
      <c r="E641" s="5">
        <v>12</v>
      </c>
      <c r="F641" s="2" t="s">
        <v>1882</v>
      </c>
      <c r="G641" s="2" t="s">
        <v>7414</v>
      </c>
      <c r="H641" s="2" t="s">
        <v>632</v>
      </c>
      <c r="I641" s="4">
        <v>86</v>
      </c>
      <c r="J641" s="4">
        <v>0</v>
      </c>
      <c r="L641" s="31">
        <v>3</v>
      </c>
      <c r="M641" s="32">
        <v>28.7</v>
      </c>
      <c r="N641" s="33">
        <v>28.7</v>
      </c>
    </row>
    <row r="642" spans="1:14" x14ac:dyDescent="0.25">
      <c r="A642" s="30">
        <v>1</v>
      </c>
      <c r="B642" s="2" t="s">
        <v>7398</v>
      </c>
      <c r="C642" s="2" t="s">
        <v>7399</v>
      </c>
      <c r="D642" s="2" t="s">
        <v>6050</v>
      </c>
      <c r="E642" s="5">
        <v>20</v>
      </c>
      <c r="F642" s="2" t="s">
        <v>1870</v>
      </c>
      <c r="G642" s="2" t="s">
        <v>7409</v>
      </c>
      <c r="H642" s="2" t="s">
        <v>633</v>
      </c>
      <c r="I642" s="4">
        <v>1195</v>
      </c>
      <c r="J642" s="4">
        <v>960</v>
      </c>
      <c r="L642" s="31">
        <v>127.71</v>
      </c>
      <c r="M642" s="32">
        <v>16.899999999999999</v>
      </c>
      <c r="N642" s="33">
        <v>9.4</v>
      </c>
    </row>
    <row r="643" spans="1:14" x14ac:dyDescent="0.25">
      <c r="A643" s="30">
        <v>1</v>
      </c>
      <c r="B643" s="2" t="s">
        <v>7398</v>
      </c>
      <c r="C643" s="2" t="s">
        <v>7399</v>
      </c>
      <c r="D643" s="2" t="s">
        <v>6051</v>
      </c>
      <c r="E643" s="5">
        <v>12</v>
      </c>
      <c r="F643" s="2" t="s">
        <v>1839</v>
      </c>
      <c r="G643" s="2" t="s">
        <v>7414</v>
      </c>
      <c r="H643" s="2" t="s">
        <v>634</v>
      </c>
      <c r="I643" s="4">
        <v>58</v>
      </c>
      <c r="J643" s="4">
        <v>0</v>
      </c>
      <c r="L643" s="31">
        <v>1.42</v>
      </c>
      <c r="M643" s="32">
        <v>40.799999999999997</v>
      </c>
      <c r="N643" s="33">
        <v>40.799999999999997</v>
      </c>
    </row>
    <row r="644" spans="1:14" x14ac:dyDescent="0.25">
      <c r="A644" s="30">
        <v>1</v>
      </c>
      <c r="B644" s="2" t="s">
        <v>7398</v>
      </c>
      <c r="C644" s="2" t="s">
        <v>7399</v>
      </c>
      <c r="D644" s="2" t="s">
        <v>6052</v>
      </c>
      <c r="E644" s="5">
        <v>12</v>
      </c>
      <c r="F644" s="2" t="s">
        <v>1879</v>
      </c>
      <c r="G644" s="2" t="s">
        <v>7401</v>
      </c>
      <c r="H644" s="2" t="s">
        <v>635</v>
      </c>
      <c r="I644" s="4">
        <v>1</v>
      </c>
      <c r="J644" s="4">
        <v>56</v>
      </c>
      <c r="L644" s="31">
        <v>2.14</v>
      </c>
      <c r="M644" s="32">
        <v>26.6</v>
      </c>
      <c r="N644" s="33">
        <v>0.5</v>
      </c>
    </row>
    <row r="645" spans="1:14" x14ac:dyDescent="0.25">
      <c r="A645" s="30">
        <v>1</v>
      </c>
      <c r="B645" s="2" t="s">
        <v>7398</v>
      </c>
      <c r="C645" s="2" t="s">
        <v>7399</v>
      </c>
      <c r="D645" s="2" t="s">
        <v>6053</v>
      </c>
      <c r="E645" s="5">
        <v>20</v>
      </c>
      <c r="F645" s="2" t="s">
        <v>1866</v>
      </c>
      <c r="G645" s="2" t="s">
        <v>7409</v>
      </c>
      <c r="H645" s="2" t="s">
        <v>7415</v>
      </c>
      <c r="I645" s="4">
        <v>0</v>
      </c>
      <c r="J645" s="4">
        <v>336</v>
      </c>
      <c r="L645" s="31">
        <v>0</v>
      </c>
      <c r="M645" s="32">
        <v>0</v>
      </c>
      <c r="N645" s="33">
        <v>9999</v>
      </c>
    </row>
    <row r="646" spans="1:14" x14ac:dyDescent="0.25">
      <c r="A646" s="30">
        <v>1</v>
      </c>
      <c r="B646" s="2" t="s">
        <v>7398</v>
      </c>
      <c r="C646" s="2" t="s">
        <v>7399</v>
      </c>
      <c r="D646" s="2" t="s">
        <v>6054</v>
      </c>
      <c r="E646" s="5">
        <v>6</v>
      </c>
      <c r="F646" s="2" t="s">
        <v>5389</v>
      </c>
      <c r="G646" s="2" t="s">
        <v>7405</v>
      </c>
      <c r="H646" s="2" t="s">
        <v>5390</v>
      </c>
      <c r="I646" s="4">
        <v>70</v>
      </c>
      <c r="J646" s="4">
        <v>144</v>
      </c>
      <c r="L646" s="31">
        <v>10.42</v>
      </c>
      <c r="M646" s="32">
        <v>20.5</v>
      </c>
      <c r="N646" s="33">
        <v>6.7</v>
      </c>
    </row>
    <row r="647" spans="1:14" x14ac:dyDescent="0.25">
      <c r="A647" s="30">
        <v>1</v>
      </c>
      <c r="B647" s="2" t="s">
        <v>7398</v>
      </c>
      <c r="C647" s="2" t="s">
        <v>7399</v>
      </c>
      <c r="D647" s="2" t="s">
        <v>6055</v>
      </c>
      <c r="E647" s="5">
        <v>12</v>
      </c>
      <c r="F647" s="2" t="s">
        <v>1910</v>
      </c>
      <c r="G647" s="2" t="s">
        <v>7403</v>
      </c>
      <c r="H647" s="2" t="s">
        <v>636</v>
      </c>
      <c r="I647" s="4">
        <v>70</v>
      </c>
      <c r="J647" s="4">
        <v>224</v>
      </c>
      <c r="L647" s="31">
        <v>5.71</v>
      </c>
      <c r="M647" s="32">
        <v>51.5</v>
      </c>
      <c r="N647" s="33">
        <v>12.3</v>
      </c>
    </row>
    <row r="648" spans="1:14" x14ac:dyDescent="0.25">
      <c r="A648" s="30">
        <v>1</v>
      </c>
      <c r="B648" s="2" t="s">
        <v>7398</v>
      </c>
      <c r="C648" s="2" t="s">
        <v>7399</v>
      </c>
      <c r="D648" s="2" t="s">
        <v>6056</v>
      </c>
      <c r="E648" s="5">
        <v>12</v>
      </c>
      <c r="F648" s="2" t="s">
        <v>1910</v>
      </c>
      <c r="G648" s="2" t="s">
        <v>7403</v>
      </c>
      <c r="H648" s="2" t="s">
        <v>637</v>
      </c>
      <c r="I648" s="4">
        <v>41</v>
      </c>
      <c r="J648" s="4">
        <v>224</v>
      </c>
      <c r="L648" s="31">
        <v>0.85</v>
      </c>
      <c r="M648" s="32">
        <v>311.8</v>
      </c>
      <c r="N648" s="33">
        <v>48.2</v>
      </c>
    </row>
    <row r="649" spans="1:14" x14ac:dyDescent="0.25">
      <c r="A649" s="30">
        <v>1</v>
      </c>
      <c r="B649" s="2" t="s">
        <v>7398</v>
      </c>
      <c r="C649" s="2" t="s">
        <v>7399</v>
      </c>
      <c r="D649" s="2" t="s">
        <v>6057</v>
      </c>
      <c r="E649" s="5">
        <v>20</v>
      </c>
      <c r="F649" s="2" t="s">
        <v>1930</v>
      </c>
      <c r="G649" s="2" t="s">
        <v>7409</v>
      </c>
      <c r="H649" s="2" t="s">
        <v>638</v>
      </c>
      <c r="I649" s="4">
        <v>443</v>
      </c>
      <c r="J649" s="4">
        <v>1360</v>
      </c>
      <c r="L649" s="31">
        <v>112.85</v>
      </c>
      <c r="M649" s="32">
        <v>16</v>
      </c>
      <c r="N649" s="33">
        <v>3.9</v>
      </c>
    </row>
    <row r="650" spans="1:14" x14ac:dyDescent="0.25">
      <c r="A650" s="30">
        <v>1</v>
      </c>
      <c r="B650" s="2" t="s">
        <v>7398</v>
      </c>
      <c r="C650" s="2" t="s">
        <v>7399</v>
      </c>
      <c r="D650" s="2" t="s">
        <v>6058</v>
      </c>
      <c r="E650" s="5">
        <v>24</v>
      </c>
      <c r="F650" s="2" t="s">
        <v>1849</v>
      </c>
      <c r="G650" s="2" t="s">
        <v>7416</v>
      </c>
      <c r="H650" s="2" t="s">
        <v>639</v>
      </c>
      <c r="I650" s="4">
        <v>885</v>
      </c>
      <c r="J650" s="4">
        <v>1400</v>
      </c>
      <c r="L650" s="31">
        <v>21</v>
      </c>
      <c r="M650" s="32">
        <v>108.8</v>
      </c>
      <c r="N650" s="33">
        <v>42.1</v>
      </c>
    </row>
    <row r="651" spans="1:14" x14ac:dyDescent="0.25">
      <c r="A651" s="30">
        <v>1</v>
      </c>
      <c r="B651" s="2" t="s">
        <v>7398</v>
      </c>
      <c r="C651" s="2" t="s">
        <v>7399</v>
      </c>
      <c r="D651" s="2" t="s">
        <v>6059</v>
      </c>
      <c r="E651" s="5">
        <v>24</v>
      </c>
      <c r="F651" s="2" t="s">
        <v>1849</v>
      </c>
      <c r="G651" s="2" t="s">
        <v>7416</v>
      </c>
      <c r="H651" s="2" t="s">
        <v>640</v>
      </c>
      <c r="I651" s="4">
        <v>2004</v>
      </c>
      <c r="J651" s="4">
        <v>8650</v>
      </c>
      <c r="L651" s="31">
        <v>165.14</v>
      </c>
      <c r="M651" s="32">
        <v>64.5</v>
      </c>
      <c r="N651" s="33">
        <v>12.1</v>
      </c>
    </row>
    <row r="652" spans="1:14" x14ac:dyDescent="0.25">
      <c r="A652" s="30">
        <v>1</v>
      </c>
      <c r="B652" s="2" t="s">
        <v>7398</v>
      </c>
      <c r="C652" s="2" t="s">
        <v>7399</v>
      </c>
      <c r="D652" s="2" t="s">
        <v>6060</v>
      </c>
      <c r="E652" s="5">
        <v>25</v>
      </c>
      <c r="F652" s="2" t="s">
        <v>1869</v>
      </c>
      <c r="G652" s="2" t="s">
        <v>7416</v>
      </c>
      <c r="H652" s="2" t="s">
        <v>641</v>
      </c>
      <c r="I652" s="4">
        <v>3111</v>
      </c>
      <c r="J652" s="4">
        <v>4400</v>
      </c>
      <c r="L652" s="31">
        <v>46.57</v>
      </c>
      <c r="M652" s="32">
        <v>161.30000000000001</v>
      </c>
      <c r="N652" s="33">
        <v>66.8</v>
      </c>
    </row>
    <row r="653" spans="1:14" x14ac:dyDescent="0.25">
      <c r="A653" s="30">
        <v>1</v>
      </c>
      <c r="B653" s="2" t="s">
        <v>7398</v>
      </c>
      <c r="C653" s="2" t="s">
        <v>7399</v>
      </c>
      <c r="D653" s="2" t="s">
        <v>6061</v>
      </c>
      <c r="E653" s="5">
        <v>12</v>
      </c>
      <c r="F653" s="2" t="s">
        <v>1876</v>
      </c>
      <c r="G653" s="2" t="s">
        <v>7405</v>
      </c>
      <c r="H653" s="2" t="s">
        <v>642</v>
      </c>
      <c r="I653" s="4">
        <v>107</v>
      </c>
      <c r="J653" s="4">
        <v>252</v>
      </c>
      <c r="L653" s="31">
        <v>7.14</v>
      </c>
      <c r="M653" s="32">
        <v>50.3</v>
      </c>
      <c r="N653" s="33">
        <v>15</v>
      </c>
    </row>
    <row r="654" spans="1:14" x14ac:dyDescent="0.25">
      <c r="A654" s="30">
        <v>1</v>
      </c>
      <c r="B654" s="2" t="s">
        <v>7398</v>
      </c>
      <c r="C654" s="2" t="s">
        <v>7399</v>
      </c>
      <c r="D654" s="2" t="s">
        <v>6062</v>
      </c>
      <c r="E654" s="5">
        <v>12</v>
      </c>
      <c r="F654" s="2" t="s">
        <v>1910</v>
      </c>
      <c r="G654" s="2" t="s">
        <v>7403</v>
      </c>
      <c r="H654" s="2" t="s">
        <v>643</v>
      </c>
      <c r="I654" s="4">
        <v>531</v>
      </c>
      <c r="J654" s="4">
        <v>0</v>
      </c>
      <c r="L654" s="31">
        <v>2.2799999999999998</v>
      </c>
      <c r="M654" s="32">
        <v>232.9</v>
      </c>
      <c r="N654" s="33">
        <v>232.9</v>
      </c>
    </row>
    <row r="655" spans="1:14" x14ac:dyDescent="0.25">
      <c r="A655" s="30">
        <v>1</v>
      </c>
      <c r="B655" s="2" t="s">
        <v>7398</v>
      </c>
      <c r="C655" s="2" t="s">
        <v>7399</v>
      </c>
      <c r="D655" s="2" t="s">
        <v>6063</v>
      </c>
      <c r="E655" s="5">
        <v>12</v>
      </c>
      <c r="F655" s="2" t="s">
        <v>1910</v>
      </c>
      <c r="G655" s="2" t="s">
        <v>7403</v>
      </c>
      <c r="H655" s="2" t="s">
        <v>644</v>
      </c>
      <c r="I655" s="4">
        <v>0</v>
      </c>
      <c r="J655" s="4">
        <v>56</v>
      </c>
      <c r="L655" s="31">
        <v>1.85</v>
      </c>
      <c r="M655" s="32">
        <v>30.3</v>
      </c>
      <c r="N655" s="33">
        <v>0</v>
      </c>
    </row>
    <row r="656" spans="1:14" x14ac:dyDescent="0.25">
      <c r="A656" s="30">
        <v>1</v>
      </c>
      <c r="B656" s="2" t="s">
        <v>7398</v>
      </c>
      <c r="C656" s="2" t="s">
        <v>7399</v>
      </c>
      <c r="D656" s="2" t="s">
        <v>6064</v>
      </c>
      <c r="E656" s="5">
        <v>12</v>
      </c>
      <c r="F656" s="2" t="s">
        <v>1910</v>
      </c>
      <c r="G656" s="2" t="s">
        <v>7403</v>
      </c>
      <c r="H656" s="2" t="s">
        <v>645</v>
      </c>
      <c r="I656" s="4">
        <v>39</v>
      </c>
      <c r="J656" s="4">
        <v>112</v>
      </c>
      <c r="L656" s="31">
        <v>0.71</v>
      </c>
      <c r="M656" s="32">
        <v>212.7</v>
      </c>
      <c r="N656" s="33">
        <v>54.9</v>
      </c>
    </row>
    <row r="657" spans="1:14" x14ac:dyDescent="0.25">
      <c r="A657" s="30">
        <v>1</v>
      </c>
      <c r="B657" s="2" t="s">
        <v>7398</v>
      </c>
      <c r="C657" s="2" t="s">
        <v>7399</v>
      </c>
      <c r="D657" s="2" t="s">
        <v>6065</v>
      </c>
      <c r="E657" s="5">
        <v>12</v>
      </c>
      <c r="F657" s="2" t="s">
        <v>1910</v>
      </c>
      <c r="G657" s="2" t="s">
        <v>7403</v>
      </c>
      <c r="H657" s="2" t="s">
        <v>646</v>
      </c>
      <c r="I657" s="4">
        <v>21</v>
      </c>
      <c r="J657" s="4">
        <v>112</v>
      </c>
      <c r="L657" s="31">
        <v>0.42</v>
      </c>
      <c r="M657" s="32">
        <v>316.7</v>
      </c>
      <c r="N657" s="33">
        <v>50</v>
      </c>
    </row>
    <row r="658" spans="1:14" x14ac:dyDescent="0.25">
      <c r="A658" s="30">
        <v>1</v>
      </c>
      <c r="B658" s="2" t="s">
        <v>7398</v>
      </c>
      <c r="C658" s="2" t="s">
        <v>7399</v>
      </c>
      <c r="D658" s="2" t="s">
        <v>6066</v>
      </c>
      <c r="E658" s="5">
        <v>12</v>
      </c>
      <c r="F658" s="2" t="s">
        <v>1910</v>
      </c>
      <c r="G658" s="2" t="s">
        <v>7403</v>
      </c>
      <c r="H658" s="2" t="s">
        <v>647</v>
      </c>
      <c r="I658" s="4">
        <v>62</v>
      </c>
      <c r="J658" s="4">
        <v>112</v>
      </c>
      <c r="L658" s="31">
        <v>0.85</v>
      </c>
      <c r="M658" s="32">
        <v>204.7</v>
      </c>
      <c r="N658" s="33">
        <v>72.900000000000006</v>
      </c>
    </row>
    <row r="659" spans="1:14" x14ac:dyDescent="0.25">
      <c r="A659" s="30">
        <v>1</v>
      </c>
      <c r="B659" s="2" t="s">
        <v>7398</v>
      </c>
      <c r="C659" s="2" t="s">
        <v>7399</v>
      </c>
      <c r="D659" s="2" t="s">
        <v>6067</v>
      </c>
      <c r="E659" s="5">
        <v>12</v>
      </c>
      <c r="F659" s="2" t="s">
        <v>1910</v>
      </c>
      <c r="G659" s="2" t="s">
        <v>7403</v>
      </c>
      <c r="H659" s="2" t="s">
        <v>648</v>
      </c>
      <c r="I659" s="4">
        <v>20</v>
      </c>
      <c r="J659" s="4">
        <v>56</v>
      </c>
      <c r="L659" s="31">
        <v>1.1399999999999999</v>
      </c>
      <c r="M659" s="32">
        <v>66.7</v>
      </c>
      <c r="N659" s="33">
        <v>17.5</v>
      </c>
    </row>
    <row r="660" spans="1:14" x14ac:dyDescent="0.25">
      <c r="A660" s="30">
        <v>1</v>
      </c>
      <c r="B660" s="2" t="s">
        <v>7398</v>
      </c>
      <c r="C660" s="2" t="s">
        <v>7399</v>
      </c>
      <c r="D660" s="2" t="s">
        <v>6068</v>
      </c>
      <c r="E660" s="5">
        <v>12</v>
      </c>
      <c r="F660" s="2" t="s">
        <v>1910</v>
      </c>
      <c r="G660" s="2" t="s">
        <v>7403</v>
      </c>
      <c r="H660" s="2" t="s">
        <v>649</v>
      </c>
      <c r="I660" s="4">
        <v>563</v>
      </c>
      <c r="J660" s="4">
        <v>1064</v>
      </c>
      <c r="L660" s="31">
        <v>22.85</v>
      </c>
      <c r="M660" s="32">
        <v>71.2</v>
      </c>
      <c r="N660" s="33">
        <v>24.6</v>
      </c>
    </row>
    <row r="661" spans="1:14" x14ac:dyDescent="0.25">
      <c r="A661" s="30">
        <v>1</v>
      </c>
      <c r="B661" s="2" t="s">
        <v>7398</v>
      </c>
      <c r="C661" s="2" t="s">
        <v>7399</v>
      </c>
      <c r="D661" s="2" t="s">
        <v>6069</v>
      </c>
      <c r="E661" s="5">
        <v>12</v>
      </c>
      <c r="F661" s="2" t="s">
        <v>1839</v>
      </c>
      <c r="G661" s="2" t="s">
        <v>7414</v>
      </c>
      <c r="H661" s="2" t="s">
        <v>650</v>
      </c>
      <c r="I661" s="4">
        <v>0</v>
      </c>
      <c r="J661" s="4">
        <v>90</v>
      </c>
      <c r="L661" s="31">
        <v>1.1399999999999999</v>
      </c>
      <c r="M661" s="32">
        <v>78.900000000000006</v>
      </c>
      <c r="N661" s="33">
        <v>0</v>
      </c>
    </row>
    <row r="662" spans="1:14" x14ac:dyDescent="0.25">
      <c r="A662" s="30">
        <v>1</v>
      </c>
      <c r="B662" s="2" t="s">
        <v>7398</v>
      </c>
      <c r="C662" s="2" t="s">
        <v>7399</v>
      </c>
      <c r="D662" s="2" t="s">
        <v>6070</v>
      </c>
      <c r="E662" s="5">
        <v>12</v>
      </c>
      <c r="F662" s="2" t="s">
        <v>1849</v>
      </c>
      <c r="G662" s="2" t="s">
        <v>7401</v>
      </c>
      <c r="H662" s="2" t="s">
        <v>651</v>
      </c>
      <c r="I662" s="4">
        <v>85</v>
      </c>
      <c r="J662" s="4">
        <v>170</v>
      </c>
      <c r="L662" s="31">
        <v>17.57</v>
      </c>
      <c r="M662" s="32">
        <v>14.5</v>
      </c>
      <c r="N662" s="33">
        <v>4.8</v>
      </c>
    </row>
    <row r="663" spans="1:14" x14ac:dyDescent="0.25">
      <c r="A663" s="30">
        <v>1</v>
      </c>
      <c r="B663" s="2" t="s">
        <v>7398</v>
      </c>
      <c r="C663" s="2" t="s">
        <v>7399</v>
      </c>
      <c r="D663" s="2" t="s">
        <v>6071</v>
      </c>
      <c r="E663" s="5">
        <v>12</v>
      </c>
      <c r="F663" s="2" t="s">
        <v>1849</v>
      </c>
      <c r="G663" s="2" t="s">
        <v>7401</v>
      </c>
      <c r="H663" s="2" t="s">
        <v>652</v>
      </c>
      <c r="I663" s="4">
        <v>141</v>
      </c>
      <c r="J663" s="4">
        <v>170</v>
      </c>
      <c r="L663" s="31">
        <v>15.28</v>
      </c>
      <c r="M663" s="32">
        <v>20.399999999999999</v>
      </c>
      <c r="N663" s="33">
        <v>9.1999999999999993</v>
      </c>
    </row>
    <row r="664" spans="1:14" x14ac:dyDescent="0.25">
      <c r="A664" s="30">
        <v>1</v>
      </c>
      <c r="B664" s="2" t="s">
        <v>7398</v>
      </c>
      <c r="C664" s="2" t="s">
        <v>7399</v>
      </c>
      <c r="D664" s="2" t="s">
        <v>6072</v>
      </c>
      <c r="E664" s="5">
        <v>12</v>
      </c>
      <c r="F664" s="2" t="s">
        <v>1877</v>
      </c>
      <c r="G664" s="2" t="s">
        <v>7401</v>
      </c>
      <c r="H664" s="2" t="s">
        <v>653</v>
      </c>
      <c r="I664" s="4">
        <v>6248</v>
      </c>
      <c r="J664" s="4">
        <v>2160</v>
      </c>
      <c r="L664" s="31">
        <v>602.71</v>
      </c>
      <c r="M664" s="32">
        <v>14</v>
      </c>
      <c r="N664" s="33">
        <v>10.4</v>
      </c>
    </row>
    <row r="665" spans="1:14" x14ac:dyDescent="0.25">
      <c r="A665" s="30">
        <v>1</v>
      </c>
      <c r="B665" s="2" t="s">
        <v>7398</v>
      </c>
      <c r="C665" s="2" t="s">
        <v>7399</v>
      </c>
      <c r="D665" s="2" t="s">
        <v>6073</v>
      </c>
      <c r="E665" s="5">
        <v>12</v>
      </c>
      <c r="F665" s="2" t="s">
        <v>1877</v>
      </c>
      <c r="G665" s="2" t="s">
        <v>7401</v>
      </c>
      <c r="H665" s="2" t="s">
        <v>654</v>
      </c>
      <c r="I665" s="4">
        <v>4419</v>
      </c>
      <c r="J665" s="4">
        <v>800</v>
      </c>
      <c r="L665" s="31">
        <v>342.14</v>
      </c>
      <c r="M665" s="32">
        <v>15.3</v>
      </c>
      <c r="N665" s="33">
        <v>12.9</v>
      </c>
    </row>
    <row r="666" spans="1:14" x14ac:dyDescent="0.25">
      <c r="A666" s="30">
        <v>1</v>
      </c>
      <c r="B666" s="2" t="s">
        <v>7398</v>
      </c>
      <c r="C666" s="2" t="s">
        <v>7399</v>
      </c>
      <c r="D666" s="2" t="s">
        <v>6074</v>
      </c>
      <c r="E666" s="5">
        <v>12</v>
      </c>
      <c r="F666" s="2" t="s">
        <v>7417</v>
      </c>
      <c r="G666" s="2" t="s">
        <v>7410</v>
      </c>
      <c r="H666" s="2" t="s">
        <v>7418</v>
      </c>
      <c r="I666" s="4">
        <v>1531</v>
      </c>
      <c r="J666" s="4">
        <v>1596</v>
      </c>
      <c r="L666" s="31">
        <v>212</v>
      </c>
      <c r="M666" s="32">
        <v>14.8</v>
      </c>
      <c r="N666" s="33">
        <v>7.2</v>
      </c>
    </row>
    <row r="667" spans="1:14" x14ac:dyDescent="0.25">
      <c r="A667" s="30">
        <v>1</v>
      </c>
      <c r="B667" s="2" t="s">
        <v>7398</v>
      </c>
      <c r="C667" s="2" t="s">
        <v>7399</v>
      </c>
      <c r="D667" s="2" t="s">
        <v>6075</v>
      </c>
      <c r="E667" s="5">
        <v>24</v>
      </c>
      <c r="F667" s="2" t="s">
        <v>1876</v>
      </c>
      <c r="G667" s="2" t="s">
        <v>7401</v>
      </c>
      <c r="H667" s="2" t="s">
        <v>656</v>
      </c>
      <c r="I667" s="4">
        <v>228</v>
      </c>
      <c r="J667" s="4">
        <v>0</v>
      </c>
      <c r="L667" s="31">
        <v>12.57</v>
      </c>
      <c r="M667" s="32">
        <v>18.100000000000001</v>
      </c>
      <c r="N667" s="33">
        <v>18.100000000000001</v>
      </c>
    </row>
    <row r="668" spans="1:14" x14ac:dyDescent="0.25">
      <c r="A668" s="30">
        <v>1</v>
      </c>
      <c r="B668" s="2" t="s">
        <v>7398</v>
      </c>
      <c r="C668" s="2" t="s">
        <v>7399</v>
      </c>
      <c r="D668" s="2" t="s">
        <v>6076</v>
      </c>
      <c r="E668" s="5">
        <v>20</v>
      </c>
      <c r="F668" s="2" t="s">
        <v>1849</v>
      </c>
      <c r="G668" s="2" t="s">
        <v>7409</v>
      </c>
      <c r="H668" s="2" t="s">
        <v>7419</v>
      </c>
      <c r="I668" s="4">
        <v>60</v>
      </c>
      <c r="J668" s="4">
        <v>112</v>
      </c>
      <c r="L668" s="31">
        <v>0</v>
      </c>
      <c r="M668" s="32">
        <v>0</v>
      </c>
      <c r="N668" s="33">
        <v>9999</v>
      </c>
    </row>
    <row r="669" spans="1:14" x14ac:dyDescent="0.25">
      <c r="A669" s="30">
        <v>1</v>
      </c>
      <c r="B669" s="2" t="s">
        <v>7398</v>
      </c>
      <c r="C669" s="2" t="s">
        <v>7399</v>
      </c>
      <c r="D669" s="2" t="s">
        <v>6077</v>
      </c>
      <c r="E669" s="5">
        <v>372</v>
      </c>
      <c r="F669" s="2" t="s">
        <v>1932</v>
      </c>
      <c r="G669" s="2" t="s">
        <v>7410</v>
      </c>
      <c r="H669" s="2" t="s">
        <v>659</v>
      </c>
      <c r="I669" s="4">
        <v>0</v>
      </c>
      <c r="J669" s="4">
        <v>0</v>
      </c>
      <c r="L669" s="31">
        <v>0</v>
      </c>
      <c r="M669" s="32">
        <v>0</v>
      </c>
      <c r="N669" s="33">
        <v>9999</v>
      </c>
    </row>
    <row r="670" spans="1:14" x14ac:dyDescent="0.25">
      <c r="A670" s="30">
        <v>1</v>
      </c>
      <c r="B670" s="2" t="s">
        <v>7398</v>
      </c>
      <c r="C670" s="2" t="s">
        <v>7399</v>
      </c>
      <c r="D670" s="2" t="s">
        <v>6078</v>
      </c>
      <c r="E670" s="5">
        <v>6</v>
      </c>
      <c r="F670" s="2" t="s">
        <v>1896</v>
      </c>
      <c r="G670" s="2" t="s">
        <v>7400</v>
      </c>
      <c r="H670" s="2" t="s">
        <v>660</v>
      </c>
      <c r="I670" s="4">
        <v>41</v>
      </c>
      <c r="J670" s="4">
        <v>26</v>
      </c>
      <c r="L670" s="31">
        <v>3.42</v>
      </c>
      <c r="M670" s="32">
        <v>19.600000000000001</v>
      </c>
      <c r="N670" s="33">
        <v>12</v>
      </c>
    </row>
    <row r="671" spans="1:14" x14ac:dyDescent="0.25">
      <c r="A671" s="30">
        <v>1</v>
      </c>
      <c r="B671" s="2" t="s">
        <v>7398</v>
      </c>
      <c r="C671" s="2" t="s">
        <v>7399</v>
      </c>
      <c r="D671" s="2" t="s">
        <v>6079</v>
      </c>
      <c r="E671" s="5">
        <v>12</v>
      </c>
      <c r="F671" s="2" t="s">
        <v>1932</v>
      </c>
      <c r="G671" s="2" t="s">
        <v>7400</v>
      </c>
      <c r="H671" s="2" t="s">
        <v>661</v>
      </c>
      <c r="I671" s="4">
        <v>51</v>
      </c>
      <c r="J671" s="4">
        <v>30</v>
      </c>
      <c r="L671" s="31">
        <v>3.71</v>
      </c>
      <c r="M671" s="32">
        <v>21.8</v>
      </c>
      <c r="N671" s="33">
        <v>13.7</v>
      </c>
    </row>
    <row r="672" spans="1:14" x14ac:dyDescent="0.25">
      <c r="A672" s="30">
        <v>1</v>
      </c>
      <c r="B672" s="2" t="s">
        <v>7398</v>
      </c>
      <c r="C672" s="2" t="s">
        <v>7399</v>
      </c>
      <c r="D672" s="2" t="s">
        <v>6080</v>
      </c>
      <c r="E672" s="5">
        <v>6</v>
      </c>
      <c r="F672" s="2" t="s">
        <v>1851</v>
      </c>
      <c r="G672" s="2" t="s">
        <v>7400</v>
      </c>
      <c r="H672" s="2" t="s">
        <v>662</v>
      </c>
      <c r="I672" s="4">
        <v>2128</v>
      </c>
      <c r="J672" s="4">
        <v>1216</v>
      </c>
      <c r="L672" s="31">
        <v>275.14</v>
      </c>
      <c r="M672" s="32">
        <v>12.2</v>
      </c>
      <c r="N672" s="33">
        <v>7.7</v>
      </c>
    </row>
    <row r="673" spans="1:14" x14ac:dyDescent="0.25">
      <c r="A673" s="30">
        <v>1</v>
      </c>
      <c r="B673" s="2" t="s">
        <v>7398</v>
      </c>
      <c r="C673" s="2" t="s">
        <v>7399</v>
      </c>
      <c r="D673" s="2" t="s">
        <v>6081</v>
      </c>
      <c r="E673" s="5">
        <v>12</v>
      </c>
      <c r="F673" s="2" t="s">
        <v>1874</v>
      </c>
      <c r="G673" s="2" t="s">
        <v>7400</v>
      </c>
      <c r="H673" s="2" t="s">
        <v>663</v>
      </c>
      <c r="I673" s="4">
        <v>21</v>
      </c>
      <c r="J673" s="4">
        <v>0</v>
      </c>
      <c r="L673" s="31">
        <v>0.71</v>
      </c>
      <c r="M673" s="32">
        <v>29.6</v>
      </c>
      <c r="N673" s="33">
        <v>29.6</v>
      </c>
    </row>
    <row r="674" spans="1:14" x14ac:dyDescent="0.25">
      <c r="A674" s="30">
        <v>1</v>
      </c>
      <c r="B674" s="2" t="s">
        <v>7398</v>
      </c>
      <c r="C674" s="2" t="s">
        <v>7399</v>
      </c>
      <c r="D674" s="2" t="s">
        <v>6082</v>
      </c>
      <c r="E674" s="5">
        <v>12</v>
      </c>
      <c r="F674" s="2" t="s">
        <v>1910</v>
      </c>
      <c r="G674" s="2" t="s">
        <v>7400</v>
      </c>
      <c r="H674" s="2" t="s">
        <v>664</v>
      </c>
      <c r="I674" s="4">
        <v>1097</v>
      </c>
      <c r="J674" s="4">
        <v>559</v>
      </c>
      <c r="L674" s="31">
        <v>122.85</v>
      </c>
      <c r="M674" s="32">
        <v>13.5</v>
      </c>
      <c r="N674" s="33">
        <v>8.9</v>
      </c>
    </row>
    <row r="675" spans="1:14" x14ac:dyDescent="0.25">
      <c r="A675" s="30">
        <v>1</v>
      </c>
      <c r="B675" s="2" t="s">
        <v>7398</v>
      </c>
      <c r="C675" s="2" t="s">
        <v>7399</v>
      </c>
      <c r="D675" s="2" t="s">
        <v>6083</v>
      </c>
      <c r="E675" s="5">
        <v>12</v>
      </c>
      <c r="F675" s="2" t="s">
        <v>1932</v>
      </c>
      <c r="G675" s="2" t="s">
        <v>7400</v>
      </c>
      <c r="H675" s="2" t="s">
        <v>665</v>
      </c>
      <c r="I675" s="4">
        <v>359</v>
      </c>
      <c r="J675" s="4">
        <v>375</v>
      </c>
      <c r="L675" s="31">
        <v>20.420000000000002</v>
      </c>
      <c r="M675" s="32">
        <v>35.9</v>
      </c>
      <c r="N675" s="33">
        <v>17.600000000000001</v>
      </c>
    </row>
    <row r="676" spans="1:14" x14ac:dyDescent="0.25">
      <c r="A676" s="30">
        <v>1</v>
      </c>
      <c r="B676" s="2" t="s">
        <v>7398</v>
      </c>
      <c r="C676" s="2" t="s">
        <v>7399</v>
      </c>
      <c r="D676" s="2" t="s">
        <v>6084</v>
      </c>
      <c r="E676" s="5">
        <v>24</v>
      </c>
      <c r="F676" s="2" t="s">
        <v>1874</v>
      </c>
      <c r="G676" s="2" t="s">
        <v>7400</v>
      </c>
      <c r="H676" s="2" t="s">
        <v>666</v>
      </c>
      <c r="I676" s="4">
        <v>323</v>
      </c>
      <c r="J676" s="4">
        <v>0</v>
      </c>
      <c r="L676" s="31">
        <v>15.71</v>
      </c>
      <c r="M676" s="32">
        <v>20.6</v>
      </c>
      <c r="N676" s="33">
        <v>20.6</v>
      </c>
    </row>
    <row r="677" spans="1:14" x14ac:dyDescent="0.25">
      <c r="A677" s="30">
        <v>1</v>
      </c>
      <c r="B677" s="2" t="s">
        <v>7398</v>
      </c>
      <c r="C677" s="2" t="s">
        <v>7399</v>
      </c>
      <c r="D677" s="2" t="s">
        <v>6085</v>
      </c>
      <c r="E677" s="5">
        <v>12</v>
      </c>
      <c r="F677" s="2" t="s">
        <v>1932</v>
      </c>
      <c r="G677" s="2" t="s">
        <v>7400</v>
      </c>
      <c r="H677" s="2" t="s">
        <v>667</v>
      </c>
      <c r="I677" s="4">
        <v>9475</v>
      </c>
      <c r="J677" s="4">
        <v>5970</v>
      </c>
      <c r="L677" s="31">
        <v>895.85</v>
      </c>
      <c r="M677" s="32">
        <v>17.2</v>
      </c>
      <c r="N677" s="33">
        <v>10.6</v>
      </c>
    </row>
    <row r="678" spans="1:14" x14ac:dyDescent="0.25">
      <c r="A678" s="30">
        <v>1</v>
      </c>
      <c r="B678" s="2" t="s">
        <v>7398</v>
      </c>
      <c r="C678" s="2" t="s">
        <v>7399</v>
      </c>
      <c r="D678" s="2" t="s">
        <v>6086</v>
      </c>
      <c r="E678" s="5">
        <v>6</v>
      </c>
      <c r="F678" s="2" t="s">
        <v>1851</v>
      </c>
      <c r="G678" s="2" t="s">
        <v>7400</v>
      </c>
      <c r="H678" s="2" t="s">
        <v>668</v>
      </c>
      <c r="I678" s="4">
        <v>2606</v>
      </c>
      <c r="J678" s="4">
        <v>496</v>
      </c>
      <c r="L678" s="31">
        <v>214</v>
      </c>
      <c r="M678" s="32">
        <v>14.5</v>
      </c>
      <c r="N678" s="33">
        <v>12.2</v>
      </c>
    </row>
    <row r="679" spans="1:14" x14ac:dyDescent="0.25">
      <c r="A679" s="30">
        <v>1</v>
      </c>
      <c r="B679" s="2" t="s">
        <v>7398</v>
      </c>
      <c r="C679" s="2" t="s">
        <v>7399</v>
      </c>
      <c r="D679" s="2" t="s">
        <v>6087</v>
      </c>
      <c r="E679" s="5">
        <v>24</v>
      </c>
      <c r="F679" s="2" t="s">
        <v>1874</v>
      </c>
      <c r="G679" s="2" t="s">
        <v>7400</v>
      </c>
      <c r="H679" s="2" t="s">
        <v>669</v>
      </c>
      <c r="I679" s="4">
        <v>138</v>
      </c>
      <c r="J679" s="4">
        <v>60</v>
      </c>
      <c r="L679" s="31">
        <v>13.71</v>
      </c>
      <c r="M679" s="32">
        <v>14.4</v>
      </c>
      <c r="N679" s="33">
        <v>10.1</v>
      </c>
    </row>
    <row r="680" spans="1:14" x14ac:dyDescent="0.25">
      <c r="A680" s="30">
        <v>1</v>
      </c>
      <c r="B680" s="2" t="s">
        <v>7398</v>
      </c>
      <c r="C680" s="2" t="s">
        <v>7399</v>
      </c>
      <c r="D680" s="2" t="s">
        <v>6088</v>
      </c>
      <c r="E680" s="5">
        <v>12</v>
      </c>
      <c r="F680" s="2" t="s">
        <v>1932</v>
      </c>
      <c r="G680" s="2" t="s">
        <v>7400</v>
      </c>
      <c r="H680" s="2" t="s">
        <v>670</v>
      </c>
      <c r="I680" s="4">
        <v>2886</v>
      </c>
      <c r="J680" s="4">
        <v>3555</v>
      </c>
      <c r="L680" s="31">
        <v>906.28</v>
      </c>
      <c r="M680" s="32">
        <v>7.1</v>
      </c>
      <c r="N680" s="33">
        <v>3.2</v>
      </c>
    </row>
    <row r="681" spans="1:14" x14ac:dyDescent="0.25">
      <c r="A681" s="30">
        <v>1</v>
      </c>
      <c r="B681" s="2" t="s">
        <v>7398</v>
      </c>
      <c r="C681" s="2" t="s">
        <v>7399</v>
      </c>
      <c r="D681" s="2" t="s">
        <v>6089</v>
      </c>
      <c r="E681" s="5">
        <v>12</v>
      </c>
      <c r="F681" s="2" t="s">
        <v>1849</v>
      </c>
      <c r="G681" s="2" t="s">
        <v>7416</v>
      </c>
      <c r="H681" s="2" t="s">
        <v>671</v>
      </c>
      <c r="I681" s="4">
        <v>201</v>
      </c>
      <c r="J681" s="4">
        <v>216</v>
      </c>
      <c r="L681" s="31">
        <v>44.85</v>
      </c>
      <c r="M681" s="32">
        <v>9.3000000000000007</v>
      </c>
      <c r="N681" s="33">
        <v>4.5</v>
      </c>
    </row>
    <row r="682" spans="1:14" x14ac:dyDescent="0.25">
      <c r="A682" s="30">
        <v>1</v>
      </c>
      <c r="B682" s="2" t="s">
        <v>7398</v>
      </c>
      <c r="C682" s="2" t="s">
        <v>7399</v>
      </c>
      <c r="D682" s="2" t="s">
        <v>6090</v>
      </c>
      <c r="E682" s="5">
        <v>12</v>
      </c>
      <c r="F682" s="2" t="s">
        <v>1910</v>
      </c>
      <c r="G682" s="2" t="s">
        <v>7400</v>
      </c>
      <c r="H682" s="2" t="s">
        <v>672</v>
      </c>
      <c r="I682" s="4">
        <v>511</v>
      </c>
      <c r="J682" s="4">
        <v>260</v>
      </c>
      <c r="L682" s="31">
        <v>53.57</v>
      </c>
      <c r="M682" s="32">
        <v>14.4</v>
      </c>
      <c r="N682" s="33">
        <v>9.5</v>
      </c>
    </row>
    <row r="683" spans="1:14" x14ac:dyDescent="0.25">
      <c r="A683" s="30">
        <v>1</v>
      </c>
      <c r="B683" s="2" t="s">
        <v>7398</v>
      </c>
      <c r="C683" s="2" t="s">
        <v>7399</v>
      </c>
      <c r="D683" s="2" t="s">
        <v>6091</v>
      </c>
      <c r="E683" s="5">
        <v>24</v>
      </c>
      <c r="F683" s="2" t="s">
        <v>1841</v>
      </c>
      <c r="G683" s="2" t="s">
        <v>7401</v>
      </c>
      <c r="H683" s="2" t="s">
        <v>673</v>
      </c>
      <c r="I683" s="4">
        <v>0</v>
      </c>
      <c r="J683" s="4">
        <v>0</v>
      </c>
      <c r="L683" s="31">
        <v>0</v>
      </c>
      <c r="M683" s="32">
        <v>0</v>
      </c>
      <c r="N683" s="33">
        <v>9999</v>
      </c>
    </row>
    <row r="684" spans="1:14" x14ac:dyDescent="0.25">
      <c r="A684" s="30">
        <v>1</v>
      </c>
      <c r="B684" s="2" t="s">
        <v>7398</v>
      </c>
      <c r="C684" s="2" t="s">
        <v>7399</v>
      </c>
      <c r="D684" s="2" t="s">
        <v>6092</v>
      </c>
      <c r="E684" s="5">
        <v>12</v>
      </c>
      <c r="F684" s="2" t="s">
        <v>1843</v>
      </c>
      <c r="G684" s="2" t="s">
        <v>7401</v>
      </c>
      <c r="H684" s="2" t="s">
        <v>674</v>
      </c>
      <c r="I684" s="4">
        <v>0</v>
      </c>
      <c r="J684" s="4">
        <v>0</v>
      </c>
      <c r="L684" s="31">
        <v>0</v>
      </c>
      <c r="M684" s="32">
        <v>0</v>
      </c>
      <c r="N684" s="33">
        <v>9999</v>
      </c>
    </row>
    <row r="685" spans="1:14" x14ac:dyDescent="0.25">
      <c r="A685" s="30">
        <v>1</v>
      </c>
      <c r="B685" s="2" t="s">
        <v>7398</v>
      </c>
      <c r="C685" s="2" t="s">
        <v>7399</v>
      </c>
      <c r="D685" s="2" t="s">
        <v>6093</v>
      </c>
      <c r="E685" s="5">
        <v>24</v>
      </c>
      <c r="F685" s="2" t="s">
        <v>1905</v>
      </c>
      <c r="G685" s="2" t="s">
        <v>7420</v>
      </c>
      <c r="H685" s="2" t="s">
        <v>675</v>
      </c>
      <c r="I685" s="4">
        <v>161</v>
      </c>
      <c r="J685" s="4">
        <v>40</v>
      </c>
      <c r="L685" s="31">
        <v>15.57</v>
      </c>
      <c r="M685" s="32">
        <v>12.9</v>
      </c>
      <c r="N685" s="33">
        <v>10.3</v>
      </c>
    </row>
    <row r="686" spans="1:14" x14ac:dyDescent="0.25">
      <c r="A686" s="30">
        <v>1</v>
      </c>
      <c r="B686" s="2" t="s">
        <v>7398</v>
      </c>
      <c r="C686" s="2" t="s">
        <v>7399</v>
      </c>
      <c r="D686" s="2" t="s">
        <v>6094</v>
      </c>
      <c r="E686" s="5">
        <v>24</v>
      </c>
      <c r="F686" s="2" t="s">
        <v>1905</v>
      </c>
      <c r="G686" s="2" t="s">
        <v>7401</v>
      </c>
      <c r="H686" s="2" t="s">
        <v>675</v>
      </c>
      <c r="I686" s="4">
        <v>1241</v>
      </c>
      <c r="J686" s="4">
        <v>210</v>
      </c>
      <c r="L686" s="31">
        <v>76.42</v>
      </c>
      <c r="M686" s="32">
        <v>19</v>
      </c>
      <c r="N686" s="33">
        <v>16.2</v>
      </c>
    </row>
    <row r="687" spans="1:14" x14ac:dyDescent="0.25">
      <c r="A687" s="30">
        <v>1</v>
      </c>
      <c r="B687" s="2" t="s">
        <v>7398</v>
      </c>
      <c r="C687" s="2" t="s">
        <v>7399</v>
      </c>
      <c r="D687" s="2" t="s">
        <v>6095</v>
      </c>
      <c r="E687" s="5">
        <v>24</v>
      </c>
      <c r="F687" s="2" t="s">
        <v>1922</v>
      </c>
      <c r="G687" s="2" t="s">
        <v>7420</v>
      </c>
      <c r="H687" s="2" t="s">
        <v>676</v>
      </c>
      <c r="I687" s="4">
        <v>142</v>
      </c>
      <c r="J687" s="4">
        <v>60</v>
      </c>
      <c r="L687" s="31">
        <v>18.57</v>
      </c>
      <c r="M687" s="32">
        <v>10.9</v>
      </c>
      <c r="N687" s="33">
        <v>7.6</v>
      </c>
    </row>
    <row r="688" spans="1:14" x14ac:dyDescent="0.25">
      <c r="A688" s="30">
        <v>1</v>
      </c>
      <c r="B688" s="2" t="s">
        <v>7398</v>
      </c>
      <c r="C688" s="2" t="s">
        <v>7399</v>
      </c>
      <c r="D688" s="2" t="s">
        <v>6096</v>
      </c>
      <c r="E688" s="5">
        <v>12</v>
      </c>
      <c r="F688" s="2" t="s">
        <v>1882</v>
      </c>
      <c r="G688" s="2" t="s">
        <v>7410</v>
      </c>
      <c r="H688" s="2" t="s">
        <v>677</v>
      </c>
      <c r="I688" s="4">
        <v>1437</v>
      </c>
      <c r="J688" s="4">
        <v>420</v>
      </c>
      <c r="L688" s="31">
        <v>139.13999999999999</v>
      </c>
      <c r="M688" s="32">
        <v>13.3</v>
      </c>
      <c r="N688" s="33">
        <v>10.3</v>
      </c>
    </row>
    <row r="689" spans="1:14" x14ac:dyDescent="0.25">
      <c r="A689" s="30">
        <v>1</v>
      </c>
      <c r="B689" s="2" t="s">
        <v>7398</v>
      </c>
      <c r="C689" s="2" t="s">
        <v>7399</v>
      </c>
      <c r="D689" s="2" t="s">
        <v>6097</v>
      </c>
      <c r="E689" s="5">
        <v>24</v>
      </c>
      <c r="F689" s="2" t="s">
        <v>1849</v>
      </c>
      <c r="G689" s="2" t="s">
        <v>7401</v>
      </c>
      <c r="H689" s="2" t="s">
        <v>678</v>
      </c>
      <c r="I689" s="4">
        <v>107</v>
      </c>
      <c r="J689" s="4">
        <v>0</v>
      </c>
      <c r="L689" s="31">
        <v>4</v>
      </c>
      <c r="M689" s="32">
        <v>26.8</v>
      </c>
      <c r="N689" s="33">
        <v>26.8</v>
      </c>
    </row>
    <row r="690" spans="1:14" x14ac:dyDescent="0.25">
      <c r="A690" s="30">
        <v>1</v>
      </c>
      <c r="B690" s="2" t="s">
        <v>7398</v>
      </c>
      <c r="C690" s="2" t="s">
        <v>7399</v>
      </c>
      <c r="D690" s="2" t="s">
        <v>6098</v>
      </c>
      <c r="E690" s="5">
        <v>24</v>
      </c>
      <c r="F690" s="2" t="s">
        <v>1841</v>
      </c>
      <c r="G690" s="2" t="s">
        <v>7401</v>
      </c>
      <c r="H690" s="2" t="s">
        <v>679</v>
      </c>
      <c r="I690" s="4">
        <v>152</v>
      </c>
      <c r="J690" s="4">
        <v>176</v>
      </c>
      <c r="L690" s="31">
        <v>27.85</v>
      </c>
      <c r="M690" s="32">
        <v>11.8</v>
      </c>
      <c r="N690" s="33">
        <v>5.5</v>
      </c>
    </row>
    <row r="691" spans="1:14" x14ac:dyDescent="0.25">
      <c r="A691" s="30">
        <v>1</v>
      </c>
      <c r="B691" s="2" t="s">
        <v>7398</v>
      </c>
      <c r="C691" s="2" t="s">
        <v>7399</v>
      </c>
      <c r="D691" s="2" t="s">
        <v>6099</v>
      </c>
      <c r="E691" s="5">
        <v>12</v>
      </c>
      <c r="F691" s="2" t="s">
        <v>1843</v>
      </c>
      <c r="G691" s="2" t="s">
        <v>7401</v>
      </c>
      <c r="H691" s="2" t="s">
        <v>680</v>
      </c>
      <c r="I691" s="4">
        <v>42</v>
      </c>
      <c r="J691" s="4">
        <v>0</v>
      </c>
      <c r="L691" s="31">
        <v>2.14</v>
      </c>
      <c r="M691" s="32">
        <v>19.600000000000001</v>
      </c>
      <c r="N691" s="33">
        <v>19.600000000000001</v>
      </c>
    </row>
    <row r="692" spans="1:14" x14ac:dyDescent="0.25">
      <c r="A692" s="30">
        <v>1</v>
      </c>
      <c r="B692" s="2" t="s">
        <v>7398</v>
      </c>
      <c r="C692" s="2" t="s">
        <v>7399</v>
      </c>
      <c r="D692" s="2" t="s">
        <v>6100</v>
      </c>
      <c r="E692" s="5">
        <v>20</v>
      </c>
      <c r="F692" s="2" t="s">
        <v>1866</v>
      </c>
      <c r="G692" s="2" t="s">
        <v>7409</v>
      </c>
      <c r="H692" s="2" t="s">
        <v>681</v>
      </c>
      <c r="I692" s="4">
        <v>36</v>
      </c>
      <c r="J692" s="4">
        <v>108</v>
      </c>
      <c r="L692" s="31">
        <v>6.71</v>
      </c>
      <c r="M692" s="32">
        <v>21.5</v>
      </c>
      <c r="N692" s="33">
        <v>5.4</v>
      </c>
    </row>
    <row r="693" spans="1:14" x14ac:dyDescent="0.25">
      <c r="A693" s="30">
        <v>1</v>
      </c>
      <c r="B693" s="2" t="s">
        <v>7398</v>
      </c>
      <c r="C693" s="2" t="s">
        <v>7399</v>
      </c>
      <c r="D693" s="2" t="s">
        <v>6101</v>
      </c>
      <c r="E693" s="5">
        <v>12</v>
      </c>
      <c r="F693" s="2" t="s">
        <v>1932</v>
      </c>
      <c r="G693" s="2" t="s">
        <v>7400</v>
      </c>
      <c r="H693" s="2" t="s">
        <v>682</v>
      </c>
      <c r="I693" s="4">
        <v>36</v>
      </c>
      <c r="J693" s="4">
        <v>0</v>
      </c>
      <c r="L693" s="31">
        <v>1.57</v>
      </c>
      <c r="M693" s="32">
        <v>22.9</v>
      </c>
      <c r="N693" s="33">
        <v>22.9</v>
      </c>
    </row>
    <row r="694" spans="1:14" x14ac:dyDescent="0.25">
      <c r="A694" s="30">
        <v>1</v>
      </c>
      <c r="B694" s="2" t="s">
        <v>7398</v>
      </c>
      <c r="C694" s="2" t="s">
        <v>7399</v>
      </c>
      <c r="D694" s="2" t="s">
        <v>6102</v>
      </c>
      <c r="E694" s="5">
        <v>12</v>
      </c>
      <c r="F694" s="2" t="s">
        <v>1932</v>
      </c>
      <c r="G694" s="2" t="s">
        <v>7400</v>
      </c>
      <c r="H694" s="2" t="s">
        <v>683</v>
      </c>
      <c r="I694" s="4">
        <v>98</v>
      </c>
      <c r="J694" s="4">
        <v>0</v>
      </c>
      <c r="L694" s="31">
        <v>4</v>
      </c>
      <c r="M694" s="32">
        <v>24.5</v>
      </c>
      <c r="N694" s="33">
        <v>24.5</v>
      </c>
    </row>
    <row r="695" spans="1:14" x14ac:dyDescent="0.25">
      <c r="A695" s="30">
        <v>1</v>
      </c>
      <c r="B695" s="2" t="s">
        <v>7398</v>
      </c>
      <c r="C695" s="2" t="s">
        <v>7399</v>
      </c>
      <c r="D695" s="2" t="s">
        <v>6103</v>
      </c>
      <c r="E695" s="5">
        <v>14</v>
      </c>
      <c r="F695" s="2" t="s">
        <v>1935</v>
      </c>
      <c r="G695" s="2" t="s">
        <v>7409</v>
      </c>
      <c r="H695" s="2" t="s">
        <v>684</v>
      </c>
      <c r="I695" s="4">
        <v>96</v>
      </c>
      <c r="J695" s="4">
        <v>64</v>
      </c>
      <c r="L695" s="31">
        <v>6</v>
      </c>
      <c r="M695" s="32">
        <v>26.7</v>
      </c>
      <c r="N695" s="33">
        <v>16</v>
      </c>
    </row>
    <row r="696" spans="1:14" x14ac:dyDescent="0.25">
      <c r="A696" s="30">
        <v>1</v>
      </c>
      <c r="B696" s="2" t="s">
        <v>7398</v>
      </c>
      <c r="C696" s="2" t="s">
        <v>7399</v>
      </c>
      <c r="D696" s="2" t="s">
        <v>6104</v>
      </c>
      <c r="E696" s="5">
        <v>20</v>
      </c>
      <c r="F696" s="2" t="s">
        <v>1866</v>
      </c>
      <c r="G696" s="2" t="s">
        <v>7409</v>
      </c>
      <c r="H696" s="2" t="s">
        <v>685</v>
      </c>
      <c r="I696" s="4">
        <v>116</v>
      </c>
      <c r="J696" s="4">
        <v>0</v>
      </c>
      <c r="L696" s="31">
        <v>6.14</v>
      </c>
      <c r="M696" s="32">
        <v>18.899999999999999</v>
      </c>
      <c r="N696" s="33">
        <v>18.899999999999999</v>
      </c>
    </row>
    <row r="697" spans="1:14" x14ac:dyDescent="0.25">
      <c r="A697" s="30">
        <v>1</v>
      </c>
      <c r="B697" s="2" t="s">
        <v>7398</v>
      </c>
      <c r="C697" s="2" t="s">
        <v>7399</v>
      </c>
      <c r="D697" s="2" t="s">
        <v>6105</v>
      </c>
      <c r="E697" s="5">
        <v>12</v>
      </c>
      <c r="F697" s="2" t="s">
        <v>1936</v>
      </c>
      <c r="G697" s="2" t="s">
        <v>7405</v>
      </c>
      <c r="H697" s="2" t="s">
        <v>686</v>
      </c>
      <c r="I697" s="4">
        <v>65</v>
      </c>
      <c r="J697" s="4">
        <v>0</v>
      </c>
      <c r="L697" s="31">
        <v>0.56999999999999995</v>
      </c>
      <c r="M697" s="32">
        <v>114</v>
      </c>
      <c r="N697" s="33">
        <v>114</v>
      </c>
    </row>
    <row r="698" spans="1:14" x14ac:dyDescent="0.25">
      <c r="A698" s="30">
        <v>1</v>
      </c>
      <c r="B698" s="2" t="s">
        <v>7398</v>
      </c>
      <c r="C698" s="2" t="s">
        <v>7399</v>
      </c>
      <c r="D698" s="2" t="s">
        <v>6106</v>
      </c>
      <c r="E698" s="5">
        <v>12</v>
      </c>
      <c r="F698" s="2" t="s">
        <v>1936</v>
      </c>
      <c r="G698" s="2" t="s">
        <v>7405</v>
      </c>
      <c r="H698" s="2" t="s">
        <v>687</v>
      </c>
      <c r="I698" s="4">
        <v>20</v>
      </c>
      <c r="J698" s="4">
        <v>0</v>
      </c>
      <c r="L698" s="31">
        <v>0.28000000000000003</v>
      </c>
      <c r="M698" s="32">
        <v>71.400000000000006</v>
      </c>
      <c r="N698" s="33">
        <v>71.400000000000006</v>
      </c>
    </row>
    <row r="699" spans="1:14" x14ac:dyDescent="0.25">
      <c r="A699" s="30">
        <v>1</v>
      </c>
      <c r="B699" s="2" t="s">
        <v>7398</v>
      </c>
      <c r="C699" s="2" t="s">
        <v>7399</v>
      </c>
      <c r="D699" s="2" t="s">
        <v>6107</v>
      </c>
      <c r="E699" s="5">
        <v>24</v>
      </c>
      <c r="F699" s="2" t="s">
        <v>1937</v>
      </c>
      <c r="G699" s="2" t="s">
        <v>7401</v>
      </c>
      <c r="H699" s="2" t="s">
        <v>688</v>
      </c>
      <c r="I699" s="4">
        <v>0</v>
      </c>
      <c r="J699" s="4">
        <v>0</v>
      </c>
      <c r="L699" s="31">
        <v>0</v>
      </c>
      <c r="M699" s="32">
        <v>0</v>
      </c>
      <c r="N699" s="33">
        <v>9999</v>
      </c>
    </row>
    <row r="700" spans="1:14" x14ac:dyDescent="0.25">
      <c r="A700" s="30">
        <v>1</v>
      </c>
      <c r="B700" s="2" t="s">
        <v>7398</v>
      </c>
      <c r="C700" s="2" t="s">
        <v>7399</v>
      </c>
      <c r="D700" s="2" t="s">
        <v>6108</v>
      </c>
      <c r="E700" s="5">
        <v>12</v>
      </c>
      <c r="F700" s="2" t="s">
        <v>1866</v>
      </c>
      <c r="G700" s="2" t="s">
        <v>7416</v>
      </c>
      <c r="H700" s="2" t="s">
        <v>689</v>
      </c>
      <c r="I700" s="4">
        <v>0</v>
      </c>
      <c r="J700" s="4">
        <v>150</v>
      </c>
      <c r="L700" s="31">
        <v>0.71</v>
      </c>
      <c r="M700" s="32">
        <v>211.3</v>
      </c>
      <c r="N700" s="33">
        <v>0</v>
      </c>
    </row>
    <row r="701" spans="1:14" x14ac:dyDescent="0.25">
      <c r="A701" s="30">
        <v>1</v>
      </c>
      <c r="B701" s="2" t="s">
        <v>7398</v>
      </c>
      <c r="C701" s="2" t="s">
        <v>7399</v>
      </c>
      <c r="D701" s="2" t="s">
        <v>6109</v>
      </c>
      <c r="E701" s="5">
        <v>12</v>
      </c>
      <c r="F701" s="2" t="s">
        <v>1843</v>
      </c>
      <c r="G701" s="2" t="s">
        <v>7401</v>
      </c>
      <c r="H701" s="2" t="s">
        <v>690</v>
      </c>
      <c r="I701" s="4">
        <v>15</v>
      </c>
      <c r="J701" s="4">
        <v>80</v>
      </c>
      <c r="L701" s="31">
        <v>7.14</v>
      </c>
      <c r="M701" s="32">
        <v>13.3</v>
      </c>
      <c r="N701" s="33">
        <v>2.1</v>
      </c>
    </row>
    <row r="702" spans="1:14" x14ac:dyDescent="0.25">
      <c r="A702" s="30">
        <v>1</v>
      </c>
      <c r="B702" s="2" t="s">
        <v>7398</v>
      </c>
      <c r="C702" s="2" t="s">
        <v>7399</v>
      </c>
      <c r="D702" s="2" t="s">
        <v>6110</v>
      </c>
      <c r="E702" s="5">
        <v>12</v>
      </c>
      <c r="F702" s="2" t="s">
        <v>1843</v>
      </c>
      <c r="G702" s="2" t="s">
        <v>7401</v>
      </c>
      <c r="H702" s="2" t="s">
        <v>691</v>
      </c>
      <c r="I702" s="4">
        <v>134</v>
      </c>
      <c r="J702" s="4">
        <v>0</v>
      </c>
      <c r="L702" s="31">
        <v>9.14</v>
      </c>
      <c r="M702" s="32">
        <v>14.7</v>
      </c>
      <c r="N702" s="33">
        <v>14.7</v>
      </c>
    </row>
    <row r="703" spans="1:14" x14ac:dyDescent="0.25">
      <c r="A703" s="30">
        <v>1</v>
      </c>
      <c r="B703" s="2" t="s">
        <v>7398</v>
      </c>
      <c r="C703" s="2" t="s">
        <v>7399</v>
      </c>
      <c r="D703" s="2" t="s">
        <v>6111</v>
      </c>
      <c r="E703" s="5">
        <v>12</v>
      </c>
      <c r="F703" s="2" t="s">
        <v>1843</v>
      </c>
      <c r="G703" s="2" t="s">
        <v>7401</v>
      </c>
      <c r="H703" s="2" t="s">
        <v>692</v>
      </c>
      <c r="I703" s="4">
        <v>0</v>
      </c>
      <c r="J703" s="4">
        <v>0</v>
      </c>
      <c r="L703" s="31">
        <v>0</v>
      </c>
      <c r="M703" s="32">
        <v>0</v>
      </c>
      <c r="N703" s="33">
        <v>9999</v>
      </c>
    </row>
    <row r="704" spans="1:14" x14ac:dyDescent="0.25">
      <c r="A704" s="30">
        <v>1</v>
      </c>
      <c r="B704" s="2" t="s">
        <v>7398</v>
      </c>
      <c r="C704" s="2" t="s">
        <v>7399</v>
      </c>
      <c r="D704" s="2" t="s">
        <v>6112</v>
      </c>
      <c r="E704" s="5">
        <v>12</v>
      </c>
      <c r="F704" s="2" t="s">
        <v>1843</v>
      </c>
      <c r="G704" s="2" t="s">
        <v>7401</v>
      </c>
      <c r="H704" s="2" t="s">
        <v>693</v>
      </c>
      <c r="I704" s="4">
        <v>109</v>
      </c>
      <c r="J704" s="4">
        <v>0</v>
      </c>
      <c r="L704" s="31">
        <v>5.14</v>
      </c>
      <c r="M704" s="32">
        <v>21.2</v>
      </c>
      <c r="N704" s="33">
        <v>21.2</v>
      </c>
    </row>
    <row r="705" spans="1:14" x14ac:dyDescent="0.25">
      <c r="A705" s="30">
        <v>1</v>
      </c>
      <c r="B705" s="2" t="s">
        <v>7398</v>
      </c>
      <c r="C705" s="2" t="s">
        <v>7399</v>
      </c>
      <c r="D705" s="2" t="s">
        <v>6113</v>
      </c>
      <c r="E705" s="5">
        <v>24</v>
      </c>
      <c r="F705" s="2" t="s">
        <v>1841</v>
      </c>
      <c r="G705" s="2" t="s">
        <v>7401</v>
      </c>
      <c r="H705" s="2" t="s">
        <v>694</v>
      </c>
      <c r="I705" s="4">
        <v>278</v>
      </c>
      <c r="J705" s="4">
        <v>88</v>
      </c>
      <c r="L705" s="31">
        <v>17</v>
      </c>
      <c r="M705" s="32">
        <v>21.5</v>
      </c>
      <c r="N705" s="33">
        <v>16.399999999999999</v>
      </c>
    </row>
    <row r="706" spans="1:14" x14ac:dyDescent="0.25">
      <c r="A706" s="30">
        <v>1</v>
      </c>
      <c r="B706" s="2" t="s">
        <v>7398</v>
      </c>
      <c r="C706" s="2" t="s">
        <v>7399</v>
      </c>
      <c r="D706" s="2" t="s">
        <v>6114</v>
      </c>
      <c r="E706" s="5">
        <v>24</v>
      </c>
      <c r="F706" s="2" t="s">
        <v>1841</v>
      </c>
      <c r="G706" s="2" t="s">
        <v>7401</v>
      </c>
      <c r="H706" s="2" t="s">
        <v>695</v>
      </c>
      <c r="I706" s="4">
        <v>51</v>
      </c>
      <c r="J706" s="4">
        <v>0</v>
      </c>
      <c r="L706" s="31">
        <v>1.57</v>
      </c>
      <c r="M706" s="32">
        <v>32.5</v>
      </c>
      <c r="N706" s="33">
        <v>32.5</v>
      </c>
    </row>
    <row r="707" spans="1:14" x14ac:dyDescent="0.25">
      <c r="A707" s="30">
        <v>1</v>
      </c>
      <c r="B707" s="2" t="s">
        <v>7398</v>
      </c>
      <c r="C707" s="2" t="s">
        <v>7399</v>
      </c>
      <c r="D707" s="2" t="s">
        <v>6115</v>
      </c>
      <c r="E707" s="5">
        <v>24</v>
      </c>
      <c r="F707" s="2" t="s">
        <v>1841</v>
      </c>
      <c r="G707" s="2" t="s">
        <v>7401</v>
      </c>
      <c r="H707" s="2" t="s">
        <v>696</v>
      </c>
      <c r="I707" s="4">
        <v>105</v>
      </c>
      <c r="J707" s="4">
        <v>0</v>
      </c>
      <c r="L707" s="31">
        <v>12.85</v>
      </c>
      <c r="M707" s="32">
        <v>8.1999999999999993</v>
      </c>
      <c r="N707" s="33">
        <v>8.1999999999999993</v>
      </c>
    </row>
    <row r="708" spans="1:14" x14ac:dyDescent="0.25">
      <c r="A708" s="30">
        <v>1</v>
      </c>
      <c r="B708" s="2" t="s">
        <v>7398</v>
      </c>
      <c r="C708" s="2" t="s">
        <v>7399</v>
      </c>
      <c r="D708" s="2" t="s">
        <v>6116</v>
      </c>
      <c r="E708" s="5">
        <v>24</v>
      </c>
      <c r="F708" s="2" t="s">
        <v>1841</v>
      </c>
      <c r="G708" s="2" t="s">
        <v>7401</v>
      </c>
      <c r="H708" s="2" t="s">
        <v>697</v>
      </c>
      <c r="I708" s="4">
        <v>0</v>
      </c>
      <c r="J708" s="4">
        <v>0</v>
      </c>
      <c r="L708" s="31">
        <v>0</v>
      </c>
      <c r="M708" s="32">
        <v>0</v>
      </c>
      <c r="N708" s="33">
        <v>9999</v>
      </c>
    </row>
    <row r="709" spans="1:14" x14ac:dyDescent="0.25">
      <c r="A709" s="30">
        <v>1</v>
      </c>
      <c r="B709" s="2" t="s">
        <v>7398</v>
      </c>
      <c r="C709" s="2" t="s">
        <v>7399</v>
      </c>
      <c r="D709" s="2" t="s">
        <v>6117</v>
      </c>
      <c r="E709" s="5">
        <v>25</v>
      </c>
      <c r="F709" s="2" t="s">
        <v>1869</v>
      </c>
      <c r="G709" s="2" t="s">
        <v>7416</v>
      </c>
      <c r="H709" s="2" t="s">
        <v>698</v>
      </c>
      <c r="I709" s="4">
        <v>3</v>
      </c>
      <c r="J709" s="4">
        <v>396</v>
      </c>
      <c r="L709" s="31">
        <v>2.14</v>
      </c>
      <c r="M709" s="32">
        <v>186.4</v>
      </c>
      <c r="N709" s="33">
        <v>1.4</v>
      </c>
    </row>
    <row r="710" spans="1:14" x14ac:dyDescent="0.25">
      <c r="A710" s="30">
        <v>1</v>
      </c>
      <c r="B710" s="2" t="s">
        <v>7398</v>
      </c>
      <c r="C710" s="2" t="s">
        <v>7399</v>
      </c>
      <c r="D710" s="2" t="s">
        <v>6118</v>
      </c>
      <c r="E710" s="5">
        <v>12</v>
      </c>
      <c r="F710" s="2" t="s">
        <v>1849</v>
      </c>
      <c r="G710" s="2" t="s">
        <v>7410</v>
      </c>
      <c r="H710" s="2" t="s">
        <v>699</v>
      </c>
      <c r="I710" s="4">
        <v>29</v>
      </c>
      <c r="J710" s="4">
        <v>18</v>
      </c>
      <c r="L710" s="31">
        <v>2.2799999999999998</v>
      </c>
      <c r="M710" s="32">
        <v>20.6</v>
      </c>
      <c r="N710" s="33">
        <v>12.7</v>
      </c>
    </row>
    <row r="711" spans="1:14" x14ac:dyDescent="0.25">
      <c r="A711" s="30">
        <v>1</v>
      </c>
      <c r="B711" s="2" t="s">
        <v>7398</v>
      </c>
      <c r="C711" s="2" t="s">
        <v>7399</v>
      </c>
      <c r="D711" s="2" t="s">
        <v>6119</v>
      </c>
      <c r="E711" s="5">
        <v>24</v>
      </c>
      <c r="F711" s="2" t="s">
        <v>1869</v>
      </c>
      <c r="G711" s="2" t="s">
        <v>7400</v>
      </c>
      <c r="H711" s="2" t="s">
        <v>700</v>
      </c>
      <c r="I711" s="4">
        <v>47</v>
      </c>
      <c r="J711" s="4">
        <v>60</v>
      </c>
      <c r="L711" s="31">
        <v>7.71</v>
      </c>
      <c r="M711" s="32">
        <v>13.9</v>
      </c>
      <c r="N711" s="33">
        <v>6.1</v>
      </c>
    </row>
    <row r="712" spans="1:14" x14ac:dyDescent="0.25">
      <c r="A712" s="30">
        <v>1</v>
      </c>
      <c r="B712" s="2" t="s">
        <v>7398</v>
      </c>
      <c r="C712" s="2" t="s">
        <v>7399</v>
      </c>
      <c r="D712" s="2" t="s">
        <v>6120</v>
      </c>
      <c r="E712" s="5">
        <v>12</v>
      </c>
      <c r="F712" s="2" t="s">
        <v>1938</v>
      </c>
      <c r="G712" s="2" t="s">
        <v>7410</v>
      </c>
      <c r="H712" s="2" t="s">
        <v>701</v>
      </c>
      <c r="I712" s="4">
        <v>35</v>
      </c>
      <c r="J712" s="4">
        <v>0</v>
      </c>
      <c r="L712" s="31">
        <v>1.71</v>
      </c>
      <c r="M712" s="32">
        <v>20.5</v>
      </c>
      <c r="N712" s="33">
        <v>20.5</v>
      </c>
    </row>
    <row r="713" spans="1:14" x14ac:dyDescent="0.25">
      <c r="A713" s="30">
        <v>1</v>
      </c>
      <c r="B713" s="2" t="s">
        <v>7398</v>
      </c>
      <c r="C713" s="2" t="s">
        <v>7399</v>
      </c>
      <c r="D713" s="2" t="s">
        <v>6121</v>
      </c>
      <c r="E713" s="5">
        <v>24</v>
      </c>
      <c r="F713" s="2" t="s">
        <v>1841</v>
      </c>
      <c r="G713" s="2" t="s">
        <v>7401</v>
      </c>
      <c r="H713" s="2" t="s">
        <v>702</v>
      </c>
      <c r="I713" s="4">
        <v>103</v>
      </c>
      <c r="J713" s="4">
        <v>0</v>
      </c>
      <c r="L713" s="31">
        <v>3</v>
      </c>
      <c r="M713" s="32">
        <v>34.299999999999997</v>
      </c>
      <c r="N713" s="33">
        <v>34.299999999999997</v>
      </c>
    </row>
    <row r="714" spans="1:14" x14ac:dyDescent="0.25">
      <c r="A714" s="30">
        <v>1</v>
      </c>
      <c r="B714" s="2" t="s">
        <v>7398</v>
      </c>
      <c r="C714" s="2" t="s">
        <v>7399</v>
      </c>
      <c r="D714" s="2" t="s">
        <v>6122</v>
      </c>
      <c r="E714" s="5">
        <v>24</v>
      </c>
      <c r="F714" s="2" t="s">
        <v>1940</v>
      </c>
      <c r="G714" s="2" t="s">
        <v>7401</v>
      </c>
      <c r="H714" s="2" t="s">
        <v>703</v>
      </c>
      <c r="I714" s="4">
        <v>27</v>
      </c>
      <c r="J714" s="4">
        <v>0</v>
      </c>
      <c r="L714" s="31">
        <v>0.85</v>
      </c>
      <c r="M714" s="32">
        <v>31.8</v>
      </c>
      <c r="N714" s="33">
        <v>31.8</v>
      </c>
    </row>
    <row r="715" spans="1:14" x14ac:dyDescent="0.25">
      <c r="A715" s="30">
        <v>1</v>
      </c>
      <c r="B715" s="2" t="s">
        <v>7398</v>
      </c>
      <c r="C715" s="2" t="s">
        <v>7399</v>
      </c>
      <c r="D715" s="2" t="s">
        <v>6123</v>
      </c>
      <c r="E715" s="5">
        <v>12</v>
      </c>
      <c r="F715" s="2" t="s">
        <v>1884</v>
      </c>
      <c r="G715" s="2" t="s">
        <v>7403</v>
      </c>
      <c r="H715" s="2" t="s">
        <v>704</v>
      </c>
      <c r="I715" s="4">
        <v>0</v>
      </c>
      <c r="J715" s="4">
        <v>612</v>
      </c>
      <c r="L715" s="31">
        <v>5.42</v>
      </c>
      <c r="M715" s="32">
        <v>112.9</v>
      </c>
      <c r="N715" s="33">
        <v>0</v>
      </c>
    </row>
    <row r="716" spans="1:14" x14ac:dyDescent="0.25">
      <c r="A716" s="30">
        <v>1</v>
      </c>
      <c r="B716" s="2" t="s">
        <v>7398</v>
      </c>
      <c r="C716" s="2" t="s">
        <v>7399</v>
      </c>
      <c r="D716" s="2" t="s">
        <v>6124</v>
      </c>
      <c r="E716" s="5">
        <v>12</v>
      </c>
      <c r="F716" s="2" t="s">
        <v>1884</v>
      </c>
      <c r="G716" s="2" t="s">
        <v>7403</v>
      </c>
      <c r="H716" s="2" t="s">
        <v>705</v>
      </c>
      <c r="I716" s="4">
        <v>11</v>
      </c>
      <c r="J716" s="4">
        <v>0</v>
      </c>
      <c r="L716" s="31">
        <v>0.71</v>
      </c>
      <c r="M716" s="32">
        <v>15.5</v>
      </c>
      <c r="N716" s="33">
        <v>15.5</v>
      </c>
    </row>
    <row r="717" spans="1:14" x14ac:dyDescent="0.25">
      <c r="A717" s="30">
        <v>1</v>
      </c>
      <c r="B717" s="2" t="s">
        <v>7398</v>
      </c>
      <c r="C717" s="2" t="s">
        <v>7399</v>
      </c>
      <c r="D717" s="2" t="s">
        <v>6125</v>
      </c>
      <c r="E717" s="5">
        <v>12</v>
      </c>
      <c r="F717" s="2" t="s">
        <v>1884</v>
      </c>
      <c r="G717" s="2" t="s">
        <v>7403</v>
      </c>
      <c r="H717" s="2" t="s">
        <v>706</v>
      </c>
      <c r="I717" s="4">
        <v>383</v>
      </c>
      <c r="J717" s="4">
        <v>918</v>
      </c>
      <c r="L717" s="31">
        <v>7.57</v>
      </c>
      <c r="M717" s="32">
        <v>171.9</v>
      </c>
      <c r="N717" s="33">
        <v>50.6</v>
      </c>
    </row>
    <row r="718" spans="1:14" x14ac:dyDescent="0.25">
      <c r="A718" s="30">
        <v>1</v>
      </c>
      <c r="B718" s="2" t="s">
        <v>7398</v>
      </c>
      <c r="C718" s="2" t="s">
        <v>7399</v>
      </c>
      <c r="D718" s="2" t="s">
        <v>6126</v>
      </c>
      <c r="E718" s="5">
        <v>12</v>
      </c>
      <c r="F718" s="2" t="s">
        <v>1884</v>
      </c>
      <c r="G718" s="2" t="s">
        <v>7403</v>
      </c>
      <c r="H718" s="2" t="s">
        <v>707</v>
      </c>
      <c r="I718" s="4">
        <v>1300</v>
      </c>
      <c r="J718" s="4">
        <v>8874</v>
      </c>
      <c r="L718" s="31">
        <v>38</v>
      </c>
      <c r="M718" s="32">
        <v>267.7</v>
      </c>
      <c r="N718" s="33">
        <v>34.200000000000003</v>
      </c>
    </row>
    <row r="719" spans="1:14" x14ac:dyDescent="0.25">
      <c r="A719" s="30">
        <v>1</v>
      </c>
      <c r="B719" s="2" t="s">
        <v>7398</v>
      </c>
      <c r="C719" s="2" t="s">
        <v>7399</v>
      </c>
      <c r="D719" s="2" t="s">
        <v>6127</v>
      </c>
      <c r="E719" s="5">
        <v>12</v>
      </c>
      <c r="F719" s="2" t="s">
        <v>1884</v>
      </c>
      <c r="G719" s="2" t="s">
        <v>7403</v>
      </c>
      <c r="H719" s="2" t="s">
        <v>708</v>
      </c>
      <c r="I719" s="4">
        <v>1091</v>
      </c>
      <c r="J719" s="4">
        <v>1989</v>
      </c>
      <c r="L719" s="31">
        <v>16.57</v>
      </c>
      <c r="M719" s="32">
        <v>185.9</v>
      </c>
      <c r="N719" s="33">
        <v>65.8</v>
      </c>
    </row>
    <row r="720" spans="1:14" x14ac:dyDescent="0.25">
      <c r="A720" s="30">
        <v>1</v>
      </c>
      <c r="B720" s="2" t="s">
        <v>7398</v>
      </c>
      <c r="C720" s="2" t="s">
        <v>7399</v>
      </c>
      <c r="D720" s="2" t="s">
        <v>6128</v>
      </c>
      <c r="E720" s="5">
        <v>36</v>
      </c>
      <c r="F720" s="2" t="s">
        <v>1864</v>
      </c>
      <c r="G720" s="2" t="s">
        <v>7410</v>
      </c>
      <c r="H720" s="2" t="s">
        <v>709</v>
      </c>
      <c r="I720" s="4">
        <v>19</v>
      </c>
      <c r="J720" s="4">
        <v>0</v>
      </c>
      <c r="L720" s="31">
        <v>2.57</v>
      </c>
      <c r="M720" s="32">
        <v>7.4</v>
      </c>
      <c r="N720" s="33">
        <v>7.4</v>
      </c>
    </row>
    <row r="721" spans="1:14" x14ac:dyDescent="0.25">
      <c r="A721" s="30">
        <v>1</v>
      </c>
      <c r="B721" s="2" t="s">
        <v>7398</v>
      </c>
      <c r="C721" s="2" t="s">
        <v>7399</v>
      </c>
      <c r="D721" s="2" t="s">
        <v>6129</v>
      </c>
      <c r="E721" s="5">
        <v>36</v>
      </c>
      <c r="F721" s="2" t="s">
        <v>1865</v>
      </c>
      <c r="G721" s="2" t="s">
        <v>7410</v>
      </c>
      <c r="H721" s="2" t="s">
        <v>710</v>
      </c>
      <c r="I721" s="4">
        <v>13</v>
      </c>
      <c r="J721" s="4">
        <v>0</v>
      </c>
      <c r="L721" s="31">
        <v>2.71</v>
      </c>
      <c r="M721" s="32">
        <v>4.8</v>
      </c>
      <c r="N721" s="33">
        <v>4.8</v>
      </c>
    </row>
    <row r="722" spans="1:14" x14ac:dyDescent="0.25">
      <c r="A722" s="30">
        <v>1</v>
      </c>
      <c r="B722" s="2" t="s">
        <v>7398</v>
      </c>
      <c r="C722" s="2" t="s">
        <v>7399</v>
      </c>
      <c r="D722" s="2" t="s">
        <v>6130</v>
      </c>
      <c r="E722" s="5">
        <v>36</v>
      </c>
      <c r="F722" s="2" t="s">
        <v>1936</v>
      </c>
      <c r="G722" s="2" t="s">
        <v>7410</v>
      </c>
      <c r="H722" s="2" t="s">
        <v>711</v>
      </c>
      <c r="I722" s="4">
        <v>64</v>
      </c>
      <c r="J722" s="4">
        <v>216</v>
      </c>
      <c r="L722" s="31">
        <v>15.42</v>
      </c>
      <c r="M722" s="32">
        <v>18.2</v>
      </c>
      <c r="N722" s="33">
        <v>4.2</v>
      </c>
    </row>
    <row r="723" spans="1:14" x14ac:dyDescent="0.25">
      <c r="A723" s="30">
        <v>1</v>
      </c>
      <c r="B723" s="2" t="s">
        <v>7398</v>
      </c>
      <c r="C723" s="2" t="s">
        <v>7399</v>
      </c>
      <c r="D723" s="2" t="s">
        <v>6131</v>
      </c>
      <c r="E723" s="5">
        <v>24</v>
      </c>
      <c r="F723" s="2" t="s">
        <v>1869</v>
      </c>
      <c r="H723" s="2" t="s">
        <v>712</v>
      </c>
      <c r="I723" s="4">
        <v>62</v>
      </c>
      <c r="J723" s="4">
        <v>0</v>
      </c>
      <c r="L723" s="31">
        <v>4</v>
      </c>
      <c r="M723" s="32">
        <v>15.5</v>
      </c>
      <c r="N723" s="33">
        <v>15.5</v>
      </c>
    </row>
    <row r="724" spans="1:14" x14ac:dyDescent="0.25">
      <c r="A724" s="30">
        <v>1</v>
      </c>
      <c r="B724" s="2" t="s">
        <v>7398</v>
      </c>
      <c r="C724" s="2" t="s">
        <v>7399</v>
      </c>
      <c r="D724" s="2" t="s">
        <v>6132</v>
      </c>
      <c r="E724" s="5">
        <v>36</v>
      </c>
      <c r="F724" s="2" t="s">
        <v>1936</v>
      </c>
      <c r="G724" s="2" t="s">
        <v>7410</v>
      </c>
      <c r="H724" s="2" t="s">
        <v>713</v>
      </c>
      <c r="I724" s="4">
        <v>292</v>
      </c>
      <c r="J724" s="4">
        <v>0</v>
      </c>
      <c r="L724" s="31">
        <v>19.420000000000002</v>
      </c>
      <c r="M724" s="32">
        <v>15</v>
      </c>
      <c r="N724" s="33">
        <v>15</v>
      </c>
    </row>
    <row r="725" spans="1:14" x14ac:dyDescent="0.25">
      <c r="A725" s="30">
        <v>1</v>
      </c>
      <c r="B725" s="2" t="s">
        <v>7398</v>
      </c>
      <c r="C725" s="2" t="s">
        <v>7399</v>
      </c>
      <c r="D725" s="2" t="s">
        <v>6133</v>
      </c>
      <c r="E725" s="5">
        <v>36</v>
      </c>
      <c r="F725" s="2" t="s">
        <v>1864</v>
      </c>
      <c r="G725" s="2" t="s">
        <v>7410</v>
      </c>
      <c r="H725" s="2" t="s">
        <v>714</v>
      </c>
      <c r="I725" s="4">
        <v>51</v>
      </c>
      <c r="J725" s="4">
        <v>0</v>
      </c>
      <c r="L725" s="31">
        <v>4.28</v>
      </c>
      <c r="M725" s="32">
        <v>11.9</v>
      </c>
      <c r="N725" s="33">
        <v>11.9</v>
      </c>
    </row>
    <row r="726" spans="1:14" x14ac:dyDescent="0.25">
      <c r="A726" s="30">
        <v>1</v>
      </c>
      <c r="B726" s="2" t="s">
        <v>7398</v>
      </c>
      <c r="C726" s="2" t="s">
        <v>7399</v>
      </c>
      <c r="D726" s="2" t="s">
        <v>6134</v>
      </c>
      <c r="E726" s="5">
        <v>36</v>
      </c>
      <c r="F726" s="2" t="s">
        <v>1863</v>
      </c>
      <c r="G726" s="2" t="s">
        <v>7410</v>
      </c>
      <c r="H726" s="2" t="s">
        <v>715</v>
      </c>
      <c r="I726" s="4">
        <v>44</v>
      </c>
      <c r="J726" s="4">
        <v>72</v>
      </c>
      <c r="L726" s="31">
        <v>7.71</v>
      </c>
      <c r="M726" s="32">
        <v>15</v>
      </c>
      <c r="N726" s="33">
        <v>5.7</v>
      </c>
    </row>
    <row r="727" spans="1:14" x14ac:dyDescent="0.25">
      <c r="A727" s="30">
        <v>1</v>
      </c>
      <c r="B727" s="2" t="s">
        <v>7398</v>
      </c>
      <c r="C727" s="2" t="s">
        <v>7399</v>
      </c>
      <c r="D727" s="2" t="s">
        <v>6135</v>
      </c>
      <c r="E727" s="5">
        <v>36</v>
      </c>
      <c r="F727" s="2" t="s">
        <v>1902</v>
      </c>
      <c r="G727" s="2" t="s">
        <v>7410</v>
      </c>
      <c r="H727" s="2" t="s">
        <v>716</v>
      </c>
      <c r="I727" s="4">
        <v>101</v>
      </c>
      <c r="J727" s="4">
        <v>0</v>
      </c>
      <c r="L727" s="31">
        <v>7.71</v>
      </c>
      <c r="M727" s="32">
        <v>13.1</v>
      </c>
      <c r="N727" s="33">
        <v>13.1</v>
      </c>
    </row>
    <row r="728" spans="1:14" x14ac:dyDescent="0.25">
      <c r="A728" s="30">
        <v>1</v>
      </c>
      <c r="B728" s="2" t="s">
        <v>7398</v>
      </c>
      <c r="C728" s="2" t="s">
        <v>7399</v>
      </c>
      <c r="D728" s="2" t="s">
        <v>6136</v>
      </c>
      <c r="E728" s="5">
        <v>36</v>
      </c>
      <c r="F728" s="2" t="s">
        <v>1941</v>
      </c>
      <c r="G728" s="2" t="s">
        <v>7410</v>
      </c>
      <c r="H728" s="2" t="s">
        <v>717</v>
      </c>
      <c r="I728" s="4">
        <v>98</v>
      </c>
      <c r="J728" s="4">
        <v>0</v>
      </c>
      <c r="L728" s="31">
        <v>9.42</v>
      </c>
      <c r="M728" s="32">
        <v>10.4</v>
      </c>
      <c r="N728" s="33">
        <v>10.4</v>
      </c>
    </row>
    <row r="729" spans="1:14" x14ac:dyDescent="0.25">
      <c r="A729" s="30">
        <v>1</v>
      </c>
      <c r="B729" s="2" t="s">
        <v>7398</v>
      </c>
      <c r="C729" s="2" t="s">
        <v>7399</v>
      </c>
      <c r="D729" s="2" t="s">
        <v>6137</v>
      </c>
      <c r="E729" s="5">
        <v>36</v>
      </c>
      <c r="F729" s="2" t="s">
        <v>1857</v>
      </c>
      <c r="G729" s="2" t="s">
        <v>7410</v>
      </c>
      <c r="H729" s="2" t="s">
        <v>718</v>
      </c>
      <c r="I729" s="4">
        <v>378</v>
      </c>
      <c r="J729" s="4">
        <v>324</v>
      </c>
      <c r="L729" s="31">
        <v>42.14</v>
      </c>
      <c r="M729" s="32">
        <v>16.7</v>
      </c>
      <c r="N729" s="33">
        <v>9</v>
      </c>
    </row>
    <row r="730" spans="1:14" x14ac:dyDescent="0.25">
      <c r="A730" s="30">
        <v>1</v>
      </c>
      <c r="B730" s="2" t="s">
        <v>7398</v>
      </c>
      <c r="C730" s="2" t="s">
        <v>7399</v>
      </c>
      <c r="D730" s="2" t="s">
        <v>6138</v>
      </c>
      <c r="E730" s="5">
        <v>20</v>
      </c>
      <c r="F730" s="2" t="s">
        <v>1927</v>
      </c>
      <c r="G730" s="2" t="s">
        <v>7410</v>
      </c>
      <c r="H730" s="2" t="s">
        <v>719</v>
      </c>
      <c r="I730" s="4">
        <v>2</v>
      </c>
      <c r="J730" s="4">
        <v>0</v>
      </c>
      <c r="L730" s="31">
        <v>1</v>
      </c>
      <c r="M730" s="32">
        <v>2</v>
      </c>
      <c r="N730" s="33">
        <v>2</v>
      </c>
    </row>
    <row r="731" spans="1:14" x14ac:dyDescent="0.25">
      <c r="A731" s="30">
        <v>1</v>
      </c>
      <c r="B731" s="2" t="s">
        <v>7398</v>
      </c>
      <c r="C731" s="2" t="s">
        <v>7399</v>
      </c>
      <c r="D731" s="2" t="s">
        <v>6139</v>
      </c>
      <c r="E731" s="5">
        <v>20</v>
      </c>
      <c r="F731" s="2" t="s">
        <v>1928</v>
      </c>
      <c r="G731" s="2" t="s">
        <v>7410</v>
      </c>
      <c r="H731" s="2" t="s">
        <v>720</v>
      </c>
      <c r="I731" s="4">
        <v>0</v>
      </c>
      <c r="J731" s="4">
        <v>0</v>
      </c>
      <c r="L731" s="31">
        <v>0</v>
      </c>
      <c r="M731" s="32">
        <v>0</v>
      </c>
      <c r="N731" s="33">
        <v>9999</v>
      </c>
    </row>
    <row r="732" spans="1:14" x14ac:dyDescent="0.25">
      <c r="A732" s="30">
        <v>1</v>
      </c>
      <c r="B732" s="2" t="s">
        <v>7398</v>
      </c>
      <c r="C732" s="2" t="s">
        <v>7399</v>
      </c>
      <c r="D732" s="2" t="s">
        <v>6140</v>
      </c>
      <c r="E732" s="5">
        <v>20</v>
      </c>
      <c r="F732" s="2" t="s">
        <v>1927</v>
      </c>
      <c r="G732" s="2" t="s">
        <v>7410</v>
      </c>
      <c r="H732" s="2" t="s">
        <v>721</v>
      </c>
      <c r="I732" s="4">
        <v>0</v>
      </c>
      <c r="J732" s="4">
        <v>0</v>
      </c>
      <c r="L732" s="31">
        <v>0.56999999999999995</v>
      </c>
      <c r="M732" s="32">
        <v>0</v>
      </c>
      <c r="N732" s="33">
        <v>0</v>
      </c>
    </row>
    <row r="733" spans="1:14" x14ac:dyDescent="0.25">
      <c r="A733" s="30">
        <v>1</v>
      </c>
      <c r="B733" s="2" t="s">
        <v>7398</v>
      </c>
      <c r="C733" s="2" t="s">
        <v>7399</v>
      </c>
      <c r="D733" s="2" t="s">
        <v>6141</v>
      </c>
      <c r="E733" s="5">
        <v>24</v>
      </c>
      <c r="F733" s="2" t="s">
        <v>1849</v>
      </c>
      <c r="G733" s="2" t="s">
        <v>7403</v>
      </c>
      <c r="H733" s="2" t="s">
        <v>722</v>
      </c>
      <c r="I733" s="4">
        <v>205</v>
      </c>
      <c r="J733" s="4">
        <v>750</v>
      </c>
      <c r="L733" s="31">
        <v>21.42</v>
      </c>
      <c r="M733" s="32">
        <v>44.6</v>
      </c>
      <c r="N733" s="33">
        <v>9.6</v>
      </c>
    </row>
    <row r="734" spans="1:14" x14ac:dyDescent="0.25">
      <c r="A734" s="30">
        <v>1</v>
      </c>
      <c r="B734" s="2" t="s">
        <v>7398</v>
      </c>
      <c r="C734" s="2" t="s">
        <v>7399</v>
      </c>
      <c r="D734" s="2" t="s">
        <v>6142</v>
      </c>
      <c r="E734" s="5">
        <v>24</v>
      </c>
      <c r="F734" s="2" t="s">
        <v>1869</v>
      </c>
      <c r="G734" s="2" t="s">
        <v>7403</v>
      </c>
      <c r="H734" s="2" t="s">
        <v>723</v>
      </c>
      <c r="I734" s="4">
        <v>369</v>
      </c>
      <c r="J734" s="4">
        <v>0</v>
      </c>
      <c r="L734" s="31">
        <v>2.42</v>
      </c>
      <c r="M734" s="32">
        <v>152.5</v>
      </c>
      <c r="N734" s="33">
        <v>152.5</v>
      </c>
    </row>
    <row r="735" spans="1:14" x14ac:dyDescent="0.25">
      <c r="A735" s="30">
        <v>1</v>
      </c>
      <c r="B735" s="2" t="s">
        <v>7398</v>
      </c>
      <c r="C735" s="2" t="s">
        <v>7399</v>
      </c>
      <c r="D735" s="2" t="s">
        <v>6143</v>
      </c>
      <c r="E735" s="5">
        <v>24</v>
      </c>
      <c r="F735" s="2" t="s">
        <v>1869</v>
      </c>
      <c r="G735" s="2" t="s">
        <v>7400</v>
      </c>
      <c r="H735" s="2" t="s">
        <v>724</v>
      </c>
      <c r="I735" s="4">
        <v>506</v>
      </c>
      <c r="J735" s="4">
        <v>448</v>
      </c>
      <c r="L735" s="31">
        <v>47.14</v>
      </c>
      <c r="M735" s="32">
        <v>20.2</v>
      </c>
      <c r="N735" s="33">
        <v>10.7</v>
      </c>
    </row>
    <row r="736" spans="1:14" x14ac:dyDescent="0.25">
      <c r="A736" s="30">
        <v>1</v>
      </c>
      <c r="B736" s="2" t="s">
        <v>7398</v>
      </c>
      <c r="C736" s="2" t="s">
        <v>7399</v>
      </c>
      <c r="D736" s="2" t="s">
        <v>6144</v>
      </c>
      <c r="E736" s="5">
        <v>24</v>
      </c>
      <c r="F736" s="2" t="s">
        <v>1847</v>
      </c>
      <c r="G736" s="2" t="s">
        <v>7400</v>
      </c>
      <c r="H736" s="2" t="s">
        <v>725</v>
      </c>
      <c r="I736" s="4">
        <v>62</v>
      </c>
      <c r="J736" s="4">
        <v>288</v>
      </c>
      <c r="L736" s="31">
        <v>18.57</v>
      </c>
      <c r="M736" s="32">
        <v>18.8</v>
      </c>
      <c r="N736" s="33">
        <v>3.3</v>
      </c>
    </row>
    <row r="737" spans="1:14" x14ac:dyDescent="0.25">
      <c r="A737" s="30">
        <v>1</v>
      </c>
      <c r="B737" s="2" t="s">
        <v>7398</v>
      </c>
      <c r="C737" s="2" t="s">
        <v>7399</v>
      </c>
      <c r="D737" s="2" t="s">
        <v>6145</v>
      </c>
      <c r="E737" s="5">
        <v>12</v>
      </c>
      <c r="F737" s="2" t="s">
        <v>1904</v>
      </c>
      <c r="G737" s="2" t="s">
        <v>7400</v>
      </c>
      <c r="H737" s="2" t="s">
        <v>726</v>
      </c>
      <c r="I737" s="4">
        <v>1859</v>
      </c>
      <c r="J737" s="4">
        <v>0</v>
      </c>
      <c r="L737" s="31">
        <v>34.28</v>
      </c>
      <c r="M737" s="32">
        <v>54.2</v>
      </c>
      <c r="N737" s="33">
        <v>54.2</v>
      </c>
    </row>
    <row r="738" spans="1:14" x14ac:dyDescent="0.25">
      <c r="A738" s="30">
        <v>1</v>
      </c>
      <c r="B738" s="2" t="s">
        <v>7398</v>
      </c>
      <c r="C738" s="2" t="s">
        <v>7399</v>
      </c>
      <c r="D738" s="2" t="s">
        <v>6146</v>
      </c>
      <c r="E738" s="5">
        <v>24</v>
      </c>
      <c r="F738" s="2" t="s">
        <v>1869</v>
      </c>
      <c r="G738" s="2" t="s">
        <v>7403</v>
      </c>
      <c r="H738" s="2" t="s">
        <v>727</v>
      </c>
      <c r="I738" s="4">
        <v>55</v>
      </c>
      <c r="J738" s="4">
        <v>154</v>
      </c>
      <c r="L738" s="31">
        <v>8.7100000000000009</v>
      </c>
      <c r="M738" s="32">
        <v>24</v>
      </c>
      <c r="N738" s="33">
        <v>6.3</v>
      </c>
    </row>
    <row r="739" spans="1:14" x14ac:dyDescent="0.25">
      <c r="A739" s="30">
        <v>1</v>
      </c>
      <c r="B739" s="2" t="s">
        <v>7398</v>
      </c>
      <c r="C739" s="2" t="s">
        <v>7399</v>
      </c>
      <c r="D739" s="2" t="s">
        <v>6147</v>
      </c>
      <c r="E739" s="5">
        <v>12</v>
      </c>
      <c r="F739" s="2" t="s">
        <v>1849</v>
      </c>
      <c r="G739" s="2" t="s">
        <v>7403</v>
      </c>
      <c r="H739" s="2" t="s">
        <v>728</v>
      </c>
      <c r="I739" s="4">
        <v>70</v>
      </c>
      <c r="J739" s="4">
        <v>198</v>
      </c>
      <c r="L739" s="31">
        <v>8.7100000000000009</v>
      </c>
      <c r="M739" s="32">
        <v>30.8</v>
      </c>
      <c r="N739" s="33">
        <v>8</v>
      </c>
    </row>
    <row r="740" spans="1:14" x14ac:dyDescent="0.25">
      <c r="A740" s="30">
        <v>1</v>
      </c>
      <c r="B740" s="2" t="s">
        <v>7398</v>
      </c>
      <c r="C740" s="2" t="s">
        <v>7399</v>
      </c>
      <c r="D740" s="2" t="s">
        <v>6148</v>
      </c>
      <c r="E740" s="5">
        <v>24</v>
      </c>
      <c r="F740" s="2" t="s">
        <v>1849</v>
      </c>
      <c r="G740" s="2" t="s">
        <v>7416</v>
      </c>
      <c r="H740" s="2" t="s">
        <v>729</v>
      </c>
      <c r="I740" s="4">
        <v>218</v>
      </c>
      <c r="J740" s="4">
        <v>1900</v>
      </c>
      <c r="L740" s="31">
        <v>60.71</v>
      </c>
      <c r="M740" s="32">
        <v>34.9</v>
      </c>
      <c r="N740" s="33">
        <v>3.6</v>
      </c>
    </row>
    <row r="741" spans="1:14" x14ac:dyDescent="0.25">
      <c r="A741" s="30">
        <v>1</v>
      </c>
      <c r="B741" s="2" t="s">
        <v>7398</v>
      </c>
      <c r="C741" s="2" t="s">
        <v>7399</v>
      </c>
      <c r="D741" s="2" t="s">
        <v>6149</v>
      </c>
      <c r="E741" s="5">
        <v>12</v>
      </c>
      <c r="F741" s="2" t="s">
        <v>1876</v>
      </c>
      <c r="G741" s="2" t="s">
        <v>7405</v>
      </c>
      <c r="H741" s="2" t="s">
        <v>730</v>
      </c>
      <c r="I741" s="4">
        <v>0</v>
      </c>
      <c r="J741" s="4">
        <v>0</v>
      </c>
      <c r="L741" s="31">
        <v>0</v>
      </c>
      <c r="M741" s="32">
        <v>0</v>
      </c>
      <c r="N741" s="33">
        <v>9999</v>
      </c>
    </row>
    <row r="742" spans="1:14" x14ac:dyDescent="0.25">
      <c r="A742" s="30">
        <v>1</v>
      </c>
      <c r="B742" s="2" t="s">
        <v>7398</v>
      </c>
      <c r="C742" s="2" t="s">
        <v>7399</v>
      </c>
      <c r="D742" s="2" t="s">
        <v>6150</v>
      </c>
      <c r="E742" s="5">
        <v>12</v>
      </c>
      <c r="F742" s="2" t="s">
        <v>1869</v>
      </c>
      <c r="G742" s="2" t="s">
        <v>7409</v>
      </c>
      <c r="H742" s="2" t="s">
        <v>731</v>
      </c>
      <c r="I742" s="4">
        <v>339</v>
      </c>
      <c r="J742" s="4">
        <v>0</v>
      </c>
      <c r="L742" s="31">
        <v>1.42</v>
      </c>
      <c r="M742" s="32">
        <v>238.7</v>
      </c>
      <c r="N742" s="33">
        <v>238.7</v>
      </c>
    </row>
    <row r="743" spans="1:14" x14ac:dyDescent="0.25">
      <c r="A743" s="30">
        <v>1</v>
      </c>
      <c r="B743" s="2" t="s">
        <v>7398</v>
      </c>
      <c r="C743" s="2" t="s">
        <v>7399</v>
      </c>
      <c r="D743" s="2" t="s">
        <v>6151</v>
      </c>
      <c r="E743" s="5">
        <v>12</v>
      </c>
      <c r="F743" s="2" t="s">
        <v>1881</v>
      </c>
      <c r="G743" s="2" t="s">
        <v>7401</v>
      </c>
      <c r="H743" s="2" t="s">
        <v>732</v>
      </c>
      <c r="I743" s="4">
        <v>14</v>
      </c>
      <c r="J743" s="4">
        <v>0</v>
      </c>
      <c r="L743" s="31">
        <v>0.85</v>
      </c>
      <c r="M743" s="32">
        <v>16.5</v>
      </c>
      <c r="N743" s="33">
        <v>16.5</v>
      </c>
    </row>
    <row r="744" spans="1:14" x14ac:dyDescent="0.25">
      <c r="A744" s="30">
        <v>1</v>
      </c>
      <c r="B744" s="2" t="s">
        <v>7398</v>
      </c>
      <c r="C744" s="2" t="s">
        <v>7399</v>
      </c>
      <c r="D744" s="2" t="s">
        <v>6152</v>
      </c>
      <c r="E744" s="5">
        <v>24</v>
      </c>
      <c r="F744" s="2" t="s">
        <v>1942</v>
      </c>
      <c r="G744" s="2" t="s">
        <v>7414</v>
      </c>
      <c r="H744" s="2" t="s">
        <v>733</v>
      </c>
      <c r="I744" s="4">
        <v>158</v>
      </c>
      <c r="J744" s="4">
        <v>0</v>
      </c>
      <c r="L744" s="31">
        <v>37</v>
      </c>
      <c r="M744" s="32">
        <v>4.3</v>
      </c>
      <c r="N744" s="33">
        <v>4.3</v>
      </c>
    </row>
    <row r="745" spans="1:14" x14ac:dyDescent="0.25">
      <c r="A745" s="30">
        <v>1</v>
      </c>
      <c r="B745" s="2" t="s">
        <v>7398</v>
      </c>
      <c r="C745" s="2" t="s">
        <v>7399</v>
      </c>
      <c r="D745" s="2" t="s">
        <v>6153</v>
      </c>
      <c r="E745" s="5">
        <v>24</v>
      </c>
      <c r="F745" s="2" t="s">
        <v>1942</v>
      </c>
      <c r="G745" s="2" t="s">
        <v>7410</v>
      </c>
      <c r="H745" s="2" t="s">
        <v>734</v>
      </c>
      <c r="I745" s="4">
        <v>1396</v>
      </c>
      <c r="J745" s="4">
        <v>312</v>
      </c>
      <c r="L745" s="31">
        <v>168.14</v>
      </c>
      <c r="M745" s="32">
        <v>10.199999999999999</v>
      </c>
      <c r="N745" s="33">
        <v>8.3000000000000007</v>
      </c>
    </row>
    <row r="746" spans="1:14" x14ac:dyDescent="0.25">
      <c r="A746" s="30">
        <v>1</v>
      </c>
      <c r="B746" s="2" t="s">
        <v>7398</v>
      </c>
      <c r="C746" s="2" t="s">
        <v>7399</v>
      </c>
      <c r="D746" s="2" t="s">
        <v>6154</v>
      </c>
      <c r="E746" s="5">
        <v>24</v>
      </c>
      <c r="F746" s="2" t="s">
        <v>1942</v>
      </c>
      <c r="G746" s="2" t="s">
        <v>7410</v>
      </c>
      <c r="H746" s="2" t="s">
        <v>735</v>
      </c>
      <c r="I746" s="4">
        <v>624</v>
      </c>
      <c r="J746" s="4">
        <v>0</v>
      </c>
      <c r="L746" s="31">
        <v>58</v>
      </c>
      <c r="M746" s="32">
        <v>10.8</v>
      </c>
      <c r="N746" s="33">
        <v>10.8</v>
      </c>
    </row>
    <row r="747" spans="1:14" x14ac:dyDescent="0.25">
      <c r="A747" s="30">
        <v>1</v>
      </c>
      <c r="B747" s="2" t="s">
        <v>7398</v>
      </c>
      <c r="C747" s="2" t="s">
        <v>7399</v>
      </c>
      <c r="D747" s="2" t="s">
        <v>6155</v>
      </c>
      <c r="E747" s="5">
        <v>24</v>
      </c>
      <c r="F747" s="2" t="s">
        <v>1942</v>
      </c>
      <c r="G747" s="2" t="s">
        <v>7410</v>
      </c>
      <c r="H747" s="2" t="s">
        <v>736</v>
      </c>
      <c r="I747" s="4">
        <v>4274</v>
      </c>
      <c r="J747" s="4">
        <v>0</v>
      </c>
      <c r="L747" s="31">
        <v>637.57000000000005</v>
      </c>
      <c r="M747" s="32">
        <v>6.7</v>
      </c>
      <c r="N747" s="33">
        <v>6.7</v>
      </c>
    </row>
    <row r="748" spans="1:14" x14ac:dyDescent="0.25">
      <c r="A748" s="30">
        <v>1</v>
      </c>
      <c r="B748" s="2" t="s">
        <v>7398</v>
      </c>
      <c r="C748" s="2" t="s">
        <v>7399</v>
      </c>
      <c r="D748" s="2" t="s">
        <v>6156</v>
      </c>
      <c r="E748" s="5">
        <v>24</v>
      </c>
      <c r="F748" s="2" t="s">
        <v>1942</v>
      </c>
      <c r="G748" s="2" t="s">
        <v>7410</v>
      </c>
      <c r="H748" s="2" t="s">
        <v>737</v>
      </c>
      <c r="I748" s="4">
        <v>1834</v>
      </c>
      <c r="J748" s="4">
        <v>0</v>
      </c>
      <c r="L748" s="31">
        <v>188.14</v>
      </c>
      <c r="M748" s="32">
        <v>9.6999999999999993</v>
      </c>
      <c r="N748" s="33">
        <v>9.6999999999999993</v>
      </c>
    </row>
    <row r="749" spans="1:14" x14ac:dyDescent="0.25">
      <c r="A749" s="30">
        <v>1</v>
      </c>
      <c r="B749" s="2" t="s">
        <v>7398</v>
      </c>
      <c r="C749" s="2" t="s">
        <v>7399</v>
      </c>
      <c r="D749" s="2" t="s">
        <v>6157</v>
      </c>
      <c r="E749" s="5">
        <v>24</v>
      </c>
      <c r="F749" s="2" t="s">
        <v>1942</v>
      </c>
      <c r="G749" s="2" t="s">
        <v>7410</v>
      </c>
      <c r="H749" s="2" t="s">
        <v>738</v>
      </c>
      <c r="I749" s="4">
        <v>1979</v>
      </c>
      <c r="J749" s="4">
        <v>0</v>
      </c>
      <c r="L749" s="31">
        <v>282.42</v>
      </c>
      <c r="M749" s="32">
        <v>7</v>
      </c>
      <c r="N749" s="33">
        <v>7</v>
      </c>
    </row>
    <row r="750" spans="1:14" x14ac:dyDescent="0.25">
      <c r="A750" s="30">
        <v>1</v>
      </c>
      <c r="B750" s="2" t="s">
        <v>7398</v>
      </c>
      <c r="C750" s="2" t="s">
        <v>7399</v>
      </c>
      <c r="D750" s="2" t="s">
        <v>6158</v>
      </c>
      <c r="E750" s="5">
        <v>24</v>
      </c>
      <c r="F750" s="2" t="s">
        <v>1856</v>
      </c>
      <c r="G750" s="2" t="s">
        <v>7410</v>
      </c>
      <c r="H750" s="2" t="s">
        <v>739</v>
      </c>
      <c r="I750" s="4">
        <v>633</v>
      </c>
      <c r="J750" s="4">
        <v>0</v>
      </c>
      <c r="L750" s="31">
        <v>67.569999999999993</v>
      </c>
      <c r="M750" s="32">
        <v>9.4</v>
      </c>
      <c r="N750" s="33">
        <v>9.4</v>
      </c>
    </row>
    <row r="751" spans="1:14" x14ac:dyDescent="0.25">
      <c r="A751" s="30">
        <v>1</v>
      </c>
      <c r="B751" s="2" t="s">
        <v>7398</v>
      </c>
      <c r="C751" s="2" t="s">
        <v>7399</v>
      </c>
      <c r="D751" s="2" t="s">
        <v>6159</v>
      </c>
      <c r="E751" s="5">
        <v>72</v>
      </c>
      <c r="F751" s="2" t="s">
        <v>1924</v>
      </c>
      <c r="G751" s="2" t="s">
        <v>7410</v>
      </c>
      <c r="H751" s="2" t="s">
        <v>740</v>
      </c>
      <c r="I751" s="4">
        <v>139</v>
      </c>
      <c r="J751" s="4">
        <v>432</v>
      </c>
      <c r="L751" s="31">
        <v>101.42</v>
      </c>
      <c r="M751" s="32">
        <v>5.6</v>
      </c>
      <c r="N751" s="33">
        <v>1.4</v>
      </c>
    </row>
    <row r="752" spans="1:14" x14ac:dyDescent="0.25">
      <c r="A752" s="30">
        <v>1</v>
      </c>
      <c r="B752" s="2" t="s">
        <v>7398</v>
      </c>
      <c r="C752" s="2" t="s">
        <v>7399</v>
      </c>
      <c r="D752" s="2" t="s">
        <v>6160</v>
      </c>
      <c r="E752" s="5">
        <v>18</v>
      </c>
      <c r="F752" s="2" t="s">
        <v>1924</v>
      </c>
      <c r="G752" s="2" t="s">
        <v>7410</v>
      </c>
      <c r="H752" s="2" t="s">
        <v>741</v>
      </c>
      <c r="I752" s="4">
        <v>3789</v>
      </c>
      <c r="J752" s="4">
        <v>1200</v>
      </c>
      <c r="L752" s="31">
        <v>842</v>
      </c>
      <c r="M752" s="32">
        <v>5.9</v>
      </c>
      <c r="N752" s="33">
        <v>4.5</v>
      </c>
    </row>
    <row r="753" spans="1:14" x14ac:dyDescent="0.25">
      <c r="A753" s="30">
        <v>1</v>
      </c>
      <c r="B753" s="2" t="s">
        <v>7398</v>
      </c>
      <c r="C753" s="2" t="s">
        <v>7399</v>
      </c>
      <c r="D753" s="2" t="s">
        <v>6161</v>
      </c>
      <c r="E753" s="5">
        <v>24</v>
      </c>
      <c r="F753" s="2" t="s">
        <v>1873</v>
      </c>
      <c r="G753" s="2" t="s">
        <v>7400</v>
      </c>
      <c r="H753" s="2" t="s">
        <v>742</v>
      </c>
      <c r="I753" s="4">
        <v>57</v>
      </c>
      <c r="J753" s="4">
        <v>0</v>
      </c>
      <c r="L753" s="31">
        <v>0.56999999999999995</v>
      </c>
      <c r="M753" s="32">
        <v>100</v>
      </c>
      <c r="N753" s="33">
        <v>100</v>
      </c>
    </row>
    <row r="754" spans="1:14" x14ac:dyDescent="0.25">
      <c r="A754" s="30">
        <v>1</v>
      </c>
      <c r="B754" s="2" t="s">
        <v>7398</v>
      </c>
      <c r="C754" s="2" t="s">
        <v>7399</v>
      </c>
      <c r="D754" s="2" t="s">
        <v>6162</v>
      </c>
      <c r="E754" s="5">
        <v>24</v>
      </c>
      <c r="F754" s="2" t="s">
        <v>1873</v>
      </c>
      <c r="G754" s="2" t="s">
        <v>7400</v>
      </c>
      <c r="H754" s="2" t="s">
        <v>743</v>
      </c>
      <c r="I754" s="4">
        <v>17</v>
      </c>
      <c r="J754" s="4">
        <v>0</v>
      </c>
      <c r="L754" s="31">
        <v>0.42</v>
      </c>
      <c r="M754" s="32">
        <v>40.5</v>
      </c>
      <c r="N754" s="33">
        <v>40.5</v>
      </c>
    </row>
    <row r="755" spans="1:14" x14ac:dyDescent="0.25">
      <c r="A755" s="30">
        <v>1</v>
      </c>
      <c r="B755" s="2" t="s">
        <v>7398</v>
      </c>
      <c r="C755" s="2" t="s">
        <v>7399</v>
      </c>
      <c r="D755" s="2" t="s">
        <v>6163</v>
      </c>
      <c r="E755" s="5">
        <v>16</v>
      </c>
      <c r="F755" s="2" t="s">
        <v>1866</v>
      </c>
      <c r="G755" s="2" t="s">
        <v>7409</v>
      </c>
      <c r="H755" s="2" t="s">
        <v>744</v>
      </c>
      <c r="I755" s="4">
        <v>33</v>
      </c>
      <c r="J755" s="4">
        <v>150</v>
      </c>
      <c r="L755" s="31">
        <v>12</v>
      </c>
      <c r="M755" s="32">
        <v>15.3</v>
      </c>
      <c r="N755" s="33">
        <v>2.8</v>
      </c>
    </row>
    <row r="756" spans="1:14" x14ac:dyDescent="0.25">
      <c r="A756" s="30">
        <v>1</v>
      </c>
      <c r="B756" s="2" t="s">
        <v>7398</v>
      </c>
      <c r="C756" s="2" t="s">
        <v>7399</v>
      </c>
      <c r="D756" s="2" t="s">
        <v>6164</v>
      </c>
      <c r="E756" s="5">
        <v>16</v>
      </c>
      <c r="F756" s="2" t="s">
        <v>1936</v>
      </c>
      <c r="G756" s="2" t="s">
        <v>7409</v>
      </c>
      <c r="H756" s="2" t="s">
        <v>745</v>
      </c>
      <c r="I756" s="4">
        <v>116</v>
      </c>
      <c r="J756" s="4">
        <v>0</v>
      </c>
      <c r="L756" s="31">
        <v>12.14</v>
      </c>
      <c r="M756" s="32">
        <v>9.6</v>
      </c>
      <c r="N756" s="33">
        <v>9.6</v>
      </c>
    </row>
    <row r="757" spans="1:14" x14ac:dyDescent="0.25">
      <c r="A757" s="30">
        <v>1</v>
      </c>
      <c r="B757" s="2" t="s">
        <v>7398</v>
      </c>
      <c r="C757" s="2" t="s">
        <v>7399</v>
      </c>
      <c r="D757" s="2" t="s">
        <v>6165</v>
      </c>
      <c r="E757" s="5">
        <v>16</v>
      </c>
      <c r="F757" s="2" t="s">
        <v>1936</v>
      </c>
      <c r="G757" s="2" t="s">
        <v>7409</v>
      </c>
      <c r="H757" s="2" t="s">
        <v>746</v>
      </c>
      <c r="I757" s="4">
        <v>711</v>
      </c>
      <c r="J757" s="4">
        <v>272</v>
      </c>
      <c r="L757" s="31">
        <v>156.57</v>
      </c>
      <c r="M757" s="32">
        <v>6.3</v>
      </c>
      <c r="N757" s="33">
        <v>4.5</v>
      </c>
    </row>
    <row r="758" spans="1:14" x14ac:dyDescent="0.25">
      <c r="A758" s="30">
        <v>1</v>
      </c>
      <c r="B758" s="2" t="s">
        <v>7398</v>
      </c>
      <c r="C758" s="2" t="s">
        <v>7399</v>
      </c>
      <c r="D758" s="2" t="s">
        <v>6166</v>
      </c>
      <c r="E758" s="5">
        <v>16</v>
      </c>
      <c r="F758" s="2" t="s">
        <v>1866</v>
      </c>
      <c r="G758" s="2" t="s">
        <v>7409</v>
      </c>
      <c r="H758" s="2" t="s">
        <v>747</v>
      </c>
      <c r="I758" s="4">
        <v>725</v>
      </c>
      <c r="J758" s="4">
        <v>300</v>
      </c>
      <c r="L758" s="31">
        <v>159.28</v>
      </c>
      <c r="M758" s="32">
        <v>6.4</v>
      </c>
      <c r="N758" s="33">
        <v>4.5999999999999996</v>
      </c>
    </row>
    <row r="759" spans="1:14" x14ac:dyDescent="0.25">
      <c r="A759" s="30">
        <v>1</v>
      </c>
      <c r="B759" s="2" t="s">
        <v>7398</v>
      </c>
      <c r="C759" s="2" t="s">
        <v>7399</v>
      </c>
      <c r="D759" s="2" t="s">
        <v>6167</v>
      </c>
      <c r="E759" s="5">
        <v>48</v>
      </c>
      <c r="F759" s="2" t="s">
        <v>1945</v>
      </c>
      <c r="G759" s="2" t="s">
        <v>7401</v>
      </c>
      <c r="H759" s="2" t="s">
        <v>748</v>
      </c>
      <c r="I759" s="4">
        <v>578</v>
      </c>
      <c r="J759" s="4">
        <v>2310</v>
      </c>
      <c r="L759" s="31">
        <v>68.28</v>
      </c>
      <c r="M759" s="32">
        <v>42.3</v>
      </c>
      <c r="N759" s="33">
        <v>8.5</v>
      </c>
    </row>
    <row r="760" spans="1:14" x14ac:dyDescent="0.25">
      <c r="A760" s="30">
        <v>1</v>
      </c>
      <c r="B760" s="2" t="s">
        <v>7398</v>
      </c>
      <c r="C760" s="2" t="s">
        <v>7399</v>
      </c>
      <c r="D760" s="2" t="s">
        <v>6168</v>
      </c>
      <c r="E760" s="5">
        <v>24</v>
      </c>
      <c r="F760" s="2" t="s">
        <v>1859</v>
      </c>
      <c r="G760" s="2" t="s">
        <v>7401</v>
      </c>
      <c r="H760" s="2" t="s">
        <v>749</v>
      </c>
      <c r="I760" s="4">
        <v>0</v>
      </c>
      <c r="J760" s="4">
        <v>0</v>
      </c>
      <c r="L760" s="31">
        <v>79.849999999999994</v>
      </c>
      <c r="M760" s="32">
        <v>0</v>
      </c>
      <c r="N760" s="33">
        <v>0</v>
      </c>
    </row>
    <row r="761" spans="1:14" x14ac:dyDescent="0.25">
      <c r="A761" s="30">
        <v>1</v>
      </c>
      <c r="B761" s="2" t="s">
        <v>7398</v>
      </c>
      <c r="C761" s="2" t="s">
        <v>7399</v>
      </c>
      <c r="D761" s="2" t="s">
        <v>6169</v>
      </c>
      <c r="E761" s="5">
        <v>48</v>
      </c>
      <c r="F761" s="2" t="s">
        <v>1945</v>
      </c>
      <c r="G761" s="2" t="s">
        <v>7401</v>
      </c>
      <c r="H761" s="2" t="s">
        <v>750</v>
      </c>
      <c r="I761" s="4">
        <v>138</v>
      </c>
      <c r="J761" s="4">
        <v>550</v>
      </c>
      <c r="L761" s="31">
        <v>9</v>
      </c>
      <c r="M761" s="32">
        <v>76.400000000000006</v>
      </c>
      <c r="N761" s="33">
        <v>15.3</v>
      </c>
    </row>
    <row r="762" spans="1:14" x14ac:dyDescent="0.25">
      <c r="A762" s="30">
        <v>1</v>
      </c>
      <c r="B762" s="2" t="s">
        <v>7398</v>
      </c>
      <c r="C762" s="2" t="s">
        <v>7399</v>
      </c>
      <c r="D762" s="2" t="s">
        <v>6170</v>
      </c>
      <c r="E762" s="5">
        <v>48</v>
      </c>
      <c r="F762" s="2" t="s">
        <v>1945</v>
      </c>
      <c r="G762" s="2" t="s">
        <v>7401</v>
      </c>
      <c r="H762" s="2" t="s">
        <v>751</v>
      </c>
      <c r="I762" s="4">
        <v>630</v>
      </c>
      <c r="J762" s="4">
        <v>1320</v>
      </c>
      <c r="L762" s="31">
        <v>69.709999999999994</v>
      </c>
      <c r="M762" s="32">
        <v>28</v>
      </c>
      <c r="N762" s="33">
        <v>9</v>
      </c>
    </row>
    <row r="763" spans="1:14" x14ac:dyDescent="0.25">
      <c r="A763" s="30">
        <v>1</v>
      </c>
      <c r="B763" s="2" t="s">
        <v>7398</v>
      </c>
      <c r="C763" s="2" t="s">
        <v>7399</v>
      </c>
      <c r="D763" s="2" t="s">
        <v>6171</v>
      </c>
      <c r="E763" s="5">
        <v>24</v>
      </c>
      <c r="F763" s="2" t="s">
        <v>1859</v>
      </c>
      <c r="G763" s="2" t="s">
        <v>7401</v>
      </c>
      <c r="H763" s="2" t="s">
        <v>752</v>
      </c>
      <c r="I763" s="4">
        <v>0</v>
      </c>
      <c r="J763" s="4">
        <v>0</v>
      </c>
      <c r="L763" s="31">
        <v>41.71</v>
      </c>
      <c r="M763" s="32">
        <v>0</v>
      </c>
      <c r="N763" s="33">
        <v>0</v>
      </c>
    </row>
    <row r="764" spans="1:14" x14ac:dyDescent="0.25">
      <c r="A764" s="30">
        <v>1</v>
      </c>
      <c r="B764" s="2" t="s">
        <v>7398</v>
      </c>
      <c r="C764" s="2" t="s">
        <v>7399</v>
      </c>
      <c r="D764" s="2" t="s">
        <v>6172</v>
      </c>
      <c r="E764" s="5">
        <v>24</v>
      </c>
      <c r="F764" s="2" t="s">
        <v>1869</v>
      </c>
      <c r="G764" s="2" t="s">
        <v>7405</v>
      </c>
      <c r="H764" s="2" t="s">
        <v>753</v>
      </c>
      <c r="I764" s="4">
        <v>443</v>
      </c>
      <c r="J764" s="4">
        <v>720</v>
      </c>
      <c r="L764" s="31">
        <v>92.14</v>
      </c>
      <c r="M764" s="32">
        <v>12.6</v>
      </c>
      <c r="N764" s="33">
        <v>4.8</v>
      </c>
    </row>
    <row r="765" spans="1:14" x14ac:dyDescent="0.25">
      <c r="A765" s="30">
        <v>1</v>
      </c>
      <c r="B765" s="2" t="s">
        <v>7398</v>
      </c>
      <c r="C765" s="2" t="s">
        <v>7399</v>
      </c>
      <c r="D765" s="2" t="s">
        <v>6173</v>
      </c>
      <c r="E765" s="5">
        <v>18</v>
      </c>
      <c r="F765" s="2" t="s">
        <v>1927</v>
      </c>
      <c r="G765" s="2" t="s">
        <v>7405</v>
      </c>
      <c r="H765" s="2" t="s">
        <v>753</v>
      </c>
      <c r="I765" s="4">
        <v>3125</v>
      </c>
      <c r="J765" s="4">
        <v>1710</v>
      </c>
      <c r="L765" s="31">
        <v>363.71</v>
      </c>
      <c r="M765" s="32">
        <v>13.3</v>
      </c>
      <c r="N765" s="33">
        <v>8.6</v>
      </c>
    </row>
    <row r="766" spans="1:14" x14ac:dyDescent="0.25">
      <c r="A766" s="30">
        <v>1</v>
      </c>
      <c r="B766" s="2" t="s">
        <v>7398</v>
      </c>
      <c r="C766" s="2" t="s">
        <v>7399</v>
      </c>
      <c r="D766" s="2" t="s">
        <v>6174</v>
      </c>
      <c r="E766" s="5">
        <v>24</v>
      </c>
      <c r="F766" s="2" t="s">
        <v>1869</v>
      </c>
      <c r="G766" s="2" t="s">
        <v>7405</v>
      </c>
      <c r="H766" s="2" t="s">
        <v>754</v>
      </c>
      <c r="I766" s="4">
        <v>750</v>
      </c>
      <c r="J766" s="4">
        <v>1296</v>
      </c>
      <c r="L766" s="31">
        <v>126.57</v>
      </c>
      <c r="M766" s="32">
        <v>16.2</v>
      </c>
      <c r="N766" s="33">
        <v>5.9</v>
      </c>
    </row>
    <row r="767" spans="1:14" x14ac:dyDescent="0.25">
      <c r="A767" s="30">
        <v>1</v>
      </c>
      <c r="B767" s="2" t="s">
        <v>7398</v>
      </c>
      <c r="C767" s="2" t="s">
        <v>7399</v>
      </c>
      <c r="D767" s="2" t="s">
        <v>6175</v>
      </c>
      <c r="E767" s="5">
        <v>18</v>
      </c>
      <c r="F767" s="2" t="s">
        <v>1927</v>
      </c>
      <c r="G767" s="2" t="s">
        <v>7405</v>
      </c>
      <c r="H767" s="2" t="s">
        <v>754</v>
      </c>
      <c r="I767" s="4">
        <v>3396</v>
      </c>
      <c r="J767" s="4">
        <v>3330</v>
      </c>
      <c r="L767" s="31">
        <v>468.42</v>
      </c>
      <c r="M767" s="32">
        <v>14.4</v>
      </c>
      <c r="N767" s="33">
        <v>7.2</v>
      </c>
    </row>
    <row r="768" spans="1:14" x14ac:dyDescent="0.25">
      <c r="A768" s="30">
        <v>1</v>
      </c>
      <c r="B768" s="2" t="s">
        <v>7398</v>
      </c>
      <c r="C768" s="2" t="s">
        <v>7399</v>
      </c>
      <c r="D768" s="2" t="s">
        <v>6176</v>
      </c>
      <c r="E768" s="5">
        <v>6</v>
      </c>
      <c r="F768" s="2" t="s">
        <v>1947</v>
      </c>
      <c r="G768" s="2" t="s">
        <v>7412</v>
      </c>
      <c r="H768" s="2" t="s">
        <v>755</v>
      </c>
      <c r="I768" s="4">
        <v>679</v>
      </c>
      <c r="J768" s="4">
        <v>756</v>
      </c>
      <c r="L768" s="31">
        <v>254.14</v>
      </c>
      <c r="M768" s="32">
        <v>5.6</v>
      </c>
      <c r="N768" s="33">
        <v>2.7</v>
      </c>
    </row>
    <row r="769" spans="1:14" x14ac:dyDescent="0.25">
      <c r="A769" s="30">
        <v>1</v>
      </c>
      <c r="B769" s="2" t="s">
        <v>7398</v>
      </c>
      <c r="C769" s="2" t="s">
        <v>7399</v>
      </c>
      <c r="D769" s="2" t="s">
        <v>6177</v>
      </c>
      <c r="E769" s="5">
        <v>14</v>
      </c>
      <c r="F769" s="2" t="s">
        <v>1849</v>
      </c>
      <c r="G769" s="2" t="s">
        <v>7412</v>
      </c>
      <c r="H769" s="2" t="s">
        <v>756</v>
      </c>
      <c r="I769" s="4">
        <v>1083</v>
      </c>
      <c r="J769" s="4">
        <v>869</v>
      </c>
      <c r="L769" s="31">
        <v>317.27999999999997</v>
      </c>
      <c r="M769" s="32">
        <v>6.2</v>
      </c>
      <c r="N769" s="33">
        <v>3.4</v>
      </c>
    </row>
    <row r="770" spans="1:14" x14ac:dyDescent="0.25">
      <c r="A770" s="30">
        <v>1</v>
      </c>
      <c r="B770" s="2" t="s">
        <v>7398</v>
      </c>
      <c r="C770" s="2" t="s">
        <v>7399</v>
      </c>
      <c r="D770" s="2" t="s">
        <v>6178</v>
      </c>
      <c r="E770" s="5">
        <v>14</v>
      </c>
      <c r="F770" s="2" t="s">
        <v>1895</v>
      </c>
      <c r="G770" s="2" t="s">
        <v>7412</v>
      </c>
      <c r="H770" s="2" t="s">
        <v>757</v>
      </c>
      <c r="I770" s="4">
        <v>537</v>
      </c>
      <c r="J770" s="4">
        <v>432</v>
      </c>
      <c r="L770" s="31">
        <v>179.14</v>
      </c>
      <c r="M770" s="32">
        <v>5.4</v>
      </c>
      <c r="N770" s="33">
        <v>3</v>
      </c>
    </row>
    <row r="771" spans="1:14" x14ac:dyDescent="0.25">
      <c r="A771" s="30">
        <v>1</v>
      </c>
      <c r="B771" s="2" t="s">
        <v>7398</v>
      </c>
      <c r="C771" s="2" t="s">
        <v>7399</v>
      </c>
      <c r="D771" s="2" t="s">
        <v>6179</v>
      </c>
      <c r="E771" s="5">
        <v>6</v>
      </c>
      <c r="F771" s="2" t="s">
        <v>1946</v>
      </c>
      <c r="G771" s="2" t="s">
        <v>7412</v>
      </c>
      <c r="H771" s="2" t="s">
        <v>758</v>
      </c>
      <c r="I771" s="4">
        <v>149</v>
      </c>
      <c r="J771" s="4">
        <v>216</v>
      </c>
      <c r="L771" s="31">
        <v>76.42</v>
      </c>
      <c r="M771" s="32">
        <v>4.8</v>
      </c>
      <c r="N771" s="33">
        <v>1.9</v>
      </c>
    </row>
    <row r="772" spans="1:14" x14ac:dyDescent="0.25">
      <c r="A772" s="30">
        <v>1</v>
      </c>
      <c r="B772" s="2" t="s">
        <v>7398</v>
      </c>
      <c r="C772" s="2" t="s">
        <v>7399</v>
      </c>
      <c r="D772" s="2" t="s">
        <v>6180</v>
      </c>
      <c r="E772" s="5">
        <v>6</v>
      </c>
      <c r="F772" s="2" t="s">
        <v>1946</v>
      </c>
      <c r="G772" s="2" t="s">
        <v>7412</v>
      </c>
      <c r="H772" s="2" t="s">
        <v>759</v>
      </c>
      <c r="I772" s="4">
        <v>1214</v>
      </c>
      <c r="J772" s="4">
        <v>1080</v>
      </c>
      <c r="L772" s="31">
        <v>410.85</v>
      </c>
      <c r="M772" s="32">
        <v>5.6</v>
      </c>
      <c r="N772" s="33">
        <v>3</v>
      </c>
    </row>
    <row r="773" spans="1:14" x14ac:dyDescent="0.25">
      <c r="A773" s="30">
        <v>1</v>
      </c>
      <c r="B773" s="2" t="s">
        <v>7398</v>
      </c>
      <c r="C773" s="2" t="s">
        <v>7399</v>
      </c>
      <c r="D773" s="2" t="s">
        <v>6181</v>
      </c>
      <c r="E773" s="5">
        <v>14</v>
      </c>
      <c r="F773" s="2" t="s">
        <v>1849</v>
      </c>
      <c r="G773" s="2" t="s">
        <v>7412</v>
      </c>
      <c r="H773" s="2" t="s">
        <v>760</v>
      </c>
      <c r="I773" s="4">
        <v>1937</v>
      </c>
      <c r="J773" s="4">
        <v>1404</v>
      </c>
      <c r="L773" s="31">
        <v>561.41999999999996</v>
      </c>
      <c r="M773" s="32">
        <v>6</v>
      </c>
      <c r="N773" s="33">
        <v>3.5</v>
      </c>
    </row>
    <row r="774" spans="1:14" x14ac:dyDescent="0.25">
      <c r="A774" s="30">
        <v>1</v>
      </c>
      <c r="B774" s="2" t="s">
        <v>7398</v>
      </c>
      <c r="C774" s="2" t="s">
        <v>7399</v>
      </c>
      <c r="D774" s="2" t="s">
        <v>6182</v>
      </c>
      <c r="E774" s="5">
        <v>11</v>
      </c>
      <c r="F774" s="2" t="s">
        <v>1845</v>
      </c>
      <c r="G774" s="2" t="s">
        <v>7412</v>
      </c>
      <c r="H774" s="2" t="s">
        <v>761</v>
      </c>
      <c r="I774" s="4">
        <v>182</v>
      </c>
      <c r="J774" s="4">
        <v>450</v>
      </c>
      <c r="L774" s="31">
        <v>126.85</v>
      </c>
      <c r="M774" s="32">
        <v>5</v>
      </c>
      <c r="N774" s="33">
        <v>1.4</v>
      </c>
    </row>
    <row r="775" spans="1:14" x14ac:dyDescent="0.25">
      <c r="A775" s="30">
        <v>1</v>
      </c>
      <c r="B775" s="2" t="s">
        <v>7398</v>
      </c>
      <c r="C775" s="2" t="s">
        <v>7399</v>
      </c>
      <c r="D775" s="2" t="s">
        <v>6183</v>
      </c>
      <c r="E775" s="5">
        <v>12</v>
      </c>
      <c r="F775" s="2" t="s">
        <v>1849</v>
      </c>
      <c r="G775" s="2" t="s">
        <v>7401</v>
      </c>
      <c r="H775" s="2" t="s">
        <v>762</v>
      </c>
      <c r="I775" s="4">
        <v>2961</v>
      </c>
      <c r="J775" s="4">
        <v>0</v>
      </c>
      <c r="L775" s="31">
        <v>93.28</v>
      </c>
      <c r="M775" s="32">
        <v>31.7</v>
      </c>
      <c r="N775" s="33">
        <v>31.7</v>
      </c>
    </row>
    <row r="776" spans="1:14" x14ac:dyDescent="0.25">
      <c r="A776" s="30">
        <v>1</v>
      </c>
      <c r="B776" s="2" t="s">
        <v>7398</v>
      </c>
      <c r="C776" s="2" t="s">
        <v>7399</v>
      </c>
      <c r="D776" s="2" t="s">
        <v>6184</v>
      </c>
      <c r="E776" s="5">
        <v>12</v>
      </c>
      <c r="F776" s="2" t="s">
        <v>1869</v>
      </c>
      <c r="G776" s="2" t="s">
        <v>7416</v>
      </c>
      <c r="H776" s="2" t="s">
        <v>763</v>
      </c>
      <c r="I776" s="4">
        <v>66</v>
      </c>
      <c r="J776" s="4">
        <v>150</v>
      </c>
      <c r="L776" s="31">
        <v>8.42</v>
      </c>
      <c r="M776" s="32">
        <v>25.7</v>
      </c>
      <c r="N776" s="33">
        <v>7.8</v>
      </c>
    </row>
    <row r="777" spans="1:14" x14ac:dyDescent="0.25">
      <c r="A777" s="30">
        <v>1</v>
      </c>
      <c r="B777" s="2" t="s">
        <v>7398</v>
      </c>
      <c r="C777" s="2" t="s">
        <v>7399</v>
      </c>
      <c r="D777" s="2" t="s">
        <v>6185</v>
      </c>
      <c r="E777" s="5">
        <v>12</v>
      </c>
      <c r="F777" s="2" t="s">
        <v>1869</v>
      </c>
      <c r="G777" s="2" t="s">
        <v>7416</v>
      </c>
      <c r="H777" s="2" t="s">
        <v>764</v>
      </c>
      <c r="I777" s="4">
        <v>83</v>
      </c>
      <c r="J777" s="4">
        <v>150</v>
      </c>
      <c r="L777" s="31">
        <v>8.57</v>
      </c>
      <c r="M777" s="32">
        <v>27.2</v>
      </c>
      <c r="N777" s="33">
        <v>9.6999999999999993</v>
      </c>
    </row>
    <row r="778" spans="1:14" x14ac:dyDescent="0.25">
      <c r="A778" s="30">
        <v>1</v>
      </c>
      <c r="B778" s="2" t="s">
        <v>7398</v>
      </c>
      <c r="C778" s="2" t="s">
        <v>7399</v>
      </c>
      <c r="D778" s="2" t="s">
        <v>6186</v>
      </c>
      <c r="E778" s="5">
        <v>24</v>
      </c>
      <c r="F778" s="2" t="s">
        <v>1874</v>
      </c>
      <c r="G778" s="2" t="s">
        <v>7401</v>
      </c>
      <c r="H778" s="2" t="s">
        <v>765</v>
      </c>
      <c r="I778" s="4">
        <v>3498</v>
      </c>
      <c r="J778" s="4">
        <v>4332</v>
      </c>
      <c r="L778" s="31">
        <v>61.14</v>
      </c>
      <c r="M778" s="32">
        <v>128.1</v>
      </c>
      <c r="N778" s="33">
        <v>57.2</v>
      </c>
    </row>
    <row r="779" spans="1:14" x14ac:dyDescent="0.25">
      <c r="A779" s="30">
        <v>1</v>
      </c>
      <c r="B779" s="2" t="s">
        <v>7398</v>
      </c>
      <c r="C779" s="2" t="s">
        <v>7399</v>
      </c>
      <c r="D779" s="2" t="s">
        <v>6187</v>
      </c>
      <c r="E779" s="5">
        <v>12</v>
      </c>
      <c r="F779" s="2" t="s">
        <v>1869</v>
      </c>
      <c r="G779" s="2" t="s">
        <v>7416</v>
      </c>
      <c r="H779" s="2" t="s">
        <v>766</v>
      </c>
      <c r="I779" s="4">
        <v>86</v>
      </c>
      <c r="J779" s="4">
        <v>150</v>
      </c>
      <c r="L779" s="31">
        <v>23</v>
      </c>
      <c r="M779" s="32">
        <v>10.3</v>
      </c>
      <c r="N779" s="33">
        <v>3.7</v>
      </c>
    </row>
    <row r="780" spans="1:14" x14ac:dyDescent="0.25">
      <c r="A780" s="30">
        <v>1</v>
      </c>
      <c r="B780" s="2" t="s">
        <v>7398</v>
      </c>
      <c r="C780" s="2" t="s">
        <v>7399</v>
      </c>
      <c r="D780" s="2" t="s">
        <v>6188</v>
      </c>
      <c r="E780" s="5">
        <v>24</v>
      </c>
      <c r="F780" s="2" t="s">
        <v>1874</v>
      </c>
      <c r="G780" s="2" t="s">
        <v>7401</v>
      </c>
      <c r="H780" s="2" t="s">
        <v>767</v>
      </c>
      <c r="I780" s="4">
        <v>40</v>
      </c>
      <c r="J780" s="4">
        <v>2166</v>
      </c>
      <c r="L780" s="31">
        <v>0.56999999999999995</v>
      </c>
      <c r="M780" s="32">
        <v>3870.2</v>
      </c>
      <c r="N780" s="33">
        <v>70.2</v>
      </c>
    </row>
    <row r="781" spans="1:14" x14ac:dyDescent="0.25">
      <c r="A781" s="30">
        <v>1</v>
      </c>
      <c r="B781" s="2" t="s">
        <v>7398</v>
      </c>
      <c r="C781" s="2" t="s">
        <v>7399</v>
      </c>
      <c r="D781" s="2" t="s">
        <v>6189</v>
      </c>
      <c r="E781" s="5">
        <v>12</v>
      </c>
      <c r="F781" s="2" t="s">
        <v>1869</v>
      </c>
      <c r="G781" s="2" t="s">
        <v>7416</v>
      </c>
      <c r="H781" s="2" t="s">
        <v>768</v>
      </c>
      <c r="I781" s="4">
        <v>102</v>
      </c>
      <c r="J781" s="4">
        <v>450</v>
      </c>
      <c r="L781" s="31">
        <v>24.57</v>
      </c>
      <c r="M781" s="32">
        <v>22.5</v>
      </c>
      <c r="N781" s="33">
        <v>4.2</v>
      </c>
    </row>
    <row r="782" spans="1:14" x14ac:dyDescent="0.25">
      <c r="A782" s="30">
        <v>1</v>
      </c>
      <c r="B782" s="2" t="s">
        <v>7398</v>
      </c>
      <c r="C782" s="2" t="s">
        <v>7399</v>
      </c>
      <c r="D782" s="2" t="s">
        <v>6190</v>
      </c>
      <c r="E782" s="5">
        <v>12</v>
      </c>
      <c r="F782" s="2" t="s">
        <v>1869</v>
      </c>
      <c r="G782" s="2" t="s">
        <v>7416</v>
      </c>
      <c r="H782" s="2" t="s">
        <v>769</v>
      </c>
      <c r="I782" s="4">
        <v>118</v>
      </c>
      <c r="J782" s="4">
        <v>0</v>
      </c>
      <c r="L782" s="31">
        <v>11.28</v>
      </c>
      <c r="M782" s="32">
        <v>10.5</v>
      </c>
      <c r="N782" s="33">
        <v>10.5</v>
      </c>
    </row>
    <row r="783" spans="1:14" x14ac:dyDescent="0.25">
      <c r="A783" s="30">
        <v>1</v>
      </c>
      <c r="B783" s="2" t="s">
        <v>7398</v>
      </c>
      <c r="C783" s="2" t="s">
        <v>7399</v>
      </c>
      <c r="D783" s="2" t="s">
        <v>6191</v>
      </c>
      <c r="E783" s="5">
        <v>24</v>
      </c>
      <c r="F783" s="2" t="s">
        <v>1869</v>
      </c>
      <c r="G783" s="2" t="s">
        <v>7412</v>
      </c>
      <c r="H783" s="2" t="s">
        <v>770</v>
      </c>
      <c r="I783" s="4">
        <v>1601</v>
      </c>
      <c r="J783" s="4">
        <v>3744</v>
      </c>
      <c r="L783" s="31">
        <v>181.14</v>
      </c>
      <c r="M783" s="32">
        <v>29.5</v>
      </c>
      <c r="N783" s="33">
        <v>8.8000000000000007</v>
      </c>
    </row>
    <row r="784" spans="1:14" x14ac:dyDescent="0.25">
      <c r="A784" s="30">
        <v>1</v>
      </c>
      <c r="B784" s="2" t="s">
        <v>7398</v>
      </c>
      <c r="C784" s="2" t="s">
        <v>7399</v>
      </c>
      <c r="D784" s="2" t="s">
        <v>6192</v>
      </c>
      <c r="E784" s="5">
        <v>24</v>
      </c>
      <c r="F784" s="2" t="s">
        <v>1874</v>
      </c>
      <c r="G784" s="2" t="s">
        <v>7412</v>
      </c>
      <c r="H784" s="2" t="s">
        <v>771</v>
      </c>
      <c r="I784" s="4">
        <v>1452</v>
      </c>
      <c r="J784" s="4">
        <v>1428</v>
      </c>
      <c r="L784" s="31">
        <v>98.57</v>
      </c>
      <c r="M784" s="32">
        <v>29.2</v>
      </c>
      <c r="N784" s="33">
        <v>14.7</v>
      </c>
    </row>
    <row r="785" spans="1:14" x14ac:dyDescent="0.25">
      <c r="A785" s="30">
        <v>1</v>
      </c>
      <c r="B785" s="2" t="s">
        <v>7398</v>
      </c>
      <c r="C785" s="2" t="s">
        <v>7399</v>
      </c>
      <c r="D785" s="2" t="s">
        <v>6193</v>
      </c>
      <c r="E785" s="5">
        <v>24</v>
      </c>
      <c r="F785" s="2" t="s">
        <v>1874</v>
      </c>
      <c r="G785" s="2" t="s">
        <v>7401</v>
      </c>
      <c r="H785" s="2" t="s">
        <v>772</v>
      </c>
      <c r="I785" s="4">
        <v>349</v>
      </c>
      <c r="J785" s="4">
        <v>2254</v>
      </c>
      <c r="L785" s="31">
        <v>39.85</v>
      </c>
      <c r="M785" s="32">
        <v>65.3</v>
      </c>
      <c r="N785" s="33">
        <v>8.8000000000000007</v>
      </c>
    </row>
    <row r="786" spans="1:14" x14ac:dyDescent="0.25">
      <c r="A786" s="30">
        <v>1</v>
      </c>
      <c r="B786" s="2" t="s">
        <v>7398</v>
      </c>
      <c r="C786" s="2" t="s">
        <v>7399</v>
      </c>
      <c r="D786" s="2" t="s">
        <v>6194</v>
      </c>
      <c r="E786" s="5">
        <v>48</v>
      </c>
      <c r="F786" s="2" t="s">
        <v>1839</v>
      </c>
      <c r="G786" s="2" t="s">
        <v>7401</v>
      </c>
      <c r="H786" s="2" t="s">
        <v>773</v>
      </c>
      <c r="I786" s="4">
        <v>98</v>
      </c>
      <c r="J786" s="4">
        <v>640</v>
      </c>
      <c r="L786" s="31">
        <v>27</v>
      </c>
      <c r="M786" s="32">
        <v>27.3</v>
      </c>
      <c r="N786" s="33">
        <v>3.6</v>
      </c>
    </row>
    <row r="787" spans="1:14" x14ac:dyDescent="0.25">
      <c r="A787" s="30">
        <v>1</v>
      </c>
      <c r="B787" s="2" t="s">
        <v>7398</v>
      </c>
      <c r="C787" s="2" t="s">
        <v>7399</v>
      </c>
      <c r="D787" s="2" t="s">
        <v>6195</v>
      </c>
      <c r="E787" s="5">
        <v>24</v>
      </c>
      <c r="F787" s="2" t="s">
        <v>1857</v>
      </c>
      <c r="G787" s="2" t="s">
        <v>7401</v>
      </c>
      <c r="H787" s="2" t="s">
        <v>774</v>
      </c>
      <c r="I787" s="4">
        <v>82</v>
      </c>
      <c r="J787" s="4">
        <v>400</v>
      </c>
      <c r="L787" s="31">
        <v>12.28</v>
      </c>
      <c r="M787" s="32">
        <v>39.299999999999997</v>
      </c>
      <c r="N787" s="33">
        <v>6.7</v>
      </c>
    </row>
    <row r="788" spans="1:14" x14ac:dyDescent="0.25">
      <c r="A788" s="30">
        <v>1</v>
      </c>
      <c r="B788" s="2" t="s">
        <v>7398</v>
      </c>
      <c r="C788" s="2" t="s">
        <v>7399</v>
      </c>
      <c r="D788" s="2" t="s">
        <v>6196</v>
      </c>
      <c r="E788" s="5">
        <v>24</v>
      </c>
      <c r="F788" s="2" t="s">
        <v>1849</v>
      </c>
      <c r="G788" s="2" t="s">
        <v>7420</v>
      </c>
      <c r="H788" s="2" t="s">
        <v>775</v>
      </c>
      <c r="I788" s="4">
        <v>522</v>
      </c>
      <c r="J788" s="4">
        <v>850</v>
      </c>
      <c r="L788" s="31">
        <v>36.42</v>
      </c>
      <c r="M788" s="32">
        <v>37.700000000000003</v>
      </c>
      <c r="N788" s="33">
        <v>14.3</v>
      </c>
    </row>
    <row r="789" spans="1:14" x14ac:dyDescent="0.25">
      <c r="A789" s="30">
        <v>1</v>
      </c>
      <c r="B789" s="2" t="s">
        <v>7398</v>
      </c>
      <c r="C789" s="2" t="s">
        <v>7399</v>
      </c>
      <c r="D789" s="2" t="s">
        <v>6197</v>
      </c>
      <c r="E789" s="5">
        <v>12</v>
      </c>
      <c r="F789" s="2" t="s">
        <v>1946</v>
      </c>
      <c r="G789" s="2" t="s">
        <v>7420</v>
      </c>
      <c r="H789" s="2" t="s">
        <v>776</v>
      </c>
      <c r="I789" s="4">
        <v>436</v>
      </c>
      <c r="J789" s="4">
        <v>768</v>
      </c>
      <c r="L789" s="31">
        <v>42</v>
      </c>
      <c r="M789" s="32">
        <v>28.7</v>
      </c>
      <c r="N789" s="33">
        <v>10.4</v>
      </c>
    </row>
    <row r="790" spans="1:14" x14ac:dyDescent="0.25">
      <c r="A790" s="30">
        <v>1</v>
      </c>
      <c r="B790" s="2" t="s">
        <v>7398</v>
      </c>
      <c r="C790" s="2" t="s">
        <v>7399</v>
      </c>
      <c r="D790" s="2" t="s">
        <v>6198</v>
      </c>
      <c r="E790" s="5">
        <v>12</v>
      </c>
      <c r="F790" s="2" t="s">
        <v>1948</v>
      </c>
      <c r="G790" s="2" t="s">
        <v>7420</v>
      </c>
      <c r="H790" s="2" t="s">
        <v>777</v>
      </c>
      <c r="I790" s="4">
        <v>2</v>
      </c>
      <c r="J790" s="4">
        <v>630</v>
      </c>
      <c r="L790" s="31">
        <v>15</v>
      </c>
      <c r="M790" s="32">
        <v>42.1</v>
      </c>
      <c r="N790" s="33">
        <v>0.1</v>
      </c>
    </row>
    <row r="791" spans="1:14" x14ac:dyDescent="0.25">
      <c r="A791" s="30">
        <v>1</v>
      </c>
      <c r="B791" s="2" t="s">
        <v>7398</v>
      </c>
      <c r="C791" s="2" t="s">
        <v>7399</v>
      </c>
      <c r="D791" s="2" t="s">
        <v>6199</v>
      </c>
      <c r="E791" s="5">
        <v>10</v>
      </c>
      <c r="F791" s="2" t="s">
        <v>1949</v>
      </c>
      <c r="G791" s="2" t="s">
        <v>7401</v>
      </c>
      <c r="H791" s="2" t="s">
        <v>778</v>
      </c>
      <c r="I791" s="4">
        <v>0</v>
      </c>
      <c r="J791" s="4">
        <v>28</v>
      </c>
      <c r="L791" s="31">
        <v>0.42</v>
      </c>
      <c r="M791" s="32">
        <v>66.7</v>
      </c>
      <c r="N791" s="33">
        <v>0</v>
      </c>
    </row>
    <row r="792" spans="1:14" x14ac:dyDescent="0.25">
      <c r="A792" s="30">
        <v>1</v>
      </c>
      <c r="B792" s="2" t="s">
        <v>7398</v>
      </c>
      <c r="C792" s="2" t="s">
        <v>7399</v>
      </c>
      <c r="D792" s="2" t="s">
        <v>6200</v>
      </c>
      <c r="E792" s="5">
        <v>10</v>
      </c>
      <c r="F792" s="2" t="s">
        <v>1949</v>
      </c>
      <c r="G792" s="2" t="s">
        <v>7401</v>
      </c>
      <c r="H792" s="2" t="s">
        <v>779</v>
      </c>
      <c r="I792" s="4">
        <v>86</v>
      </c>
      <c r="J792" s="4">
        <v>84</v>
      </c>
      <c r="L792" s="31">
        <v>3.14</v>
      </c>
      <c r="M792" s="32">
        <v>54.1</v>
      </c>
      <c r="N792" s="33">
        <v>27.4</v>
      </c>
    </row>
    <row r="793" spans="1:14" x14ac:dyDescent="0.25">
      <c r="A793" s="30">
        <v>1</v>
      </c>
      <c r="B793" s="2" t="s">
        <v>7398</v>
      </c>
      <c r="C793" s="2" t="s">
        <v>7399</v>
      </c>
      <c r="D793" s="2" t="s">
        <v>6201</v>
      </c>
      <c r="E793" s="5">
        <v>10</v>
      </c>
      <c r="F793" s="2" t="s">
        <v>1949</v>
      </c>
      <c r="G793" s="2" t="s">
        <v>7401</v>
      </c>
      <c r="H793" s="2" t="s">
        <v>780</v>
      </c>
      <c r="I793" s="4">
        <v>29</v>
      </c>
      <c r="J793" s="4">
        <v>0</v>
      </c>
      <c r="L793" s="31">
        <v>1.42</v>
      </c>
      <c r="M793" s="32">
        <v>20.399999999999999</v>
      </c>
      <c r="N793" s="33">
        <v>20.399999999999999</v>
      </c>
    </row>
    <row r="794" spans="1:14" x14ac:dyDescent="0.25">
      <c r="A794" s="30">
        <v>1</v>
      </c>
      <c r="B794" s="2" t="s">
        <v>7398</v>
      </c>
      <c r="C794" s="2" t="s">
        <v>7399</v>
      </c>
      <c r="D794" s="2" t="s">
        <v>6202</v>
      </c>
      <c r="E794" s="5">
        <v>20</v>
      </c>
      <c r="F794" s="2" t="s">
        <v>1895</v>
      </c>
      <c r="G794" s="2" t="s">
        <v>7409</v>
      </c>
      <c r="H794" s="2" t="s">
        <v>781</v>
      </c>
      <c r="I794" s="4">
        <v>540</v>
      </c>
      <c r="J794" s="4">
        <v>0</v>
      </c>
      <c r="L794" s="31">
        <v>4.8499999999999996</v>
      </c>
      <c r="M794" s="32">
        <v>111.3</v>
      </c>
      <c r="N794" s="33">
        <v>111.3</v>
      </c>
    </row>
    <row r="795" spans="1:14" x14ac:dyDescent="0.25">
      <c r="A795" s="30">
        <v>1</v>
      </c>
      <c r="B795" s="2" t="s">
        <v>7398</v>
      </c>
      <c r="C795" s="2" t="s">
        <v>7399</v>
      </c>
      <c r="D795" s="2" t="s">
        <v>6203</v>
      </c>
      <c r="E795" s="5">
        <v>24</v>
      </c>
      <c r="F795" s="2" t="s">
        <v>1849</v>
      </c>
      <c r="G795" s="2" t="s">
        <v>7409</v>
      </c>
      <c r="H795" s="2" t="s">
        <v>782</v>
      </c>
      <c r="I795" s="4">
        <v>0</v>
      </c>
      <c r="J795" s="4">
        <v>0</v>
      </c>
      <c r="L795" s="31">
        <v>0</v>
      </c>
      <c r="M795" s="32">
        <v>0</v>
      </c>
      <c r="N795" s="33">
        <v>9999</v>
      </c>
    </row>
    <row r="796" spans="1:14" x14ac:dyDescent="0.25">
      <c r="A796" s="30">
        <v>1</v>
      </c>
      <c r="B796" s="2" t="s">
        <v>7398</v>
      </c>
      <c r="C796" s="2" t="s">
        <v>7399</v>
      </c>
      <c r="D796" s="2" t="s">
        <v>6204</v>
      </c>
      <c r="E796" s="5">
        <v>24</v>
      </c>
      <c r="F796" s="2" t="s">
        <v>1849</v>
      </c>
      <c r="G796" s="2" t="s">
        <v>7409</v>
      </c>
      <c r="H796" s="2" t="s">
        <v>783</v>
      </c>
      <c r="I796" s="4">
        <v>1542</v>
      </c>
      <c r="J796" s="4">
        <v>250</v>
      </c>
      <c r="L796" s="31">
        <v>60.28</v>
      </c>
      <c r="M796" s="32">
        <v>29.7</v>
      </c>
      <c r="N796" s="33">
        <v>25.6</v>
      </c>
    </row>
    <row r="797" spans="1:14" x14ac:dyDescent="0.25">
      <c r="A797" s="30">
        <v>1</v>
      </c>
      <c r="B797" s="2" t="s">
        <v>7398</v>
      </c>
      <c r="C797" s="2" t="s">
        <v>7399</v>
      </c>
      <c r="D797" s="2" t="s">
        <v>6205</v>
      </c>
      <c r="E797" s="5">
        <v>20</v>
      </c>
      <c r="F797" s="2" t="s">
        <v>1849</v>
      </c>
      <c r="G797" s="2" t="s">
        <v>7409</v>
      </c>
      <c r="H797" s="2" t="s">
        <v>784</v>
      </c>
      <c r="I797" s="4">
        <v>5162</v>
      </c>
      <c r="J797" s="4">
        <v>2400</v>
      </c>
      <c r="L797" s="31">
        <v>225.14</v>
      </c>
      <c r="M797" s="32">
        <v>33.6</v>
      </c>
      <c r="N797" s="33">
        <v>22.9</v>
      </c>
    </row>
    <row r="798" spans="1:14" x14ac:dyDescent="0.25">
      <c r="A798" s="30">
        <v>1</v>
      </c>
      <c r="B798" s="2" t="s">
        <v>7398</v>
      </c>
      <c r="C798" s="2" t="s">
        <v>7399</v>
      </c>
      <c r="D798" s="2" t="s">
        <v>6206</v>
      </c>
      <c r="E798" s="5">
        <v>12</v>
      </c>
      <c r="F798" s="2" t="s">
        <v>1874</v>
      </c>
      <c r="G798" s="2" t="s">
        <v>7409</v>
      </c>
      <c r="H798" s="2" t="s">
        <v>785</v>
      </c>
      <c r="I798" s="4">
        <v>609</v>
      </c>
      <c r="J798" s="4">
        <v>0</v>
      </c>
      <c r="L798" s="31">
        <v>8.7100000000000009</v>
      </c>
      <c r="M798" s="32">
        <v>69.900000000000006</v>
      </c>
      <c r="N798" s="33">
        <v>69.900000000000006</v>
      </c>
    </row>
    <row r="799" spans="1:14" x14ac:dyDescent="0.25">
      <c r="A799" s="30">
        <v>1</v>
      </c>
      <c r="B799" s="2" t="s">
        <v>7398</v>
      </c>
      <c r="C799" s="2" t="s">
        <v>7399</v>
      </c>
      <c r="D799" s="2" t="s">
        <v>6207</v>
      </c>
      <c r="E799" s="5">
        <v>12</v>
      </c>
      <c r="F799" s="2" t="s">
        <v>1902</v>
      </c>
      <c r="G799" s="2" t="s">
        <v>7401</v>
      </c>
      <c r="H799" s="2" t="s">
        <v>5361</v>
      </c>
      <c r="I799" s="4">
        <v>305</v>
      </c>
      <c r="J799" s="4">
        <v>0</v>
      </c>
      <c r="L799" s="31">
        <v>5.28</v>
      </c>
      <c r="M799" s="32">
        <v>57.8</v>
      </c>
      <c r="N799" s="33">
        <v>57.8</v>
      </c>
    </row>
    <row r="800" spans="1:14" x14ac:dyDescent="0.25">
      <c r="A800" s="30">
        <v>1</v>
      </c>
      <c r="B800" s="2" t="s">
        <v>7398</v>
      </c>
      <c r="C800" s="2" t="s">
        <v>7399</v>
      </c>
      <c r="D800" s="2" t="s">
        <v>6208</v>
      </c>
      <c r="E800" s="5">
        <v>12</v>
      </c>
      <c r="F800" s="2" t="s">
        <v>5363</v>
      </c>
      <c r="G800" s="2" t="s">
        <v>7401</v>
      </c>
      <c r="H800" s="2" t="s">
        <v>5362</v>
      </c>
      <c r="I800" s="4">
        <v>313</v>
      </c>
      <c r="J800" s="4">
        <v>0</v>
      </c>
      <c r="L800" s="31">
        <v>4.8499999999999996</v>
      </c>
      <c r="M800" s="32">
        <v>64.5</v>
      </c>
      <c r="N800" s="33">
        <v>64.5</v>
      </c>
    </row>
    <row r="801" spans="1:14" x14ac:dyDescent="0.25">
      <c r="A801" s="30">
        <v>1</v>
      </c>
      <c r="B801" s="2" t="s">
        <v>7398</v>
      </c>
      <c r="C801" s="2" t="s">
        <v>7399</v>
      </c>
      <c r="D801" s="2" t="s">
        <v>6209</v>
      </c>
      <c r="E801" s="5">
        <v>12</v>
      </c>
      <c r="F801" s="2" t="s">
        <v>1881</v>
      </c>
      <c r="G801" s="2" t="s">
        <v>7401</v>
      </c>
      <c r="H801" s="2" t="s">
        <v>786</v>
      </c>
      <c r="I801" s="4">
        <v>1209</v>
      </c>
      <c r="J801" s="4">
        <v>420</v>
      </c>
      <c r="L801" s="31">
        <v>139.41999999999999</v>
      </c>
      <c r="M801" s="32">
        <v>11.7</v>
      </c>
      <c r="N801" s="33">
        <v>8.6999999999999993</v>
      </c>
    </row>
    <row r="802" spans="1:14" x14ac:dyDescent="0.25">
      <c r="A802" s="30">
        <v>1</v>
      </c>
      <c r="B802" s="2" t="s">
        <v>7398</v>
      </c>
      <c r="C802" s="2" t="s">
        <v>7399</v>
      </c>
      <c r="D802" s="2" t="s">
        <v>6210</v>
      </c>
      <c r="E802" s="5">
        <v>12</v>
      </c>
      <c r="F802" s="2" t="s">
        <v>1881</v>
      </c>
      <c r="G802" s="2" t="s">
        <v>7409</v>
      </c>
      <c r="H802" s="2" t="s">
        <v>787</v>
      </c>
      <c r="I802" s="4">
        <v>787</v>
      </c>
      <c r="J802" s="4">
        <v>1080</v>
      </c>
      <c r="L802" s="31">
        <v>185.42</v>
      </c>
      <c r="M802" s="32">
        <v>10.1</v>
      </c>
      <c r="N802" s="33">
        <v>4.2</v>
      </c>
    </row>
    <row r="803" spans="1:14" x14ac:dyDescent="0.25">
      <c r="A803" s="30">
        <v>1</v>
      </c>
      <c r="B803" s="2" t="s">
        <v>7398</v>
      </c>
      <c r="C803" s="2" t="s">
        <v>7399</v>
      </c>
      <c r="D803" s="2" t="s">
        <v>6211</v>
      </c>
      <c r="E803" s="5">
        <v>24</v>
      </c>
      <c r="F803" s="2" t="s">
        <v>1876</v>
      </c>
      <c r="G803" s="2" t="s">
        <v>7401</v>
      </c>
      <c r="H803" s="2" t="s">
        <v>654</v>
      </c>
      <c r="I803" s="4">
        <v>4504</v>
      </c>
      <c r="J803" s="4">
        <v>408</v>
      </c>
      <c r="L803" s="31">
        <v>351.71</v>
      </c>
      <c r="M803" s="32">
        <v>14</v>
      </c>
      <c r="N803" s="33">
        <v>12.8</v>
      </c>
    </row>
    <row r="804" spans="1:14" x14ac:dyDescent="0.25">
      <c r="A804" s="30">
        <v>1</v>
      </c>
      <c r="B804" s="2" t="s">
        <v>7398</v>
      </c>
      <c r="C804" s="2" t="s">
        <v>7399</v>
      </c>
      <c r="D804" s="2" t="s">
        <v>6212</v>
      </c>
      <c r="E804" s="5">
        <v>24</v>
      </c>
      <c r="F804" s="2" t="s">
        <v>1876</v>
      </c>
      <c r="G804" s="2" t="s">
        <v>7401</v>
      </c>
      <c r="H804" s="2" t="s">
        <v>653</v>
      </c>
      <c r="I804" s="4">
        <v>4333</v>
      </c>
      <c r="J804" s="4">
        <v>612</v>
      </c>
      <c r="L804" s="31">
        <v>353</v>
      </c>
      <c r="M804" s="32">
        <v>14</v>
      </c>
      <c r="N804" s="33">
        <v>12.3</v>
      </c>
    </row>
    <row r="805" spans="1:14" x14ac:dyDescent="0.25">
      <c r="A805" s="30">
        <v>1</v>
      </c>
      <c r="B805" s="2" t="s">
        <v>7398</v>
      </c>
      <c r="C805" s="2" t="s">
        <v>7399</v>
      </c>
      <c r="D805" s="2" t="s">
        <v>6213</v>
      </c>
      <c r="E805" s="5">
        <v>24</v>
      </c>
      <c r="F805" s="2" t="s">
        <v>1876</v>
      </c>
      <c r="G805" s="2" t="s">
        <v>7401</v>
      </c>
      <c r="H805" s="2" t="s">
        <v>788</v>
      </c>
      <c r="I805" s="4">
        <v>320</v>
      </c>
      <c r="J805" s="4">
        <v>272</v>
      </c>
      <c r="L805" s="31">
        <v>44.71</v>
      </c>
      <c r="M805" s="32">
        <v>13.2</v>
      </c>
      <c r="N805" s="33">
        <v>7.2</v>
      </c>
    </row>
    <row r="806" spans="1:14" x14ac:dyDescent="0.25">
      <c r="A806" s="30">
        <v>1</v>
      </c>
      <c r="B806" s="2" t="s">
        <v>7398</v>
      </c>
      <c r="C806" s="2" t="s">
        <v>7399</v>
      </c>
      <c r="D806" s="2" t="s">
        <v>6214</v>
      </c>
      <c r="E806" s="5">
        <v>18</v>
      </c>
      <c r="F806" s="2" t="s">
        <v>1927</v>
      </c>
      <c r="G806" s="2" t="s">
        <v>7409</v>
      </c>
      <c r="H806" s="2" t="s">
        <v>789</v>
      </c>
      <c r="I806" s="4">
        <v>1463</v>
      </c>
      <c r="J806" s="4">
        <v>990</v>
      </c>
      <c r="L806" s="31">
        <v>172.71</v>
      </c>
      <c r="M806" s="32">
        <v>14.2</v>
      </c>
      <c r="N806" s="33">
        <v>8.5</v>
      </c>
    </row>
    <row r="807" spans="1:14" x14ac:dyDescent="0.25">
      <c r="A807" s="30">
        <v>1</v>
      </c>
      <c r="B807" s="2" t="s">
        <v>7398</v>
      </c>
      <c r="C807" s="2" t="s">
        <v>7399</v>
      </c>
      <c r="D807" s="2" t="s">
        <v>6215</v>
      </c>
      <c r="E807" s="5">
        <v>24</v>
      </c>
      <c r="F807" s="2" t="s">
        <v>1876</v>
      </c>
      <c r="G807" s="2" t="s">
        <v>7401</v>
      </c>
      <c r="H807" s="2" t="s">
        <v>790</v>
      </c>
      <c r="I807" s="4">
        <v>128</v>
      </c>
      <c r="J807" s="4">
        <v>136</v>
      </c>
      <c r="L807" s="31">
        <v>21.28</v>
      </c>
      <c r="M807" s="32">
        <v>12.4</v>
      </c>
      <c r="N807" s="33">
        <v>6</v>
      </c>
    </row>
    <row r="808" spans="1:14" x14ac:dyDescent="0.25">
      <c r="A808" s="30">
        <v>1</v>
      </c>
      <c r="B808" s="2" t="s">
        <v>7398</v>
      </c>
      <c r="C808" s="2" t="s">
        <v>7399</v>
      </c>
      <c r="D808" s="2" t="s">
        <v>6216</v>
      </c>
      <c r="E808" s="5">
        <v>24</v>
      </c>
      <c r="F808" s="2" t="s">
        <v>1876</v>
      </c>
      <c r="G808" s="2" t="s">
        <v>7401</v>
      </c>
      <c r="H808" s="2" t="s">
        <v>791</v>
      </c>
      <c r="I808" s="4">
        <v>163</v>
      </c>
      <c r="J808" s="4">
        <v>408</v>
      </c>
      <c r="L808" s="31">
        <v>33.71</v>
      </c>
      <c r="M808" s="32">
        <v>16.899999999999999</v>
      </c>
      <c r="N808" s="33">
        <v>4.8</v>
      </c>
    </row>
    <row r="809" spans="1:14" x14ac:dyDescent="0.25">
      <c r="A809" s="30">
        <v>1</v>
      </c>
      <c r="B809" s="2" t="s">
        <v>7398</v>
      </c>
      <c r="C809" s="2" t="s">
        <v>7399</v>
      </c>
      <c r="D809" s="2" t="s">
        <v>6217</v>
      </c>
      <c r="E809" s="5">
        <v>12</v>
      </c>
      <c r="F809" s="2" t="s">
        <v>1881</v>
      </c>
      <c r="G809" s="2" t="s">
        <v>7401</v>
      </c>
      <c r="H809" s="2" t="s">
        <v>792</v>
      </c>
      <c r="I809" s="4">
        <v>1646</v>
      </c>
      <c r="J809" s="4">
        <v>1380</v>
      </c>
      <c r="L809" s="31">
        <v>280.27999999999997</v>
      </c>
      <c r="M809" s="32">
        <v>10.8</v>
      </c>
      <c r="N809" s="33">
        <v>5.9</v>
      </c>
    </row>
    <row r="810" spans="1:14" x14ac:dyDescent="0.25">
      <c r="A810" s="30">
        <v>1</v>
      </c>
      <c r="B810" s="2" t="s">
        <v>7398</v>
      </c>
      <c r="C810" s="2" t="s">
        <v>7399</v>
      </c>
      <c r="D810" s="2" t="s">
        <v>6218</v>
      </c>
      <c r="E810" s="5">
        <v>12</v>
      </c>
      <c r="F810" s="2" t="s">
        <v>1950</v>
      </c>
      <c r="G810" s="2" t="s">
        <v>7409</v>
      </c>
      <c r="H810" s="2" t="s">
        <v>793</v>
      </c>
      <c r="I810" s="4">
        <v>2</v>
      </c>
      <c r="J810" s="4">
        <v>0</v>
      </c>
      <c r="L810" s="31">
        <v>1.85</v>
      </c>
      <c r="M810" s="32">
        <v>1.1000000000000001</v>
      </c>
      <c r="N810" s="33">
        <v>1.1000000000000001</v>
      </c>
    </row>
    <row r="811" spans="1:14" x14ac:dyDescent="0.25">
      <c r="A811" s="30">
        <v>1</v>
      </c>
      <c r="B811" s="2" t="s">
        <v>7398</v>
      </c>
      <c r="C811" s="2" t="s">
        <v>7399</v>
      </c>
      <c r="D811" s="2" t="s">
        <v>6219</v>
      </c>
      <c r="E811" s="5">
        <v>12</v>
      </c>
      <c r="F811" s="2" t="s">
        <v>1950</v>
      </c>
      <c r="G811" s="2" t="s">
        <v>7409</v>
      </c>
      <c r="H811" s="2" t="s">
        <v>794</v>
      </c>
      <c r="I811" s="4">
        <v>0</v>
      </c>
      <c r="J811" s="4">
        <v>0</v>
      </c>
      <c r="L811" s="31">
        <v>0</v>
      </c>
      <c r="M811" s="32">
        <v>0</v>
      </c>
      <c r="N811" s="33">
        <v>9999</v>
      </c>
    </row>
    <row r="812" spans="1:14" x14ac:dyDescent="0.25">
      <c r="A812" s="30">
        <v>1</v>
      </c>
      <c r="B812" s="2" t="s">
        <v>7398</v>
      </c>
      <c r="C812" s="2" t="s">
        <v>7399</v>
      </c>
      <c r="D812" s="2" t="s">
        <v>6220</v>
      </c>
      <c r="E812" s="5">
        <v>6</v>
      </c>
      <c r="F812" s="2" t="s">
        <v>1899</v>
      </c>
      <c r="G812" s="2" t="s">
        <v>7410</v>
      </c>
      <c r="H812" s="2" t="s">
        <v>795</v>
      </c>
      <c r="I812" s="4">
        <v>0</v>
      </c>
      <c r="J812" s="4">
        <v>0</v>
      </c>
      <c r="L812" s="31">
        <v>0</v>
      </c>
      <c r="M812" s="32">
        <v>0</v>
      </c>
      <c r="N812" s="33">
        <v>9999</v>
      </c>
    </row>
    <row r="813" spans="1:14" x14ac:dyDescent="0.25">
      <c r="A813" s="30">
        <v>1</v>
      </c>
      <c r="B813" s="2" t="s">
        <v>7398</v>
      </c>
      <c r="C813" s="2" t="s">
        <v>7399</v>
      </c>
      <c r="D813" s="2" t="s">
        <v>6221</v>
      </c>
      <c r="E813" s="5">
        <v>6</v>
      </c>
      <c r="F813" s="2" t="s">
        <v>1899</v>
      </c>
      <c r="G813" s="2" t="s">
        <v>7410</v>
      </c>
      <c r="H813" s="2" t="s">
        <v>796</v>
      </c>
      <c r="I813" s="4">
        <v>74</v>
      </c>
      <c r="J813" s="4">
        <v>0</v>
      </c>
      <c r="L813" s="31">
        <v>2</v>
      </c>
      <c r="M813" s="32">
        <v>37</v>
      </c>
      <c r="N813" s="33">
        <v>37</v>
      </c>
    </row>
    <row r="814" spans="1:14" x14ac:dyDescent="0.25">
      <c r="A814" s="30">
        <v>1</v>
      </c>
      <c r="B814" s="2" t="s">
        <v>7398</v>
      </c>
      <c r="C814" s="2" t="s">
        <v>7399</v>
      </c>
      <c r="D814" s="2" t="s">
        <v>6222</v>
      </c>
      <c r="E814" s="5">
        <v>18</v>
      </c>
      <c r="F814" s="2" t="s">
        <v>1970</v>
      </c>
      <c r="H814" s="2" t="s">
        <v>7421</v>
      </c>
      <c r="I814" s="4">
        <v>0</v>
      </c>
      <c r="J814" s="4">
        <v>0</v>
      </c>
      <c r="L814" s="31">
        <v>0</v>
      </c>
      <c r="M814" s="32">
        <v>0</v>
      </c>
      <c r="N814" s="33">
        <v>9999</v>
      </c>
    </row>
    <row r="815" spans="1:14" x14ac:dyDescent="0.25">
      <c r="A815" s="30">
        <v>1</v>
      </c>
      <c r="B815" s="2" t="s">
        <v>7398</v>
      </c>
      <c r="C815" s="2" t="s">
        <v>7399</v>
      </c>
      <c r="D815" s="2" t="s">
        <v>6223</v>
      </c>
      <c r="E815" s="5">
        <v>6</v>
      </c>
      <c r="F815" s="2" t="s">
        <v>1899</v>
      </c>
      <c r="G815" s="2" t="s">
        <v>7410</v>
      </c>
      <c r="H815" s="2" t="s">
        <v>797</v>
      </c>
      <c r="I815" s="4">
        <v>128</v>
      </c>
      <c r="J815" s="4">
        <v>0</v>
      </c>
      <c r="L815" s="31">
        <v>6</v>
      </c>
      <c r="M815" s="32">
        <v>21.3</v>
      </c>
      <c r="N815" s="33">
        <v>21.3</v>
      </c>
    </row>
    <row r="816" spans="1:14" x14ac:dyDescent="0.25">
      <c r="A816" s="30">
        <v>1</v>
      </c>
      <c r="B816" s="2" t="s">
        <v>7398</v>
      </c>
      <c r="C816" s="2" t="s">
        <v>7399</v>
      </c>
      <c r="D816" s="2" t="s">
        <v>6224</v>
      </c>
      <c r="E816" s="5">
        <v>12</v>
      </c>
      <c r="F816" s="2" t="s">
        <v>1951</v>
      </c>
      <c r="G816" s="2" t="s">
        <v>7400</v>
      </c>
      <c r="H816" s="2" t="s">
        <v>798</v>
      </c>
      <c r="I816" s="4">
        <v>334</v>
      </c>
      <c r="J816" s="4">
        <v>0</v>
      </c>
      <c r="L816" s="31">
        <v>8</v>
      </c>
      <c r="M816" s="32">
        <v>41.8</v>
      </c>
      <c r="N816" s="33">
        <v>41.8</v>
      </c>
    </row>
    <row r="817" spans="1:14" x14ac:dyDescent="0.25">
      <c r="A817" s="30">
        <v>1</v>
      </c>
      <c r="B817" s="2" t="s">
        <v>7398</v>
      </c>
      <c r="C817" s="2" t="s">
        <v>7399</v>
      </c>
      <c r="D817" s="2" t="s">
        <v>6225</v>
      </c>
      <c r="E817" s="5">
        <v>12</v>
      </c>
      <c r="F817" s="2" t="s">
        <v>1865</v>
      </c>
      <c r="G817" s="2" t="s">
        <v>7401</v>
      </c>
      <c r="H817" s="2" t="s">
        <v>799</v>
      </c>
      <c r="I817" s="4">
        <v>17</v>
      </c>
      <c r="J817" s="4">
        <v>168</v>
      </c>
      <c r="L817" s="31">
        <v>8.7100000000000009</v>
      </c>
      <c r="M817" s="32">
        <v>21.2</v>
      </c>
      <c r="N817" s="33">
        <v>2</v>
      </c>
    </row>
    <row r="818" spans="1:14" x14ac:dyDescent="0.25">
      <c r="A818" s="30">
        <v>1</v>
      </c>
      <c r="B818" s="2" t="s">
        <v>7398</v>
      </c>
      <c r="C818" s="2" t="s">
        <v>7399</v>
      </c>
      <c r="D818" s="2" t="s">
        <v>6226</v>
      </c>
      <c r="E818" s="5">
        <v>25</v>
      </c>
      <c r="F818" s="2" t="s">
        <v>1902</v>
      </c>
      <c r="G818" s="2" t="s">
        <v>7401</v>
      </c>
      <c r="H818" s="2" t="s">
        <v>800</v>
      </c>
      <c r="I818" s="4">
        <v>68</v>
      </c>
      <c r="J818" s="4">
        <v>26</v>
      </c>
      <c r="L818" s="31">
        <v>5.14</v>
      </c>
      <c r="M818" s="32">
        <v>18.3</v>
      </c>
      <c r="N818" s="33">
        <v>13.2</v>
      </c>
    </row>
    <row r="819" spans="1:14" x14ac:dyDescent="0.25">
      <c r="A819" s="30">
        <v>1</v>
      </c>
      <c r="B819" s="2" t="s">
        <v>7398</v>
      </c>
      <c r="C819" s="2" t="s">
        <v>7399</v>
      </c>
      <c r="D819" s="2" t="s">
        <v>6227</v>
      </c>
      <c r="E819" s="5">
        <v>25</v>
      </c>
      <c r="F819" s="2" t="s">
        <v>1865</v>
      </c>
      <c r="G819" s="2" t="s">
        <v>7401</v>
      </c>
      <c r="H819" s="2" t="s">
        <v>801</v>
      </c>
      <c r="I819" s="4">
        <v>357</v>
      </c>
      <c r="J819" s="4">
        <v>572</v>
      </c>
      <c r="L819" s="31">
        <v>12.14</v>
      </c>
      <c r="M819" s="32">
        <v>76.5</v>
      </c>
      <c r="N819" s="33">
        <v>29.4</v>
      </c>
    </row>
    <row r="820" spans="1:14" x14ac:dyDescent="0.25">
      <c r="A820" s="30">
        <v>1</v>
      </c>
      <c r="B820" s="2" t="s">
        <v>7398</v>
      </c>
      <c r="C820" s="2" t="s">
        <v>7399</v>
      </c>
      <c r="D820" s="2" t="s">
        <v>6228</v>
      </c>
      <c r="E820" s="5">
        <v>25</v>
      </c>
      <c r="F820" s="2" t="s">
        <v>1865</v>
      </c>
      <c r="G820" s="2" t="s">
        <v>7401</v>
      </c>
      <c r="H820" s="2" t="s">
        <v>802</v>
      </c>
      <c r="I820" s="4">
        <v>2075</v>
      </c>
      <c r="J820" s="4">
        <v>2834</v>
      </c>
      <c r="L820" s="31">
        <v>94.42</v>
      </c>
      <c r="M820" s="32">
        <v>52</v>
      </c>
      <c r="N820" s="33">
        <v>22</v>
      </c>
    </row>
    <row r="821" spans="1:14" x14ac:dyDescent="0.25">
      <c r="A821" s="30">
        <v>1</v>
      </c>
      <c r="B821" s="2" t="s">
        <v>7398</v>
      </c>
      <c r="C821" s="2" t="s">
        <v>7399</v>
      </c>
      <c r="D821" s="2" t="s">
        <v>6229</v>
      </c>
      <c r="E821" s="5">
        <v>25</v>
      </c>
      <c r="F821" s="2" t="s">
        <v>1865</v>
      </c>
      <c r="G821" s="2" t="s">
        <v>7401</v>
      </c>
      <c r="H821" s="2" t="s">
        <v>803</v>
      </c>
      <c r="I821" s="4">
        <v>477</v>
      </c>
      <c r="J821" s="4">
        <v>598</v>
      </c>
      <c r="L821" s="31">
        <v>13.71</v>
      </c>
      <c r="M821" s="32">
        <v>78.400000000000006</v>
      </c>
      <c r="N821" s="33">
        <v>34.799999999999997</v>
      </c>
    </row>
    <row r="822" spans="1:14" x14ac:dyDescent="0.25">
      <c r="A822" s="30">
        <v>1</v>
      </c>
      <c r="B822" s="2" t="s">
        <v>7398</v>
      </c>
      <c r="C822" s="2" t="s">
        <v>7399</v>
      </c>
      <c r="D822" s="2" t="s">
        <v>6230</v>
      </c>
      <c r="E822" s="5">
        <v>25</v>
      </c>
      <c r="F822" s="2" t="s">
        <v>1865</v>
      </c>
      <c r="G822" s="2" t="s">
        <v>7401</v>
      </c>
      <c r="H822" s="2" t="s">
        <v>804</v>
      </c>
      <c r="I822" s="4">
        <v>528</v>
      </c>
      <c r="J822" s="4">
        <v>676</v>
      </c>
      <c r="L822" s="31">
        <v>23.85</v>
      </c>
      <c r="M822" s="32">
        <v>50.5</v>
      </c>
      <c r="N822" s="33">
        <v>22.1</v>
      </c>
    </row>
    <row r="823" spans="1:14" x14ac:dyDescent="0.25">
      <c r="A823" s="30">
        <v>1</v>
      </c>
      <c r="B823" s="2" t="s">
        <v>7398</v>
      </c>
      <c r="C823" s="2" t="s">
        <v>7399</v>
      </c>
      <c r="D823" s="2" t="s">
        <v>6231</v>
      </c>
      <c r="E823" s="5">
        <v>24</v>
      </c>
      <c r="F823" s="2" t="s">
        <v>1876</v>
      </c>
      <c r="G823" s="2" t="s">
        <v>7401</v>
      </c>
      <c r="H823" s="2" t="s">
        <v>805</v>
      </c>
      <c r="I823" s="4">
        <v>679</v>
      </c>
      <c r="J823" s="4">
        <v>5750</v>
      </c>
      <c r="L823" s="31">
        <v>302.42</v>
      </c>
      <c r="M823" s="32">
        <v>21.3</v>
      </c>
      <c r="N823" s="33">
        <v>2.2000000000000002</v>
      </c>
    </row>
    <row r="824" spans="1:14" x14ac:dyDescent="0.25">
      <c r="A824" s="30">
        <v>1</v>
      </c>
      <c r="B824" s="2" t="s">
        <v>7398</v>
      </c>
      <c r="C824" s="2" t="s">
        <v>7399</v>
      </c>
      <c r="D824" s="2" t="s">
        <v>6232</v>
      </c>
      <c r="E824" s="5">
        <v>50</v>
      </c>
      <c r="F824" s="2" t="s">
        <v>1857</v>
      </c>
      <c r="G824" s="2" t="s">
        <v>7401</v>
      </c>
      <c r="H824" s="2" t="s">
        <v>806</v>
      </c>
      <c r="I824" s="4">
        <v>958</v>
      </c>
      <c r="J824" s="4">
        <v>600</v>
      </c>
      <c r="L824" s="31">
        <v>61.28</v>
      </c>
      <c r="M824" s="32">
        <v>25.4</v>
      </c>
      <c r="N824" s="33">
        <v>15.6</v>
      </c>
    </row>
    <row r="825" spans="1:14" x14ac:dyDescent="0.25">
      <c r="A825" s="30">
        <v>1</v>
      </c>
      <c r="B825" s="2" t="s">
        <v>7398</v>
      </c>
      <c r="C825" s="2" t="s">
        <v>7399</v>
      </c>
      <c r="D825" s="2" t="s">
        <v>6233</v>
      </c>
      <c r="E825" s="5">
        <v>24</v>
      </c>
      <c r="F825" s="2" t="s">
        <v>1876</v>
      </c>
      <c r="G825" s="2" t="s">
        <v>7401</v>
      </c>
      <c r="H825" s="2" t="s">
        <v>807</v>
      </c>
      <c r="I825" s="4">
        <v>800</v>
      </c>
      <c r="J825" s="4">
        <v>1700</v>
      </c>
      <c r="L825" s="31">
        <v>134.13999999999999</v>
      </c>
      <c r="M825" s="32">
        <v>18.600000000000001</v>
      </c>
      <c r="N825" s="33">
        <v>6</v>
      </c>
    </row>
    <row r="826" spans="1:14" x14ac:dyDescent="0.25">
      <c r="A826" s="30">
        <v>1</v>
      </c>
      <c r="B826" s="2" t="s">
        <v>7398</v>
      </c>
      <c r="C826" s="2" t="s">
        <v>7399</v>
      </c>
      <c r="D826" s="2" t="s">
        <v>6234</v>
      </c>
      <c r="E826" s="5">
        <v>50</v>
      </c>
      <c r="F826" s="2" t="s">
        <v>1857</v>
      </c>
      <c r="G826" s="2" t="s">
        <v>7401</v>
      </c>
      <c r="H826" s="2" t="s">
        <v>808</v>
      </c>
      <c r="I826" s="4">
        <v>1871</v>
      </c>
      <c r="J826" s="4">
        <v>1300</v>
      </c>
      <c r="L826" s="31">
        <v>130.41999999999999</v>
      </c>
      <c r="M826" s="32">
        <v>24.3</v>
      </c>
      <c r="N826" s="33">
        <v>14.3</v>
      </c>
    </row>
    <row r="827" spans="1:14" x14ac:dyDescent="0.25">
      <c r="A827" s="30">
        <v>1</v>
      </c>
      <c r="B827" s="2" t="s">
        <v>7398</v>
      </c>
      <c r="C827" s="2" t="s">
        <v>7399</v>
      </c>
      <c r="D827" s="2" t="s">
        <v>6235</v>
      </c>
      <c r="E827" s="5">
        <v>24</v>
      </c>
      <c r="F827" s="2" t="s">
        <v>1876</v>
      </c>
      <c r="G827" s="2" t="s">
        <v>7401</v>
      </c>
      <c r="H827" s="2" t="s">
        <v>809</v>
      </c>
      <c r="I827" s="4">
        <v>67</v>
      </c>
      <c r="J827" s="4">
        <v>635</v>
      </c>
      <c r="L827" s="31">
        <v>26.14</v>
      </c>
      <c r="M827" s="32">
        <v>26.9</v>
      </c>
      <c r="N827" s="33">
        <v>2.6</v>
      </c>
    </row>
    <row r="828" spans="1:14" x14ac:dyDescent="0.25">
      <c r="A828" s="30">
        <v>1</v>
      </c>
      <c r="B828" s="2" t="s">
        <v>7398</v>
      </c>
      <c r="C828" s="2" t="s">
        <v>7399</v>
      </c>
      <c r="D828" s="2" t="s">
        <v>6236</v>
      </c>
      <c r="E828" s="5">
        <v>24</v>
      </c>
      <c r="F828" s="2" t="s">
        <v>1876</v>
      </c>
      <c r="G828" s="2" t="s">
        <v>7401</v>
      </c>
      <c r="H828" s="2" t="s">
        <v>810</v>
      </c>
      <c r="I828" s="4">
        <v>2277</v>
      </c>
      <c r="J828" s="4">
        <v>4165</v>
      </c>
      <c r="L828" s="31">
        <v>109.42</v>
      </c>
      <c r="M828" s="32">
        <v>58.9</v>
      </c>
      <c r="N828" s="33">
        <v>20.8</v>
      </c>
    </row>
    <row r="829" spans="1:14" x14ac:dyDescent="0.25">
      <c r="A829" s="30">
        <v>1</v>
      </c>
      <c r="B829" s="2" t="s">
        <v>7398</v>
      </c>
      <c r="C829" s="2" t="s">
        <v>7399</v>
      </c>
      <c r="D829" s="2" t="s">
        <v>6237</v>
      </c>
      <c r="E829" s="5">
        <v>25</v>
      </c>
      <c r="F829" s="2" t="s">
        <v>1952</v>
      </c>
      <c r="G829" s="2" t="s">
        <v>7401</v>
      </c>
      <c r="H829" s="2" t="s">
        <v>811</v>
      </c>
      <c r="I829" s="4">
        <v>65</v>
      </c>
      <c r="J829" s="4">
        <v>0</v>
      </c>
      <c r="L829" s="31">
        <v>0.28000000000000003</v>
      </c>
      <c r="M829" s="32">
        <v>232.1</v>
      </c>
      <c r="N829" s="33">
        <v>232.1</v>
      </c>
    </row>
    <row r="830" spans="1:14" x14ac:dyDescent="0.25">
      <c r="A830" s="30">
        <v>1</v>
      </c>
      <c r="B830" s="2" t="s">
        <v>7398</v>
      </c>
      <c r="C830" s="2" t="s">
        <v>7399</v>
      </c>
      <c r="D830" s="2" t="s">
        <v>6238</v>
      </c>
      <c r="E830" s="5">
        <v>25</v>
      </c>
      <c r="F830" s="2" t="s">
        <v>1902</v>
      </c>
      <c r="G830" s="2" t="s">
        <v>7401</v>
      </c>
      <c r="H830" s="2" t="s">
        <v>812</v>
      </c>
      <c r="I830" s="4">
        <v>49</v>
      </c>
      <c r="J830" s="4">
        <v>26</v>
      </c>
      <c r="L830" s="31">
        <v>2.71</v>
      </c>
      <c r="M830" s="32">
        <v>27.7</v>
      </c>
      <c r="N830" s="33">
        <v>18.100000000000001</v>
      </c>
    </row>
    <row r="831" spans="1:14" x14ac:dyDescent="0.25">
      <c r="A831" s="30">
        <v>1</v>
      </c>
      <c r="B831" s="2" t="s">
        <v>7398</v>
      </c>
      <c r="C831" s="2" t="s">
        <v>7399</v>
      </c>
      <c r="D831" s="2" t="s">
        <v>6239</v>
      </c>
      <c r="E831" s="5">
        <v>12</v>
      </c>
      <c r="F831" s="2" t="s">
        <v>1902</v>
      </c>
      <c r="G831" s="2" t="s">
        <v>7401</v>
      </c>
      <c r="H831" s="2" t="s">
        <v>813</v>
      </c>
      <c r="I831" s="4">
        <v>140</v>
      </c>
      <c r="J831" s="4">
        <v>26</v>
      </c>
      <c r="L831" s="31">
        <v>4.57</v>
      </c>
      <c r="M831" s="32">
        <v>36.299999999999997</v>
      </c>
      <c r="N831" s="33">
        <v>30.6</v>
      </c>
    </row>
    <row r="832" spans="1:14" x14ac:dyDescent="0.25">
      <c r="A832" s="30">
        <v>1</v>
      </c>
      <c r="B832" s="2" t="s">
        <v>7398</v>
      </c>
      <c r="C832" s="2" t="s">
        <v>7399</v>
      </c>
      <c r="D832" s="2" t="s">
        <v>6240</v>
      </c>
      <c r="E832" s="5">
        <v>12</v>
      </c>
      <c r="F832" s="2" t="s">
        <v>1902</v>
      </c>
      <c r="G832" s="2" t="s">
        <v>7401</v>
      </c>
      <c r="H832" s="2" t="s">
        <v>814</v>
      </c>
      <c r="I832" s="4">
        <v>115</v>
      </c>
      <c r="J832" s="4">
        <v>0</v>
      </c>
      <c r="L832" s="31">
        <v>2.57</v>
      </c>
      <c r="M832" s="32">
        <v>44.7</v>
      </c>
      <c r="N832" s="33">
        <v>44.7</v>
      </c>
    </row>
    <row r="833" spans="1:14" x14ac:dyDescent="0.25">
      <c r="A833" s="30">
        <v>1</v>
      </c>
      <c r="B833" s="2" t="s">
        <v>7398</v>
      </c>
      <c r="C833" s="2" t="s">
        <v>7399</v>
      </c>
      <c r="D833" s="2" t="s">
        <v>6241</v>
      </c>
      <c r="E833" s="5">
        <v>25</v>
      </c>
      <c r="F833" s="2" t="s">
        <v>1865</v>
      </c>
      <c r="G833" s="2" t="s">
        <v>7401</v>
      </c>
      <c r="H833" s="2" t="s">
        <v>815</v>
      </c>
      <c r="I833" s="4">
        <v>164</v>
      </c>
      <c r="J833" s="4">
        <v>0</v>
      </c>
      <c r="L833" s="31">
        <v>3.57</v>
      </c>
      <c r="M833" s="32">
        <v>45.9</v>
      </c>
      <c r="N833" s="33">
        <v>45.9</v>
      </c>
    </row>
    <row r="834" spans="1:14" x14ac:dyDescent="0.25">
      <c r="A834" s="30">
        <v>1</v>
      </c>
      <c r="B834" s="2" t="s">
        <v>7398</v>
      </c>
      <c r="C834" s="2" t="s">
        <v>7399</v>
      </c>
      <c r="D834" s="2" t="s">
        <v>6242</v>
      </c>
      <c r="E834" s="5">
        <v>25</v>
      </c>
      <c r="F834" s="2" t="s">
        <v>1902</v>
      </c>
      <c r="G834" s="2" t="s">
        <v>7401</v>
      </c>
      <c r="H834" s="2" t="s">
        <v>816</v>
      </c>
      <c r="I834" s="4">
        <v>345</v>
      </c>
      <c r="J834" s="4">
        <v>0</v>
      </c>
      <c r="L834" s="31">
        <v>1.57</v>
      </c>
      <c r="M834" s="32">
        <v>219.7</v>
      </c>
      <c r="N834" s="33">
        <v>219.7</v>
      </c>
    </row>
    <row r="835" spans="1:14" x14ac:dyDescent="0.25">
      <c r="A835" s="30">
        <v>1</v>
      </c>
      <c r="B835" s="2" t="s">
        <v>7398</v>
      </c>
      <c r="C835" s="2" t="s">
        <v>7399</v>
      </c>
      <c r="D835" s="2" t="s">
        <v>6243</v>
      </c>
      <c r="E835" s="5">
        <v>24</v>
      </c>
      <c r="F835" s="2" t="s">
        <v>1876</v>
      </c>
      <c r="G835" s="2" t="s">
        <v>7401</v>
      </c>
      <c r="H835" s="2" t="s">
        <v>817</v>
      </c>
      <c r="I835" s="4">
        <v>456</v>
      </c>
      <c r="J835" s="4">
        <v>2635</v>
      </c>
      <c r="L835" s="31">
        <v>62.57</v>
      </c>
      <c r="M835" s="32">
        <v>49.4</v>
      </c>
      <c r="N835" s="33">
        <v>7.3</v>
      </c>
    </row>
    <row r="836" spans="1:14" x14ac:dyDescent="0.25">
      <c r="A836" s="30">
        <v>1</v>
      </c>
      <c r="B836" s="2" t="s">
        <v>7398</v>
      </c>
      <c r="C836" s="2" t="s">
        <v>7399</v>
      </c>
      <c r="D836" s="2" t="s">
        <v>6244</v>
      </c>
      <c r="E836" s="5">
        <v>25</v>
      </c>
      <c r="F836" s="2" t="s">
        <v>1902</v>
      </c>
      <c r="G836" s="2" t="s">
        <v>7401</v>
      </c>
      <c r="H836" s="2" t="s">
        <v>818</v>
      </c>
      <c r="I836" s="4">
        <v>1046</v>
      </c>
      <c r="J836" s="4">
        <v>1456</v>
      </c>
      <c r="L836" s="31">
        <v>60.85</v>
      </c>
      <c r="M836" s="32">
        <v>41.1</v>
      </c>
      <c r="N836" s="33">
        <v>17.2</v>
      </c>
    </row>
    <row r="837" spans="1:14" x14ac:dyDescent="0.25">
      <c r="A837" s="30">
        <v>1</v>
      </c>
      <c r="B837" s="2" t="s">
        <v>7398</v>
      </c>
      <c r="C837" s="2" t="s">
        <v>7399</v>
      </c>
      <c r="D837" s="2" t="s">
        <v>6245</v>
      </c>
      <c r="E837" s="5">
        <v>25</v>
      </c>
      <c r="F837" s="2" t="s">
        <v>1902</v>
      </c>
      <c r="G837" s="2" t="s">
        <v>7401</v>
      </c>
      <c r="H837" s="2" t="s">
        <v>819</v>
      </c>
      <c r="I837" s="4">
        <v>315</v>
      </c>
      <c r="J837" s="4">
        <v>0</v>
      </c>
      <c r="L837" s="31">
        <v>7.14</v>
      </c>
      <c r="M837" s="32">
        <v>44.1</v>
      </c>
      <c r="N837" s="33">
        <v>44.1</v>
      </c>
    </row>
    <row r="838" spans="1:14" x14ac:dyDescent="0.25">
      <c r="A838" s="30">
        <v>1</v>
      </c>
      <c r="B838" s="2" t="s">
        <v>7398</v>
      </c>
      <c r="C838" s="2" t="s">
        <v>7399</v>
      </c>
      <c r="D838" s="2" t="s">
        <v>6246</v>
      </c>
      <c r="E838" s="5">
        <v>25</v>
      </c>
      <c r="F838" s="2" t="s">
        <v>1902</v>
      </c>
      <c r="G838" s="2" t="s">
        <v>7401</v>
      </c>
      <c r="H838" s="2" t="s">
        <v>820</v>
      </c>
      <c r="I838" s="4">
        <v>152</v>
      </c>
      <c r="J838" s="4">
        <v>0</v>
      </c>
      <c r="L838" s="31">
        <v>5.85</v>
      </c>
      <c r="M838" s="32">
        <v>26</v>
      </c>
      <c r="N838" s="33">
        <v>26</v>
      </c>
    </row>
    <row r="839" spans="1:14" x14ac:dyDescent="0.25">
      <c r="A839" s="30">
        <v>1</v>
      </c>
      <c r="B839" s="2" t="s">
        <v>7398</v>
      </c>
      <c r="C839" s="2" t="s">
        <v>7399</v>
      </c>
      <c r="D839" s="2" t="s">
        <v>6247</v>
      </c>
      <c r="E839" s="5">
        <v>25</v>
      </c>
      <c r="F839" s="2" t="s">
        <v>1902</v>
      </c>
      <c r="G839" s="2" t="s">
        <v>7401</v>
      </c>
      <c r="H839" s="2" t="s">
        <v>821</v>
      </c>
      <c r="I839" s="4">
        <v>992</v>
      </c>
      <c r="J839" s="4">
        <v>1950</v>
      </c>
      <c r="L839" s="31">
        <v>69.569999999999993</v>
      </c>
      <c r="M839" s="32">
        <v>42.3</v>
      </c>
      <c r="N839" s="33">
        <v>14.3</v>
      </c>
    </row>
    <row r="840" spans="1:14" x14ac:dyDescent="0.25">
      <c r="A840" s="30">
        <v>1</v>
      </c>
      <c r="B840" s="2" t="s">
        <v>7398</v>
      </c>
      <c r="C840" s="2" t="s">
        <v>7399</v>
      </c>
      <c r="D840" s="2" t="s">
        <v>6248</v>
      </c>
      <c r="E840" s="5">
        <v>25</v>
      </c>
      <c r="F840" s="2" t="s">
        <v>1902</v>
      </c>
      <c r="G840" s="2" t="s">
        <v>7401</v>
      </c>
      <c r="H840" s="2" t="s">
        <v>822</v>
      </c>
      <c r="I840" s="4">
        <v>817</v>
      </c>
      <c r="J840" s="4">
        <v>546</v>
      </c>
      <c r="L840" s="31">
        <v>27.57</v>
      </c>
      <c r="M840" s="32">
        <v>49.4</v>
      </c>
      <c r="N840" s="33">
        <v>29.6</v>
      </c>
    </row>
    <row r="841" spans="1:14" x14ac:dyDescent="0.25">
      <c r="A841" s="30">
        <v>1</v>
      </c>
      <c r="B841" s="2" t="s">
        <v>7398</v>
      </c>
      <c r="C841" s="2" t="s">
        <v>7399</v>
      </c>
      <c r="D841" s="2" t="s">
        <v>6249</v>
      </c>
      <c r="E841" s="5">
        <v>25</v>
      </c>
      <c r="F841" s="2" t="s">
        <v>1902</v>
      </c>
      <c r="G841" s="2" t="s">
        <v>7401</v>
      </c>
      <c r="H841" s="2" t="s">
        <v>823</v>
      </c>
      <c r="I841" s="4">
        <v>918</v>
      </c>
      <c r="J841" s="4">
        <v>2886</v>
      </c>
      <c r="L841" s="31">
        <v>82.42</v>
      </c>
      <c r="M841" s="32">
        <v>46.2</v>
      </c>
      <c r="N841" s="33">
        <v>11.1</v>
      </c>
    </row>
    <row r="842" spans="1:14" x14ac:dyDescent="0.25">
      <c r="A842" s="30">
        <v>1</v>
      </c>
      <c r="B842" s="2" t="s">
        <v>7398</v>
      </c>
      <c r="C842" s="2" t="s">
        <v>7399</v>
      </c>
      <c r="D842" s="2" t="s">
        <v>6250</v>
      </c>
      <c r="E842" s="5">
        <v>25</v>
      </c>
      <c r="F842" s="2" t="s">
        <v>1902</v>
      </c>
      <c r="G842" s="2" t="s">
        <v>7401</v>
      </c>
      <c r="H842" s="2" t="s">
        <v>824</v>
      </c>
      <c r="I842" s="4">
        <v>743</v>
      </c>
      <c r="J842" s="4">
        <v>806</v>
      </c>
      <c r="L842" s="31">
        <v>21.42</v>
      </c>
      <c r="M842" s="32">
        <v>72.3</v>
      </c>
      <c r="N842" s="33">
        <v>34.700000000000003</v>
      </c>
    </row>
    <row r="843" spans="1:14" x14ac:dyDescent="0.25">
      <c r="A843" s="30">
        <v>1</v>
      </c>
      <c r="B843" s="2" t="s">
        <v>7398</v>
      </c>
      <c r="C843" s="2" t="s">
        <v>7399</v>
      </c>
      <c r="D843" s="2" t="s">
        <v>6251</v>
      </c>
      <c r="E843" s="5">
        <v>12</v>
      </c>
      <c r="F843" s="2" t="s">
        <v>1902</v>
      </c>
      <c r="G843" s="2" t="s">
        <v>7401</v>
      </c>
      <c r="H843" s="2" t="s">
        <v>825</v>
      </c>
      <c r="I843" s="4">
        <v>393</v>
      </c>
      <c r="J843" s="4">
        <v>192</v>
      </c>
      <c r="L843" s="31">
        <v>24.85</v>
      </c>
      <c r="M843" s="32">
        <v>23.5</v>
      </c>
      <c r="N843" s="33">
        <v>15.8</v>
      </c>
    </row>
    <row r="844" spans="1:14" x14ac:dyDescent="0.25">
      <c r="A844" s="30">
        <v>1</v>
      </c>
      <c r="B844" s="2" t="s">
        <v>7398</v>
      </c>
      <c r="C844" s="2" t="s">
        <v>7399</v>
      </c>
      <c r="D844" s="2" t="s">
        <v>6252</v>
      </c>
      <c r="E844" s="5">
        <v>12</v>
      </c>
      <c r="F844" s="2" t="s">
        <v>1902</v>
      </c>
      <c r="G844" s="2" t="s">
        <v>7401</v>
      </c>
      <c r="H844" s="2" t="s">
        <v>826</v>
      </c>
      <c r="I844" s="4">
        <v>126</v>
      </c>
      <c r="J844" s="4">
        <v>0</v>
      </c>
      <c r="L844" s="31">
        <v>7</v>
      </c>
      <c r="M844" s="32">
        <v>18</v>
      </c>
      <c r="N844" s="33">
        <v>18</v>
      </c>
    </row>
    <row r="845" spans="1:14" x14ac:dyDescent="0.25">
      <c r="A845" s="30">
        <v>1</v>
      </c>
      <c r="B845" s="2" t="s">
        <v>7398</v>
      </c>
      <c r="C845" s="2" t="s">
        <v>7399</v>
      </c>
      <c r="D845" s="2" t="s">
        <v>6253</v>
      </c>
      <c r="E845" s="5">
        <v>24</v>
      </c>
      <c r="F845" s="2" t="s">
        <v>1953</v>
      </c>
      <c r="G845" s="2" t="s">
        <v>7401</v>
      </c>
      <c r="H845" s="2" t="s">
        <v>827</v>
      </c>
      <c r="I845" s="4">
        <v>2761</v>
      </c>
      <c r="J845" s="4">
        <v>0</v>
      </c>
      <c r="L845" s="31">
        <v>47.71</v>
      </c>
      <c r="M845" s="32">
        <v>57.9</v>
      </c>
      <c r="N845" s="33">
        <v>57.9</v>
      </c>
    </row>
    <row r="846" spans="1:14" x14ac:dyDescent="0.25">
      <c r="A846" s="30">
        <v>1</v>
      </c>
      <c r="B846" s="2" t="s">
        <v>7398</v>
      </c>
      <c r="C846" s="2" t="s">
        <v>7399</v>
      </c>
      <c r="D846" s="2" t="s">
        <v>6254</v>
      </c>
      <c r="E846" s="5">
        <v>24</v>
      </c>
      <c r="F846" s="2" t="s">
        <v>1953</v>
      </c>
      <c r="G846" s="2" t="s">
        <v>7401</v>
      </c>
      <c r="H846" s="2" t="s">
        <v>828</v>
      </c>
      <c r="I846" s="4">
        <v>2107</v>
      </c>
      <c r="J846" s="4">
        <v>0</v>
      </c>
      <c r="L846" s="31">
        <v>53.28</v>
      </c>
      <c r="M846" s="32">
        <v>39.5</v>
      </c>
      <c r="N846" s="33">
        <v>39.5</v>
      </c>
    </row>
    <row r="847" spans="1:14" x14ac:dyDescent="0.25">
      <c r="A847" s="30">
        <v>1</v>
      </c>
      <c r="B847" s="2" t="s">
        <v>7398</v>
      </c>
      <c r="C847" s="2" t="s">
        <v>7399</v>
      </c>
      <c r="D847" s="2" t="s">
        <v>6255</v>
      </c>
      <c r="E847" s="5">
        <v>24</v>
      </c>
      <c r="F847" s="2" t="s">
        <v>1953</v>
      </c>
      <c r="G847" s="2" t="s">
        <v>7401</v>
      </c>
      <c r="H847" s="2" t="s">
        <v>829</v>
      </c>
      <c r="I847" s="4">
        <v>615</v>
      </c>
      <c r="J847" s="4">
        <v>0</v>
      </c>
      <c r="L847" s="31">
        <v>24.14</v>
      </c>
      <c r="M847" s="32">
        <v>25.5</v>
      </c>
      <c r="N847" s="33">
        <v>25.5</v>
      </c>
    </row>
    <row r="848" spans="1:14" x14ac:dyDescent="0.25">
      <c r="A848" s="30">
        <v>1</v>
      </c>
      <c r="B848" s="2" t="s">
        <v>7398</v>
      </c>
      <c r="C848" s="2" t="s">
        <v>7399</v>
      </c>
      <c r="D848" s="2" t="s">
        <v>6256</v>
      </c>
      <c r="E848" s="5">
        <v>12</v>
      </c>
      <c r="F848" s="2" t="s">
        <v>1954</v>
      </c>
      <c r="G848" s="2" t="s">
        <v>7401</v>
      </c>
      <c r="H848" s="2" t="s">
        <v>830</v>
      </c>
      <c r="I848" s="4">
        <v>240</v>
      </c>
      <c r="J848" s="4">
        <v>1000</v>
      </c>
      <c r="L848" s="31">
        <v>5.71</v>
      </c>
      <c r="M848" s="32">
        <v>217.2</v>
      </c>
      <c r="N848" s="33">
        <v>42</v>
      </c>
    </row>
    <row r="849" spans="1:14" x14ac:dyDescent="0.25">
      <c r="A849" s="30">
        <v>1</v>
      </c>
      <c r="B849" s="2" t="s">
        <v>7398</v>
      </c>
      <c r="C849" s="2" t="s">
        <v>7399</v>
      </c>
      <c r="D849" s="2" t="s">
        <v>6257</v>
      </c>
      <c r="E849" s="5">
        <v>72</v>
      </c>
      <c r="F849" s="2" t="s">
        <v>1902</v>
      </c>
      <c r="G849" s="2" t="s">
        <v>7401</v>
      </c>
      <c r="H849" s="2" t="s">
        <v>831</v>
      </c>
      <c r="I849" s="4">
        <v>0</v>
      </c>
      <c r="J849" s="4">
        <v>0</v>
      </c>
      <c r="L849" s="31">
        <v>0</v>
      </c>
      <c r="M849" s="32">
        <v>0</v>
      </c>
      <c r="N849" s="33">
        <v>9999</v>
      </c>
    </row>
    <row r="850" spans="1:14" x14ac:dyDescent="0.25">
      <c r="A850" s="30">
        <v>1</v>
      </c>
      <c r="B850" s="2" t="s">
        <v>7398</v>
      </c>
      <c r="C850" s="2" t="s">
        <v>7399</v>
      </c>
      <c r="D850" s="2" t="s">
        <v>6258</v>
      </c>
      <c r="E850" s="5">
        <v>25</v>
      </c>
      <c r="F850" s="2" t="s">
        <v>1902</v>
      </c>
      <c r="G850" s="2" t="s">
        <v>7401</v>
      </c>
      <c r="H850" s="2" t="s">
        <v>832</v>
      </c>
      <c r="I850" s="4">
        <v>307</v>
      </c>
      <c r="J850" s="4">
        <v>104</v>
      </c>
      <c r="L850" s="31">
        <v>13</v>
      </c>
      <c r="M850" s="32">
        <v>31.6</v>
      </c>
      <c r="N850" s="33">
        <v>23.6</v>
      </c>
    </row>
    <row r="851" spans="1:14" x14ac:dyDescent="0.25">
      <c r="A851" s="30">
        <v>1</v>
      </c>
      <c r="B851" s="2" t="s">
        <v>7398</v>
      </c>
      <c r="C851" s="2" t="s">
        <v>7399</v>
      </c>
      <c r="D851" s="2" t="s">
        <v>6259</v>
      </c>
      <c r="E851" s="5">
        <v>80</v>
      </c>
      <c r="F851" s="2" t="s">
        <v>1902</v>
      </c>
      <c r="G851" s="2" t="s">
        <v>7403</v>
      </c>
      <c r="H851" s="2" t="s">
        <v>833</v>
      </c>
      <c r="I851" s="4">
        <v>13</v>
      </c>
      <c r="J851" s="4">
        <v>0</v>
      </c>
      <c r="L851" s="31">
        <v>3.71</v>
      </c>
      <c r="M851" s="32">
        <v>3.5</v>
      </c>
      <c r="N851" s="33">
        <v>3.5</v>
      </c>
    </row>
    <row r="852" spans="1:14" x14ac:dyDescent="0.25">
      <c r="A852" s="30">
        <v>1</v>
      </c>
      <c r="B852" s="2" t="s">
        <v>7398</v>
      </c>
      <c r="C852" s="2" t="s">
        <v>7399</v>
      </c>
      <c r="D852" s="2" t="s">
        <v>6260</v>
      </c>
      <c r="E852" s="5">
        <v>80</v>
      </c>
      <c r="F852" s="2" t="s">
        <v>1902</v>
      </c>
      <c r="G852" s="2" t="s">
        <v>7403</v>
      </c>
      <c r="H852" s="2" t="s">
        <v>834</v>
      </c>
      <c r="I852" s="4">
        <v>38</v>
      </c>
      <c r="J852" s="4">
        <v>0</v>
      </c>
      <c r="L852" s="31">
        <v>3.14</v>
      </c>
      <c r="M852" s="32">
        <v>12.1</v>
      </c>
      <c r="N852" s="33">
        <v>12.1</v>
      </c>
    </row>
    <row r="853" spans="1:14" x14ac:dyDescent="0.25">
      <c r="A853" s="30">
        <v>1</v>
      </c>
      <c r="B853" s="2" t="s">
        <v>7398</v>
      </c>
      <c r="C853" s="2" t="s">
        <v>7399</v>
      </c>
      <c r="D853" s="2" t="s">
        <v>6261</v>
      </c>
      <c r="E853" s="5">
        <v>12</v>
      </c>
      <c r="F853" s="2" t="s">
        <v>1902</v>
      </c>
      <c r="G853" s="2" t="s">
        <v>7401</v>
      </c>
      <c r="H853" s="2" t="s">
        <v>835</v>
      </c>
      <c r="I853" s="4">
        <v>333</v>
      </c>
      <c r="J853" s="4">
        <v>0</v>
      </c>
      <c r="L853" s="31">
        <v>6</v>
      </c>
      <c r="M853" s="32">
        <v>55.5</v>
      </c>
      <c r="N853" s="33">
        <v>55.5</v>
      </c>
    </row>
    <row r="854" spans="1:14" x14ac:dyDescent="0.25">
      <c r="A854" s="30">
        <v>1</v>
      </c>
      <c r="B854" s="2" t="s">
        <v>7398</v>
      </c>
      <c r="C854" s="2" t="s">
        <v>7399</v>
      </c>
      <c r="D854" s="2" t="s">
        <v>6262</v>
      </c>
      <c r="E854" s="5">
        <v>12</v>
      </c>
      <c r="F854" s="2" t="s">
        <v>1902</v>
      </c>
      <c r="G854" s="2" t="s">
        <v>7401</v>
      </c>
      <c r="H854" s="2" t="s">
        <v>836</v>
      </c>
      <c r="I854" s="4">
        <v>614</v>
      </c>
      <c r="J854" s="4">
        <v>48</v>
      </c>
      <c r="L854" s="31">
        <v>13.14</v>
      </c>
      <c r="M854" s="32">
        <v>50.4</v>
      </c>
      <c r="N854" s="33">
        <v>46.7</v>
      </c>
    </row>
    <row r="855" spans="1:14" x14ac:dyDescent="0.25">
      <c r="A855" s="30">
        <v>1</v>
      </c>
      <c r="B855" s="2" t="s">
        <v>7398</v>
      </c>
      <c r="C855" s="2" t="s">
        <v>7399</v>
      </c>
      <c r="D855" s="2" t="s">
        <v>6263</v>
      </c>
      <c r="E855" s="5">
        <v>12</v>
      </c>
      <c r="F855" s="2" t="s">
        <v>1902</v>
      </c>
      <c r="G855" s="2" t="s">
        <v>7401</v>
      </c>
      <c r="H855" s="2" t="s">
        <v>837</v>
      </c>
      <c r="I855" s="4">
        <v>27</v>
      </c>
      <c r="J855" s="4">
        <v>0</v>
      </c>
      <c r="L855" s="31">
        <v>0.56999999999999995</v>
      </c>
      <c r="M855" s="32">
        <v>47.4</v>
      </c>
      <c r="N855" s="33">
        <v>47.4</v>
      </c>
    </row>
    <row r="856" spans="1:14" x14ac:dyDescent="0.25">
      <c r="A856" s="30">
        <v>1</v>
      </c>
      <c r="B856" s="2" t="s">
        <v>7398</v>
      </c>
      <c r="C856" s="2" t="s">
        <v>7399</v>
      </c>
      <c r="D856" s="2" t="s">
        <v>6264</v>
      </c>
      <c r="E856" s="5">
        <v>12</v>
      </c>
      <c r="F856" s="2" t="s">
        <v>1902</v>
      </c>
      <c r="G856" s="2" t="s">
        <v>7401</v>
      </c>
      <c r="H856" s="2" t="s">
        <v>838</v>
      </c>
      <c r="I856" s="4">
        <v>14</v>
      </c>
      <c r="J856" s="4">
        <v>0</v>
      </c>
      <c r="L856" s="31">
        <v>0.56999999999999995</v>
      </c>
      <c r="M856" s="32">
        <v>24.6</v>
      </c>
      <c r="N856" s="33">
        <v>24.6</v>
      </c>
    </row>
    <row r="857" spans="1:14" x14ac:dyDescent="0.25">
      <c r="A857" s="30">
        <v>1</v>
      </c>
      <c r="B857" s="2" t="s">
        <v>7398</v>
      </c>
      <c r="C857" s="2" t="s">
        <v>7399</v>
      </c>
      <c r="D857" s="2" t="s">
        <v>6265</v>
      </c>
      <c r="E857" s="5">
        <v>80</v>
      </c>
      <c r="F857" s="2" t="s">
        <v>1902</v>
      </c>
      <c r="G857" s="2" t="s">
        <v>7412</v>
      </c>
      <c r="H857" s="2" t="s">
        <v>839</v>
      </c>
      <c r="I857" s="4">
        <v>28</v>
      </c>
      <c r="J857" s="4">
        <v>0</v>
      </c>
      <c r="L857" s="31">
        <v>0.14000000000000001</v>
      </c>
      <c r="M857" s="32">
        <v>200</v>
      </c>
      <c r="N857" s="33">
        <v>200</v>
      </c>
    </row>
    <row r="858" spans="1:14" x14ac:dyDescent="0.25">
      <c r="A858" s="30">
        <v>1</v>
      </c>
      <c r="B858" s="2" t="s">
        <v>7398</v>
      </c>
      <c r="C858" s="2" t="s">
        <v>7399</v>
      </c>
      <c r="D858" s="2" t="s">
        <v>6266</v>
      </c>
      <c r="E858" s="5">
        <v>12</v>
      </c>
      <c r="F858" s="2" t="s">
        <v>1876</v>
      </c>
      <c r="G858" s="2" t="s">
        <v>7403</v>
      </c>
      <c r="H858" s="2" t="s">
        <v>840</v>
      </c>
      <c r="I858" s="4">
        <v>1098</v>
      </c>
      <c r="J858" s="4">
        <v>0</v>
      </c>
      <c r="L858" s="31">
        <v>8.14</v>
      </c>
      <c r="M858" s="32">
        <v>134.9</v>
      </c>
      <c r="N858" s="33">
        <v>134.9</v>
      </c>
    </row>
    <row r="859" spans="1:14" x14ac:dyDescent="0.25">
      <c r="A859" s="30">
        <v>1</v>
      </c>
      <c r="B859" s="2" t="s">
        <v>7398</v>
      </c>
      <c r="C859" s="2" t="s">
        <v>7399</v>
      </c>
      <c r="D859" s="2" t="s">
        <v>6267</v>
      </c>
      <c r="E859" s="5">
        <v>12</v>
      </c>
      <c r="F859" s="2" t="s">
        <v>1882</v>
      </c>
      <c r="G859" s="2" t="s">
        <v>7400</v>
      </c>
      <c r="H859" s="2" t="s">
        <v>841</v>
      </c>
      <c r="I859" s="4">
        <v>519</v>
      </c>
      <c r="J859" s="4">
        <v>0</v>
      </c>
      <c r="L859" s="31">
        <v>5.28</v>
      </c>
      <c r="M859" s="32">
        <v>98.3</v>
      </c>
      <c r="N859" s="33">
        <v>98.3</v>
      </c>
    </row>
    <row r="860" spans="1:14" x14ac:dyDescent="0.25">
      <c r="A860" s="30">
        <v>1</v>
      </c>
      <c r="B860" s="2" t="s">
        <v>7398</v>
      </c>
      <c r="C860" s="2" t="s">
        <v>7399</v>
      </c>
      <c r="D860" s="2" t="s">
        <v>6268</v>
      </c>
      <c r="E860" s="5">
        <v>12</v>
      </c>
      <c r="F860" s="2" t="s">
        <v>1882</v>
      </c>
      <c r="G860" s="2" t="s">
        <v>7401</v>
      </c>
      <c r="H860" s="2" t="s">
        <v>842</v>
      </c>
      <c r="I860" s="4">
        <v>13206</v>
      </c>
      <c r="J860" s="4">
        <v>0</v>
      </c>
      <c r="L860" s="31">
        <v>120.14</v>
      </c>
      <c r="M860" s="32">
        <v>109.9</v>
      </c>
      <c r="N860" s="33">
        <v>109.9</v>
      </c>
    </row>
    <row r="861" spans="1:14" x14ac:dyDescent="0.25">
      <c r="A861" s="30">
        <v>1</v>
      </c>
      <c r="B861" s="2" t="s">
        <v>7398</v>
      </c>
      <c r="C861" s="2" t="s">
        <v>7399</v>
      </c>
      <c r="D861" s="2" t="s">
        <v>6269</v>
      </c>
      <c r="E861" s="5">
        <v>72</v>
      </c>
      <c r="F861" s="2" t="s">
        <v>1949</v>
      </c>
      <c r="G861" s="2" t="s">
        <v>7401</v>
      </c>
      <c r="H861" s="2" t="s">
        <v>843</v>
      </c>
      <c r="I861" s="4">
        <v>0</v>
      </c>
      <c r="J861" s="4">
        <v>0</v>
      </c>
      <c r="L861" s="31">
        <v>0</v>
      </c>
      <c r="M861" s="32">
        <v>0</v>
      </c>
      <c r="N861" s="33">
        <v>9999</v>
      </c>
    </row>
    <row r="862" spans="1:14" x14ac:dyDescent="0.25">
      <c r="A862" s="30">
        <v>1</v>
      </c>
      <c r="B862" s="2" t="s">
        <v>7398</v>
      </c>
      <c r="C862" s="2" t="s">
        <v>7399</v>
      </c>
      <c r="D862" s="2" t="s">
        <v>6270</v>
      </c>
      <c r="E862" s="5">
        <v>24</v>
      </c>
      <c r="F862" s="2" t="s">
        <v>1882</v>
      </c>
      <c r="G862" s="2" t="s">
        <v>7401</v>
      </c>
      <c r="H862" s="2" t="s">
        <v>844</v>
      </c>
      <c r="I862" s="4">
        <v>1032</v>
      </c>
      <c r="J862" s="4">
        <v>0</v>
      </c>
      <c r="L862" s="31">
        <v>63.57</v>
      </c>
      <c r="M862" s="32">
        <v>16.2</v>
      </c>
      <c r="N862" s="33">
        <v>16.2</v>
      </c>
    </row>
    <row r="863" spans="1:14" x14ac:dyDescent="0.25">
      <c r="A863" s="30">
        <v>1</v>
      </c>
      <c r="B863" s="2" t="s">
        <v>7398</v>
      </c>
      <c r="C863" s="2" t="s">
        <v>7399</v>
      </c>
      <c r="D863" s="2" t="s">
        <v>6271</v>
      </c>
      <c r="E863" s="5">
        <v>24</v>
      </c>
      <c r="F863" s="2" t="s">
        <v>1874</v>
      </c>
      <c r="G863" s="2" t="s">
        <v>7401</v>
      </c>
      <c r="H863" s="2" t="s">
        <v>845</v>
      </c>
      <c r="I863" s="4">
        <v>2303</v>
      </c>
      <c r="J863" s="4">
        <v>1836</v>
      </c>
      <c r="L863" s="31">
        <v>86</v>
      </c>
      <c r="M863" s="32">
        <v>48.1</v>
      </c>
      <c r="N863" s="33">
        <v>26.8</v>
      </c>
    </row>
    <row r="864" spans="1:14" x14ac:dyDescent="0.25">
      <c r="A864" s="30">
        <v>1</v>
      </c>
      <c r="B864" s="2" t="s">
        <v>7398</v>
      </c>
      <c r="C864" s="2" t="s">
        <v>7399</v>
      </c>
      <c r="D864" s="2" t="s">
        <v>6272</v>
      </c>
      <c r="E864" s="5">
        <v>456</v>
      </c>
      <c r="G864" s="2" t="s">
        <v>7404</v>
      </c>
      <c r="H864" s="2" t="s">
        <v>846</v>
      </c>
      <c r="I864" s="4">
        <v>0</v>
      </c>
      <c r="J864" s="4">
        <v>0</v>
      </c>
      <c r="L864" s="31">
        <v>0</v>
      </c>
      <c r="M864" s="32">
        <v>0</v>
      </c>
      <c r="N864" s="33">
        <v>9999</v>
      </c>
    </row>
    <row r="865" spans="1:14" x14ac:dyDescent="0.25">
      <c r="A865" s="30">
        <v>1</v>
      </c>
      <c r="B865" s="2" t="s">
        <v>7398</v>
      </c>
      <c r="C865" s="2" t="s">
        <v>7399</v>
      </c>
      <c r="D865" s="2" t="s">
        <v>6273</v>
      </c>
      <c r="E865" s="5">
        <v>24</v>
      </c>
      <c r="F865" s="2" t="s">
        <v>1882</v>
      </c>
      <c r="G865" s="2" t="s">
        <v>7401</v>
      </c>
      <c r="H865" s="2" t="s">
        <v>847</v>
      </c>
      <c r="I865" s="4">
        <v>69</v>
      </c>
      <c r="J865" s="4">
        <v>0</v>
      </c>
      <c r="L865" s="31">
        <v>10.28</v>
      </c>
      <c r="M865" s="32">
        <v>6.7</v>
      </c>
      <c r="N865" s="33">
        <v>6.7</v>
      </c>
    </row>
    <row r="866" spans="1:14" x14ac:dyDescent="0.25">
      <c r="A866" s="30">
        <v>1</v>
      </c>
      <c r="B866" s="2" t="s">
        <v>7398</v>
      </c>
      <c r="C866" s="2" t="s">
        <v>7399</v>
      </c>
      <c r="D866" s="2" t="s">
        <v>6274</v>
      </c>
      <c r="E866" s="5">
        <v>24</v>
      </c>
      <c r="F866" s="2" t="s">
        <v>1874</v>
      </c>
      <c r="G866" s="2" t="s">
        <v>7401</v>
      </c>
      <c r="H866" s="2" t="s">
        <v>848</v>
      </c>
      <c r="I866" s="4">
        <v>775</v>
      </c>
      <c r="J866" s="4">
        <v>0</v>
      </c>
      <c r="L866" s="31">
        <v>20.71</v>
      </c>
      <c r="M866" s="32">
        <v>37.4</v>
      </c>
      <c r="N866" s="33">
        <v>37.4</v>
      </c>
    </row>
    <row r="867" spans="1:14" x14ac:dyDescent="0.25">
      <c r="A867" s="30">
        <v>1</v>
      </c>
      <c r="B867" s="2" t="s">
        <v>7398</v>
      </c>
      <c r="C867" s="2" t="s">
        <v>7399</v>
      </c>
      <c r="D867" s="2" t="s">
        <v>6275</v>
      </c>
      <c r="E867" s="5">
        <v>24</v>
      </c>
      <c r="F867" s="2" t="s">
        <v>1859</v>
      </c>
      <c r="G867" s="2" t="s">
        <v>7403</v>
      </c>
      <c r="H867" s="2" t="s">
        <v>849</v>
      </c>
      <c r="I867" s="4">
        <v>28</v>
      </c>
      <c r="J867" s="4">
        <v>0</v>
      </c>
      <c r="L867" s="31">
        <v>2.71</v>
      </c>
      <c r="M867" s="32">
        <v>10.3</v>
      </c>
      <c r="N867" s="33">
        <v>10.3</v>
      </c>
    </row>
    <row r="868" spans="1:14" x14ac:dyDescent="0.25">
      <c r="A868" s="30">
        <v>1</v>
      </c>
      <c r="B868" s="2" t="s">
        <v>7398</v>
      </c>
      <c r="C868" s="2" t="s">
        <v>7399</v>
      </c>
      <c r="D868" s="2" t="s">
        <v>6276</v>
      </c>
      <c r="E868" s="5">
        <v>12</v>
      </c>
      <c r="F868" s="2" t="s">
        <v>1876</v>
      </c>
      <c r="G868" s="2" t="s">
        <v>7401</v>
      </c>
      <c r="H868" s="2" t="s">
        <v>850</v>
      </c>
      <c r="I868" s="4">
        <v>605</v>
      </c>
      <c r="J868" s="4">
        <v>0</v>
      </c>
      <c r="L868" s="31">
        <v>1.28</v>
      </c>
      <c r="M868" s="32">
        <v>472.7</v>
      </c>
      <c r="N868" s="33">
        <v>472.7</v>
      </c>
    </row>
    <row r="869" spans="1:14" x14ac:dyDescent="0.25">
      <c r="A869" s="30">
        <v>1</v>
      </c>
      <c r="B869" s="2" t="s">
        <v>7398</v>
      </c>
      <c r="C869" s="2" t="s">
        <v>7399</v>
      </c>
      <c r="D869" s="2" t="s">
        <v>6277</v>
      </c>
      <c r="E869" s="5">
        <v>12</v>
      </c>
      <c r="F869" s="2" t="s">
        <v>1876</v>
      </c>
      <c r="G869" s="2" t="s">
        <v>7401</v>
      </c>
      <c r="H869" s="2" t="s">
        <v>851</v>
      </c>
      <c r="I869" s="4">
        <v>275</v>
      </c>
      <c r="J869" s="4">
        <v>0</v>
      </c>
      <c r="L869" s="31">
        <v>0.71</v>
      </c>
      <c r="M869" s="32">
        <v>387.3</v>
      </c>
      <c r="N869" s="33">
        <v>387.3</v>
      </c>
    </row>
    <row r="870" spans="1:14" x14ac:dyDescent="0.25">
      <c r="A870" s="30">
        <v>1</v>
      </c>
      <c r="B870" s="2" t="s">
        <v>7398</v>
      </c>
      <c r="C870" s="2" t="s">
        <v>7399</v>
      </c>
      <c r="D870" s="2" t="s">
        <v>6278</v>
      </c>
      <c r="E870" s="5">
        <v>12</v>
      </c>
      <c r="F870" s="2" t="s">
        <v>1938</v>
      </c>
      <c r="G870" s="2" t="s">
        <v>7403</v>
      </c>
      <c r="H870" s="2" t="s">
        <v>852</v>
      </c>
      <c r="I870" s="4">
        <v>234</v>
      </c>
      <c r="J870" s="4">
        <v>0</v>
      </c>
      <c r="L870" s="31">
        <v>15</v>
      </c>
      <c r="M870" s="32">
        <v>15.6</v>
      </c>
      <c r="N870" s="33">
        <v>15.6</v>
      </c>
    </row>
    <row r="871" spans="1:14" x14ac:dyDescent="0.25">
      <c r="A871" s="30">
        <v>1</v>
      </c>
      <c r="B871" s="2" t="s">
        <v>7398</v>
      </c>
      <c r="C871" s="2" t="s">
        <v>7399</v>
      </c>
      <c r="D871" s="2" t="s">
        <v>6279</v>
      </c>
      <c r="E871" s="5">
        <v>24</v>
      </c>
      <c r="F871" s="2" t="s">
        <v>1955</v>
      </c>
      <c r="G871" s="2" t="s">
        <v>7401</v>
      </c>
      <c r="H871" s="2" t="s">
        <v>853</v>
      </c>
      <c r="I871" s="4">
        <v>0</v>
      </c>
      <c r="J871" s="4">
        <v>0</v>
      </c>
      <c r="L871" s="31">
        <v>0</v>
      </c>
      <c r="M871" s="32">
        <v>0</v>
      </c>
      <c r="N871" s="33">
        <v>9999</v>
      </c>
    </row>
    <row r="872" spans="1:14" x14ac:dyDescent="0.25">
      <c r="A872" s="30">
        <v>1</v>
      </c>
      <c r="B872" s="2" t="s">
        <v>7398</v>
      </c>
      <c r="C872" s="2" t="s">
        <v>7399</v>
      </c>
      <c r="D872" s="2" t="s">
        <v>6280</v>
      </c>
      <c r="E872" s="5">
        <v>12</v>
      </c>
      <c r="F872" s="2" t="s">
        <v>1847</v>
      </c>
      <c r="G872" s="2" t="s">
        <v>7405</v>
      </c>
      <c r="H872" s="2" t="s">
        <v>854</v>
      </c>
      <c r="I872" s="4">
        <v>0</v>
      </c>
      <c r="J872" s="4">
        <v>300</v>
      </c>
      <c r="L872" s="31">
        <v>1.57</v>
      </c>
      <c r="M872" s="32">
        <v>191.1</v>
      </c>
      <c r="N872" s="33">
        <v>0</v>
      </c>
    </row>
    <row r="873" spans="1:14" x14ac:dyDescent="0.25">
      <c r="A873" s="30">
        <v>1</v>
      </c>
      <c r="B873" s="2" t="s">
        <v>7398</v>
      </c>
      <c r="C873" s="2" t="s">
        <v>7399</v>
      </c>
      <c r="D873" s="2" t="s">
        <v>6281</v>
      </c>
      <c r="E873" s="5">
        <v>12</v>
      </c>
      <c r="F873" s="2" t="s">
        <v>1956</v>
      </c>
      <c r="G873" s="2" t="s">
        <v>7403</v>
      </c>
      <c r="H873" s="2" t="s">
        <v>855</v>
      </c>
      <c r="I873" s="4">
        <v>13</v>
      </c>
      <c r="J873" s="4">
        <v>0</v>
      </c>
      <c r="L873" s="31">
        <v>0.42</v>
      </c>
      <c r="M873" s="32">
        <v>31</v>
      </c>
      <c r="N873" s="33">
        <v>31</v>
      </c>
    </row>
    <row r="874" spans="1:14" x14ac:dyDescent="0.25">
      <c r="A874" s="30">
        <v>1</v>
      </c>
      <c r="B874" s="2" t="s">
        <v>7398</v>
      </c>
      <c r="C874" s="2" t="s">
        <v>7399</v>
      </c>
      <c r="D874" s="2" t="s">
        <v>6282</v>
      </c>
      <c r="E874" s="5">
        <v>12</v>
      </c>
      <c r="F874" s="2" t="s">
        <v>1957</v>
      </c>
      <c r="G874" s="2" t="s">
        <v>7403</v>
      </c>
      <c r="H874" s="2" t="s">
        <v>856</v>
      </c>
      <c r="I874" s="4">
        <v>68</v>
      </c>
      <c r="J874" s="4">
        <v>0</v>
      </c>
      <c r="L874" s="31">
        <v>3.71</v>
      </c>
      <c r="M874" s="32">
        <v>18.3</v>
      </c>
      <c r="N874" s="33">
        <v>18.3</v>
      </c>
    </row>
    <row r="875" spans="1:14" x14ac:dyDescent="0.25">
      <c r="A875" s="30">
        <v>1</v>
      </c>
      <c r="B875" s="2" t="s">
        <v>7398</v>
      </c>
      <c r="C875" s="2" t="s">
        <v>7399</v>
      </c>
      <c r="D875" s="2" t="s">
        <v>6283</v>
      </c>
      <c r="E875" s="5">
        <v>12</v>
      </c>
      <c r="F875" s="2" t="s">
        <v>1958</v>
      </c>
      <c r="G875" s="2" t="s">
        <v>7403</v>
      </c>
      <c r="H875" s="2" t="s">
        <v>857</v>
      </c>
      <c r="I875" s="4">
        <v>143</v>
      </c>
      <c r="J875" s="4">
        <v>0</v>
      </c>
      <c r="L875" s="31">
        <v>1.85</v>
      </c>
      <c r="M875" s="32">
        <v>77.3</v>
      </c>
      <c r="N875" s="33">
        <v>77.3</v>
      </c>
    </row>
    <row r="876" spans="1:14" x14ac:dyDescent="0.25">
      <c r="A876" s="30">
        <v>1</v>
      </c>
      <c r="B876" s="2" t="s">
        <v>7398</v>
      </c>
      <c r="C876" s="2" t="s">
        <v>7399</v>
      </c>
      <c r="D876" s="2" t="s">
        <v>6284</v>
      </c>
      <c r="E876" s="5">
        <v>12</v>
      </c>
      <c r="F876" s="2" t="s">
        <v>1959</v>
      </c>
      <c r="G876" s="2" t="s">
        <v>7403</v>
      </c>
      <c r="H876" s="2" t="s">
        <v>858</v>
      </c>
      <c r="I876" s="4">
        <v>14</v>
      </c>
      <c r="J876" s="4">
        <v>0</v>
      </c>
      <c r="L876" s="31">
        <v>2.2799999999999998</v>
      </c>
      <c r="M876" s="32">
        <v>6.1</v>
      </c>
      <c r="N876" s="33">
        <v>6.1</v>
      </c>
    </row>
    <row r="877" spans="1:14" x14ac:dyDescent="0.25">
      <c r="A877" s="30">
        <v>1</v>
      </c>
      <c r="B877" s="2" t="s">
        <v>7398</v>
      </c>
      <c r="C877" s="2" t="s">
        <v>7399</v>
      </c>
      <c r="D877" s="2" t="s">
        <v>6285</v>
      </c>
      <c r="E877" s="5">
        <v>12</v>
      </c>
      <c r="F877" s="2" t="s">
        <v>1960</v>
      </c>
      <c r="G877" s="2" t="s">
        <v>7403</v>
      </c>
      <c r="H877" s="2" t="s">
        <v>859</v>
      </c>
      <c r="I877" s="4">
        <v>93</v>
      </c>
      <c r="J877" s="4">
        <v>0</v>
      </c>
      <c r="L877" s="31">
        <v>6.14</v>
      </c>
      <c r="M877" s="32">
        <v>15.1</v>
      </c>
      <c r="N877" s="33">
        <v>15.1</v>
      </c>
    </row>
    <row r="878" spans="1:14" x14ac:dyDescent="0.25">
      <c r="A878" s="30">
        <v>1</v>
      </c>
      <c r="B878" s="2" t="s">
        <v>7398</v>
      </c>
      <c r="C878" s="2" t="s">
        <v>7399</v>
      </c>
      <c r="D878" s="2" t="s">
        <v>6286</v>
      </c>
      <c r="E878" s="5">
        <v>12</v>
      </c>
      <c r="F878" s="2" t="s">
        <v>1959</v>
      </c>
      <c r="G878" s="2" t="s">
        <v>7403</v>
      </c>
      <c r="H878" s="2" t="s">
        <v>860</v>
      </c>
      <c r="I878" s="4">
        <v>72</v>
      </c>
      <c r="J878" s="4">
        <v>0</v>
      </c>
      <c r="L878" s="31">
        <v>2.2799999999999998</v>
      </c>
      <c r="M878" s="32">
        <v>31.6</v>
      </c>
      <c r="N878" s="33">
        <v>31.6</v>
      </c>
    </row>
    <row r="879" spans="1:14" x14ac:dyDescent="0.25">
      <c r="A879" s="30">
        <v>1</v>
      </c>
      <c r="B879" s="2" t="s">
        <v>7398</v>
      </c>
      <c r="C879" s="2" t="s">
        <v>7399</v>
      </c>
      <c r="D879" s="2" t="s">
        <v>6287</v>
      </c>
      <c r="E879" s="5">
        <v>12</v>
      </c>
      <c r="F879" s="2" t="s">
        <v>1961</v>
      </c>
      <c r="G879" s="2" t="s">
        <v>7403</v>
      </c>
      <c r="H879" s="2" t="s">
        <v>861</v>
      </c>
      <c r="I879" s="4">
        <v>0</v>
      </c>
      <c r="J879" s="4">
        <v>0</v>
      </c>
      <c r="L879" s="31">
        <v>3.42</v>
      </c>
      <c r="M879" s="32">
        <v>0</v>
      </c>
      <c r="N879" s="33">
        <v>0</v>
      </c>
    </row>
    <row r="880" spans="1:14" x14ac:dyDescent="0.25">
      <c r="A880" s="30">
        <v>1</v>
      </c>
      <c r="B880" s="2" t="s">
        <v>7398</v>
      </c>
      <c r="C880" s="2" t="s">
        <v>7399</v>
      </c>
      <c r="D880" s="2" t="s">
        <v>6288</v>
      </c>
      <c r="E880" s="5">
        <v>12</v>
      </c>
      <c r="F880" s="2" t="s">
        <v>1939</v>
      </c>
      <c r="G880" s="2" t="s">
        <v>7403</v>
      </c>
      <c r="H880" s="2" t="s">
        <v>862</v>
      </c>
      <c r="I880" s="4">
        <v>256</v>
      </c>
      <c r="J880" s="4">
        <v>154</v>
      </c>
      <c r="L880" s="31">
        <v>11.42</v>
      </c>
      <c r="M880" s="32">
        <v>35.9</v>
      </c>
      <c r="N880" s="33">
        <v>22.4</v>
      </c>
    </row>
    <row r="881" spans="1:14" x14ac:dyDescent="0.25">
      <c r="A881" s="30">
        <v>1</v>
      </c>
      <c r="B881" s="2" t="s">
        <v>7398</v>
      </c>
      <c r="C881" s="2" t="s">
        <v>7399</v>
      </c>
      <c r="D881" s="2" t="s">
        <v>6289</v>
      </c>
      <c r="E881" s="5">
        <v>12</v>
      </c>
      <c r="F881" s="2" t="s">
        <v>1921</v>
      </c>
      <c r="G881" s="2" t="s">
        <v>7403</v>
      </c>
      <c r="H881" s="2" t="s">
        <v>863</v>
      </c>
      <c r="I881" s="4">
        <v>106</v>
      </c>
      <c r="J881" s="4">
        <v>0</v>
      </c>
      <c r="L881" s="31">
        <v>3.71</v>
      </c>
      <c r="M881" s="32">
        <v>28.6</v>
      </c>
      <c r="N881" s="33">
        <v>28.6</v>
      </c>
    </row>
    <row r="882" spans="1:14" x14ac:dyDescent="0.25">
      <c r="A882" s="30">
        <v>1</v>
      </c>
      <c r="B882" s="2" t="s">
        <v>7398</v>
      </c>
      <c r="C882" s="2" t="s">
        <v>7399</v>
      </c>
      <c r="D882" s="2" t="s">
        <v>6290</v>
      </c>
      <c r="E882" s="5">
        <v>24</v>
      </c>
      <c r="F882" s="2" t="s">
        <v>1956</v>
      </c>
      <c r="G882" s="2" t="s">
        <v>7403</v>
      </c>
      <c r="H882" s="2" t="s">
        <v>864</v>
      </c>
      <c r="I882" s="4">
        <v>22</v>
      </c>
      <c r="J882" s="4">
        <v>0</v>
      </c>
      <c r="L882" s="31">
        <v>1.28</v>
      </c>
      <c r="M882" s="32">
        <v>17.2</v>
      </c>
      <c r="N882" s="33">
        <v>17.2</v>
      </c>
    </row>
    <row r="883" spans="1:14" x14ac:dyDescent="0.25">
      <c r="A883" s="30">
        <v>1</v>
      </c>
      <c r="B883" s="2" t="s">
        <v>7398</v>
      </c>
      <c r="C883" s="2" t="s">
        <v>7399</v>
      </c>
      <c r="D883" s="2" t="s">
        <v>6291</v>
      </c>
      <c r="E883" s="5">
        <v>24</v>
      </c>
      <c r="F883" s="2" t="s">
        <v>1960</v>
      </c>
      <c r="G883" s="2" t="s">
        <v>7403</v>
      </c>
      <c r="H883" s="2" t="s">
        <v>865</v>
      </c>
      <c r="I883" s="4">
        <v>88</v>
      </c>
      <c r="J883" s="4">
        <v>0</v>
      </c>
      <c r="L883" s="31">
        <v>5</v>
      </c>
      <c r="M883" s="32">
        <v>17.600000000000001</v>
      </c>
      <c r="N883" s="33">
        <v>17.600000000000001</v>
      </c>
    </row>
    <row r="884" spans="1:14" x14ac:dyDescent="0.25">
      <c r="A884" s="30">
        <v>1</v>
      </c>
      <c r="B884" s="2" t="s">
        <v>7398</v>
      </c>
      <c r="C884" s="2" t="s">
        <v>7399</v>
      </c>
      <c r="D884" s="2" t="s">
        <v>6292</v>
      </c>
      <c r="E884" s="5">
        <v>12</v>
      </c>
      <c r="F884" s="2" t="s">
        <v>1862</v>
      </c>
      <c r="G884" s="2" t="s">
        <v>7403</v>
      </c>
      <c r="H884" s="2" t="s">
        <v>866</v>
      </c>
      <c r="I884" s="4">
        <v>43</v>
      </c>
      <c r="J884" s="4">
        <v>0</v>
      </c>
      <c r="L884" s="31">
        <v>1.1399999999999999</v>
      </c>
      <c r="M884" s="32">
        <v>37.700000000000003</v>
      </c>
      <c r="N884" s="33">
        <v>37.700000000000003</v>
      </c>
    </row>
    <row r="885" spans="1:14" x14ac:dyDescent="0.25">
      <c r="A885" s="30">
        <v>1</v>
      </c>
      <c r="B885" s="2" t="s">
        <v>7398</v>
      </c>
      <c r="C885" s="2" t="s">
        <v>7399</v>
      </c>
      <c r="D885" s="2" t="s">
        <v>6293</v>
      </c>
      <c r="E885" s="5">
        <v>12</v>
      </c>
      <c r="F885" s="2" t="s">
        <v>1962</v>
      </c>
      <c r="G885" s="2" t="s">
        <v>7403</v>
      </c>
      <c r="H885" s="2" t="s">
        <v>867</v>
      </c>
      <c r="I885" s="4">
        <v>42</v>
      </c>
      <c r="J885" s="4">
        <v>0</v>
      </c>
      <c r="L885" s="31">
        <v>2.14</v>
      </c>
      <c r="M885" s="32">
        <v>19.600000000000001</v>
      </c>
      <c r="N885" s="33">
        <v>19.600000000000001</v>
      </c>
    </row>
    <row r="886" spans="1:14" x14ac:dyDescent="0.25">
      <c r="A886" s="30">
        <v>1</v>
      </c>
      <c r="B886" s="2" t="s">
        <v>7398</v>
      </c>
      <c r="C886" s="2" t="s">
        <v>7399</v>
      </c>
      <c r="D886" s="2" t="s">
        <v>6294</v>
      </c>
      <c r="E886" s="5">
        <v>12</v>
      </c>
      <c r="F886" s="2" t="s">
        <v>1958</v>
      </c>
      <c r="G886" s="2" t="s">
        <v>7403</v>
      </c>
      <c r="H886" s="2" t="s">
        <v>868</v>
      </c>
      <c r="I886" s="4">
        <v>52</v>
      </c>
      <c r="J886" s="4">
        <v>0</v>
      </c>
      <c r="L886" s="31">
        <v>3.28</v>
      </c>
      <c r="M886" s="32">
        <v>15.9</v>
      </c>
      <c r="N886" s="33">
        <v>15.9</v>
      </c>
    </row>
    <row r="887" spans="1:14" x14ac:dyDescent="0.25">
      <c r="A887" s="30">
        <v>1</v>
      </c>
      <c r="B887" s="2" t="s">
        <v>7398</v>
      </c>
      <c r="C887" s="2" t="s">
        <v>7399</v>
      </c>
      <c r="D887" s="2" t="s">
        <v>6295</v>
      </c>
      <c r="E887" s="5">
        <v>24</v>
      </c>
      <c r="F887" s="2" t="s">
        <v>1959</v>
      </c>
      <c r="G887" s="2" t="s">
        <v>7403</v>
      </c>
      <c r="H887" s="2" t="s">
        <v>869</v>
      </c>
      <c r="I887" s="4">
        <v>0</v>
      </c>
      <c r="J887" s="4">
        <v>0</v>
      </c>
      <c r="L887" s="31">
        <v>1.85</v>
      </c>
      <c r="M887" s="32">
        <v>0</v>
      </c>
      <c r="N887" s="33">
        <v>0</v>
      </c>
    </row>
    <row r="888" spans="1:14" x14ac:dyDescent="0.25">
      <c r="A888" s="30">
        <v>1</v>
      </c>
      <c r="B888" s="2" t="s">
        <v>7398</v>
      </c>
      <c r="C888" s="2" t="s">
        <v>7399</v>
      </c>
      <c r="D888" s="2" t="s">
        <v>6296</v>
      </c>
      <c r="E888" s="5">
        <v>24</v>
      </c>
      <c r="F888" s="2" t="s">
        <v>1963</v>
      </c>
      <c r="G888" s="2" t="s">
        <v>7403</v>
      </c>
      <c r="H888" s="2" t="s">
        <v>870</v>
      </c>
      <c r="I888" s="4">
        <v>87</v>
      </c>
      <c r="J888" s="4">
        <v>0</v>
      </c>
      <c r="L888" s="31">
        <v>10.71</v>
      </c>
      <c r="M888" s="32">
        <v>8.1</v>
      </c>
      <c r="N888" s="33">
        <v>8.1</v>
      </c>
    </row>
    <row r="889" spans="1:14" x14ac:dyDescent="0.25">
      <c r="A889" s="30">
        <v>1</v>
      </c>
      <c r="B889" s="2" t="s">
        <v>7398</v>
      </c>
      <c r="C889" s="2" t="s">
        <v>7399</v>
      </c>
      <c r="D889" s="2" t="s">
        <v>6297</v>
      </c>
      <c r="E889" s="5">
        <v>12</v>
      </c>
      <c r="F889" s="2" t="s">
        <v>1964</v>
      </c>
      <c r="G889" s="2" t="s">
        <v>7403</v>
      </c>
      <c r="H889" s="2" t="s">
        <v>871</v>
      </c>
      <c r="I889" s="4">
        <v>185</v>
      </c>
      <c r="J889" s="4">
        <v>0</v>
      </c>
      <c r="L889" s="31">
        <v>6.28</v>
      </c>
      <c r="M889" s="32">
        <v>29.5</v>
      </c>
      <c r="N889" s="33">
        <v>29.5</v>
      </c>
    </row>
    <row r="890" spans="1:14" x14ac:dyDescent="0.25">
      <c r="A890" s="30">
        <v>1</v>
      </c>
      <c r="B890" s="2" t="s">
        <v>7398</v>
      </c>
      <c r="C890" s="2" t="s">
        <v>7399</v>
      </c>
      <c r="D890" s="2" t="s">
        <v>6298</v>
      </c>
      <c r="E890" s="5">
        <v>24</v>
      </c>
      <c r="F890" s="2" t="s">
        <v>1862</v>
      </c>
      <c r="G890" s="2" t="s">
        <v>7403</v>
      </c>
      <c r="H890" s="2" t="s">
        <v>872</v>
      </c>
      <c r="I890" s="4">
        <v>9</v>
      </c>
      <c r="J890" s="4">
        <v>0</v>
      </c>
      <c r="L890" s="31">
        <v>4.42</v>
      </c>
      <c r="M890" s="32">
        <v>2</v>
      </c>
      <c r="N890" s="33">
        <v>2</v>
      </c>
    </row>
    <row r="891" spans="1:14" x14ac:dyDescent="0.25">
      <c r="A891" s="30">
        <v>1</v>
      </c>
      <c r="B891" s="2" t="s">
        <v>7398</v>
      </c>
      <c r="C891" s="2" t="s">
        <v>7399</v>
      </c>
      <c r="D891" s="2" t="s">
        <v>6299</v>
      </c>
      <c r="E891" s="5">
        <v>12</v>
      </c>
      <c r="F891" s="2" t="s">
        <v>1965</v>
      </c>
      <c r="G891" s="2" t="s">
        <v>7403</v>
      </c>
      <c r="H891" s="2" t="s">
        <v>873</v>
      </c>
      <c r="I891" s="4">
        <v>18</v>
      </c>
      <c r="J891" s="4">
        <v>0</v>
      </c>
      <c r="L891" s="31">
        <v>1.28</v>
      </c>
      <c r="M891" s="32">
        <v>14.1</v>
      </c>
      <c r="N891" s="33">
        <v>14.1</v>
      </c>
    </row>
    <row r="892" spans="1:14" x14ac:dyDescent="0.25">
      <c r="A892" s="30">
        <v>1</v>
      </c>
      <c r="B892" s="2" t="s">
        <v>7398</v>
      </c>
      <c r="C892" s="2" t="s">
        <v>7399</v>
      </c>
      <c r="D892" s="2" t="s">
        <v>6300</v>
      </c>
      <c r="E892" s="5">
        <v>12</v>
      </c>
      <c r="F892" s="2" t="s">
        <v>1960</v>
      </c>
      <c r="G892" s="2" t="s">
        <v>7403</v>
      </c>
      <c r="H892" s="2" t="s">
        <v>874</v>
      </c>
      <c r="I892" s="4">
        <v>34</v>
      </c>
      <c r="J892" s="4">
        <v>0</v>
      </c>
      <c r="L892" s="31">
        <v>0.56999999999999995</v>
      </c>
      <c r="M892" s="32">
        <v>59.6</v>
      </c>
      <c r="N892" s="33">
        <v>59.6</v>
      </c>
    </row>
    <row r="893" spans="1:14" x14ac:dyDescent="0.25">
      <c r="A893" s="30">
        <v>1</v>
      </c>
      <c r="B893" s="2" t="s">
        <v>7398</v>
      </c>
      <c r="C893" s="2" t="s">
        <v>7399</v>
      </c>
      <c r="D893" s="2" t="s">
        <v>6301</v>
      </c>
      <c r="E893" s="5">
        <v>12</v>
      </c>
      <c r="F893" s="2" t="s">
        <v>1966</v>
      </c>
      <c r="G893" s="2" t="s">
        <v>7403</v>
      </c>
      <c r="H893" s="2" t="s">
        <v>875</v>
      </c>
      <c r="I893" s="4">
        <v>77</v>
      </c>
      <c r="J893" s="4">
        <v>10</v>
      </c>
      <c r="L893" s="31">
        <v>2.14</v>
      </c>
      <c r="M893" s="32">
        <v>40.700000000000003</v>
      </c>
      <c r="N893" s="33">
        <v>36</v>
      </c>
    </row>
    <row r="894" spans="1:14" x14ac:dyDescent="0.25">
      <c r="A894" s="30">
        <v>1</v>
      </c>
      <c r="B894" s="2" t="s">
        <v>7398</v>
      </c>
      <c r="C894" s="2" t="s">
        <v>7399</v>
      </c>
      <c r="D894" s="2" t="s">
        <v>6302</v>
      </c>
      <c r="E894" s="5">
        <v>24</v>
      </c>
      <c r="F894" s="2" t="s">
        <v>1959</v>
      </c>
      <c r="G894" s="2" t="s">
        <v>7403</v>
      </c>
      <c r="H894" s="2" t="s">
        <v>876</v>
      </c>
      <c r="I894" s="4">
        <v>185</v>
      </c>
      <c r="J894" s="4">
        <v>0</v>
      </c>
      <c r="L894" s="31">
        <v>9</v>
      </c>
      <c r="M894" s="32">
        <v>20.6</v>
      </c>
      <c r="N894" s="33">
        <v>20.6</v>
      </c>
    </row>
    <row r="895" spans="1:14" x14ac:dyDescent="0.25">
      <c r="A895" s="30">
        <v>1</v>
      </c>
      <c r="B895" s="2" t="s">
        <v>7398</v>
      </c>
      <c r="C895" s="2" t="s">
        <v>7399</v>
      </c>
      <c r="D895" s="2" t="s">
        <v>6303</v>
      </c>
      <c r="E895" s="5">
        <v>18</v>
      </c>
      <c r="F895" s="2" t="s">
        <v>1967</v>
      </c>
      <c r="G895" s="2" t="s">
        <v>7410</v>
      </c>
      <c r="H895" s="2" t="s">
        <v>877</v>
      </c>
      <c r="I895" s="4">
        <v>531</v>
      </c>
      <c r="J895" s="4">
        <v>0</v>
      </c>
      <c r="L895" s="31">
        <v>56.85</v>
      </c>
      <c r="M895" s="32">
        <v>9.3000000000000007</v>
      </c>
      <c r="N895" s="33">
        <v>9.3000000000000007</v>
      </c>
    </row>
    <row r="896" spans="1:14" x14ac:dyDescent="0.25">
      <c r="A896" s="30">
        <v>1</v>
      </c>
      <c r="B896" s="2" t="s">
        <v>7398</v>
      </c>
      <c r="C896" s="2" t="s">
        <v>7399</v>
      </c>
      <c r="D896" s="2" t="s">
        <v>6304</v>
      </c>
      <c r="E896" s="5">
        <v>72</v>
      </c>
      <c r="F896" s="2" t="s">
        <v>1967</v>
      </c>
      <c r="G896" s="2" t="s">
        <v>7410</v>
      </c>
      <c r="H896" s="2" t="s">
        <v>878</v>
      </c>
      <c r="I896" s="4">
        <v>271</v>
      </c>
      <c r="J896" s="4">
        <v>192</v>
      </c>
      <c r="L896" s="31">
        <v>74</v>
      </c>
      <c r="M896" s="32">
        <v>6.3</v>
      </c>
      <c r="N896" s="33">
        <v>3.7</v>
      </c>
    </row>
    <row r="897" spans="1:14" x14ac:dyDescent="0.25">
      <c r="A897" s="30">
        <v>1</v>
      </c>
      <c r="B897" s="2" t="s">
        <v>7398</v>
      </c>
      <c r="C897" s="2" t="s">
        <v>7399</v>
      </c>
      <c r="D897" s="2" t="s">
        <v>6305</v>
      </c>
      <c r="E897" s="5">
        <v>33</v>
      </c>
      <c r="F897" s="2" t="s">
        <v>1968</v>
      </c>
      <c r="G897" s="2" t="s">
        <v>7410</v>
      </c>
      <c r="H897" s="2" t="s">
        <v>879</v>
      </c>
      <c r="I897" s="4">
        <v>758</v>
      </c>
      <c r="J897" s="4">
        <v>3504</v>
      </c>
      <c r="L897" s="31">
        <v>685.85</v>
      </c>
      <c r="M897" s="32">
        <v>6.2</v>
      </c>
      <c r="N897" s="33">
        <v>1.1000000000000001</v>
      </c>
    </row>
    <row r="898" spans="1:14" x14ac:dyDescent="0.25">
      <c r="A898" s="30">
        <v>1</v>
      </c>
      <c r="B898" s="2" t="s">
        <v>7398</v>
      </c>
      <c r="C898" s="2" t="s">
        <v>7399</v>
      </c>
      <c r="D898" s="2" t="s">
        <v>6306</v>
      </c>
      <c r="E898" s="5">
        <v>18</v>
      </c>
      <c r="F898" s="2" t="s">
        <v>1967</v>
      </c>
      <c r="G898" s="2" t="s">
        <v>7410</v>
      </c>
      <c r="H898" s="2" t="s">
        <v>880</v>
      </c>
      <c r="I898" s="4">
        <v>584</v>
      </c>
      <c r="J898" s="4">
        <v>0</v>
      </c>
      <c r="L898" s="31">
        <v>70.28</v>
      </c>
      <c r="M898" s="32">
        <v>8.3000000000000007</v>
      </c>
      <c r="N898" s="33">
        <v>8.3000000000000007</v>
      </c>
    </row>
    <row r="899" spans="1:14" x14ac:dyDescent="0.25">
      <c r="A899" s="30">
        <v>1</v>
      </c>
      <c r="B899" s="2" t="s">
        <v>7398</v>
      </c>
      <c r="C899" s="2" t="s">
        <v>7399</v>
      </c>
      <c r="D899" s="2" t="s">
        <v>6307</v>
      </c>
      <c r="E899" s="5">
        <v>15</v>
      </c>
      <c r="F899" s="2" t="s">
        <v>1968</v>
      </c>
      <c r="G899" s="2" t="s">
        <v>7410</v>
      </c>
      <c r="H899" s="2" t="s">
        <v>881</v>
      </c>
      <c r="I899" s="4">
        <v>16945</v>
      </c>
      <c r="J899" s="4">
        <v>13090</v>
      </c>
      <c r="L899" s="31">
        <v>4547.57</v>
      </c>
      <c r="M899" s="32">
        <v>6.6</v>
      </c>
      <c r="N899" s="33">
        <v>3.7</v>
      </c>
    </row>
    <row r="900" spans="1:14" x14ac:dyDescent="0.25">
      <c r="A900" s="30">
        <v>1</v>
      </c>
      <c r="B900" s="2" t="s">
        <v>7398</v>
      </c>
      <c r="C900" s="2" t="s">
        <v>7399</v>
      </c>
      <c r="D900" s="2" t="s">
        <v>6308</v>
      </c>
      <c r="E900" s="5">
        <v>18</v>
      </c>
      <c r="F900" s="2" t="s">
        <v>1967</v>
      </c>
      <c r="G900" s="2" t="s">
        <v>7410</v>
      </c>
      <c r="H900" s="2" t="s">
        <v>882</v>
      </c>
      <c r="I900" s="4">
        <v>2752</v>
      </c>
      <c r="J900" s="4">
        <v>1200</v>
      </c>
      <c r="L900" s="31">
        <v>590.57000000000005</v>
      </c>
      <c r="M900" s="32">
        <v>6.7</v>
      </c>
      <c r="N900" s="33">
        <v>4.7</v>
      </c>
    </row>
    <row r="901" spans="1:14" x14ac:dyDescent="0.25">
      <c r="A901" s="30">
        <v>1</v>
      </c>
      <c r="B901" s="2" t="s">
        <v>7398</v>
      </c>
      <c r="C901" s="2" t="s">
        <v>7399</v>
      </c>
      <c r="D901" s="2" t="s">
        <v>6309</v>
      </c>
      <c r="E901" s="5">
        <v>18</v>
      </c>
      <c r="F901" s="2" t="s">
        <v>1967</v>
      </c>
      <c r="G901" s="2" t="s">
        <v>7410</v>
      </c>
      <c r="H901" s="2" t="s">
        <v>883</v>
      </c>
      <c r="I901" s="4">
        <v>1449</v>
      </c>
      <c r="J901" s="4">
        <v>0</v>
      </c>
      <c r="L901" s="31">
        <v>230.57</v>
      </c>
      <c r="M901" s="32">
        <v>6.3</v>
      </c>
      <c r="N901" s="33">
        <v>6.3</v>
      </c>
    </row>
    <row r="902" spans="1:14" x14ac:dyDescent="0.25">
      <c r="A902" s="30">
        <v>1</v>
      </c>
      <c r="B902" s="2" t="s">
        <v>7398</v>
      </c>
      <c r="C902" s="2" t="s">
        <v>7399</v>
      </c>
      <c r="D902" s="2" t="s">
        <v>6310</v>
      </c>
      <c r="E902" s="5">
        <v>18</v>
      </c>
      <c r="F902" s="2" t="s">
        <v>1967</v>
      </c>
      <c r="G902" s="2" t="s">
        <v>7410</v>
      </c>
      <c r="H902" s="2" t="s">
        <v>884</v>
      </c>
      <c r="I902" s="4">
        <v>2407</v>
      </c>
      <c r="J902" s="4">
        <v>4800</v>
      </c>
      <c r="L902" s="31">
        <v>1156.8499999999999</v>
      </c>
      <c r="M902" s="32">
        <v>6.2</v>
      </c>
      <c r="N902" s="33">
        <v>2.1</v>
      </c>
    </row>
    <row r="903" spans="1:14" x14ac:dyDescent="0.25">
      <c r="A903" s="30">
        <v>1</v>
      </c>
      <c r="B903" s="2" t="s">
        <v>7398</v>
      </c>
      <c r="C903" s="2" t="s">
        <v>7399</v>
      </c>
      <c r="D903" s="2" t="s">
        <v>6311</v>
      </c>
      <c r="E903" s="5">
        <v>24</v>
      </c>
      <c r="F903" s="2" t="s">
        <v>1969</v>
      </c>
      <c r="G903" s="2" t="s">
        <v>7410</v>
      </c>
      <c r="H903" s="2" t="s">
        <v>885</v>
      </c>
      <c r="I903" s="4">
        <v>2077</v>
      </c>
      <c r="J903" s="4">
        <v>0</v>
      </c>
      <c r="L903" s="31">
        <v>260</v>
      </c>
      <c r="M903" s="32">
        <v>8</v>
      </c>
      <c r="N903" s="33">
        <v>8</v>
      </c>
    </row>
    <row r="904" spans="1:14" x14ac:dyDescent="0.25">
      <c r="A904" s="30">
        <v>1</v>
      </c>
      <c r="B904" s="2" t="s">
        <v>7398</v>
      </c>
      <c r="C904" s="2" t="s">
        <v>7399</v>
      </c>
      <c r="D904" s="2" t="s">
        <v>6312</v>
      </c>
      <c r="E904" s="5">
        <v>36</v>
      </c>
      <c r="F904" s="2" t="s">
        <v>1970</v>
      </c>
      <c r="G904" s="2" t="s">
        <v>7410</v>
      </c>
      <c r="H904" s="2" t="s">
        <v>886</v>
      </c>
      <c r="I904" s="4">
        <v>6370</v>
      </c>
      <c r="J904" s="4">
        <v>5720</v>
      </c>
      <c r="L904" s="31">
        <v>1594.57</v>
      </c>
      <c r="M904" s="32">
        <v>7.6</v>
      </c>
      <c r="N904" s="33">
        <v>4</v>
      </c>
    </row>
    <row r="905" spans="1:14" x14ac:dyDescent="0.25">
      <c r="A905" s="30">
        <v>1</v>
      </c>
      <c r="B905" s="2" t="s">
        <v>7398</v>
      </c>
      <c r="C905" s="2" t="s">
        <v>7399</v>
      </c>
      <c r="D905" s="2" t="s">
        <v>6313</v>
      </c>
      <c r="E905" s="5">
        <v>18</v>
      </c>
      <c r="F905" s="2" t="s">
        <v>1970</v>
      </c>
      <c r="G905" s="2" t="s">
        <v>7410</v>
      </c>
      <c r="H905" s="2" t="s">
        <v>887</v>
      </c>
      <c r="I905" s="4">
        <v>193</v>
      </c>
      <c r="J905" s="4">
        <v>0</v>
      </c>
      <c r="L905" s="31">
        <v>3.85</v>
      </c>
      <c r="M905" s="32">
        <v>50.1</v>
      </c>
      <c r="N905" s="33">
        <v>50.1</v>
      </c>
    </row>
    <row r="906" spans="1:14" x14ac:dyDescent="0.25">
      <c r="A906" s="30">
        <v>1</v>
      </c>
      <c r="B906" s="2" t="s">
        <v>7398</v>
      </c>
      <c r="C906" s="2" t="s">
        <v>7399</v>
      </c>
      <c r="D906" s="2" t="s">
        <v>6314</v>
      </c>
      <c r="E906" s="5">
        <v>36</v>
      </c>
      <c r="F906" s="2" t="s">
        <v>1970</v>
      </c>
      <c r="G906" s="2" t="s">
        <v>7410</v>
      </c>
      <c r="H906" s="2" t="s">
        <v>888</v>
      </c>
      <c r="I906" s="4">
        <v>2323</v>
      </c>
      <c r="J906" s="4">
        <v>572</v>
      </c>
      <c r="L906" s="31">
        <v>426.14</v>
      </c>
      <c r="M906" s="32">
        <v>6.8</v>
      </c>
      <c r="N906" s="33">
        <v>5.5</v>
      </c>
    </row>
    <row r="907" spans="1:14" x14ac:dyDescent="0.25">
      <c r="A907" s="30">
        <v>1</v>
      </c>
      <c r="B907" s="2" t="s">
        <v>7398</v>
      </c>
      <c r="C907" s="2" t="s">
        <v>7399</v>
      </c>
      <c r="D907" s="2" t="s">
        <v>6315</v>
      </c>
      <c r="E907" s="5">
        <v>12</v>
      </c>
      <c r="F907" s="2" t="s">
        <v>1842</v>
      </c>
      <c r="G907" s="2" t="s">
        <v>7400</v>
      </c>
      <c r="H907" s="2" t="s">
        <v>889</v>
      </c>
      <c r="I907" s="4">
        <v>384</v>
      </c>
      <c r="J907" s="4">
        <v>33</v>
      </c>
      <c r="L907" s="31">
        <v>39.28</v>
      </c>
      <c r="M907" s="32">
        <v>10.6</v>
      </c>
      <c r="N907" s="33">
        <v>9.8000000000000007</v>
      </c>
    </row>
    <row r="908" spans="1:14" x14ac:dyDescent="0.25">
      <c r="A908" s="30">
        <v>1</v>
      </c>
      <c r="B908" s="2" t="s">
        <v>7398</v>
      </c>
      <c r="C908" s="2" t="s">
        <v>7399</v>
      </c>
      <c r="D908" s="2" t="s">
        <v>6316</v>
      </c>
      <c r="E908" s="5">
        <v>36</v>
      </c>
      <c r="F908" s="2" t="s">
        <v>1970</v>
      </c>
      <c r="G908" s="2" t="s">
        <v>7410</v>
      </c>
      <c r="H908" s="2" t="s">
        <v>890</v>
      </c>
      <c r="I908" s="4">
        <v>779</v>
      </c>
      <c r="J908" s="4">
        <v>0</v>
      </c>
      <c r="L908" s="31">
        <v>90.71</v>
      </c>
      <c r="M908" s="32">
        <v>8.6</v>
      </c>
      <c r="N908" s="33">
        <v>8.6</v>
      </c>
    </row>
    <row r="909" spans="1:14" x14ac:dyDescent="0.25">
      <c r="A909" s="30">
        <v>1</v>
      </c>
      <c r="B909" s="2" t="s">
        <v>7398</v>
      </c>
      <c r="C909" s="2" t="s">
        <v>7399</v>
      </c>
      <c r="D909" s="2" t="s">
        <v>6317</v>
      </c>
      <c r="E909" s="5">
        <v>12</v>
      </c>
      <c r="F909" s="2" t="s">
        <v>1842</v>
      </c>
      <c r="G909" s="2" t="s">
        <v>7400</v>
      </c>
      <c r="H909" s="2" t="s">
        <v>891</v>
      </c>
      <c r="I909" s="4">
        <v>963</v>
      </c>
      <c r="J909" s="4">
        <v>391</v>
      </c>
      <c r="L909" s="31">
        <v>147.57</v>
      </c>
      <c r="M909" s="32">
        <v>9.1999999999999993</v>
      </c>
      <c r="N909" s="33">
        <v>6.5</v>
      </c>
    </row>
    <row r="910" spans="1:14" x14ac:dyDescent="0.25">
      <c r="A910" s="30">
        <v>1</v>
      </c>
      <c r="B910" s="2" t="s">
        <v>7398</v>
      </c>
      <c r="C910" s="2" t="s">
        <v>7399</v>
      </c>
      <c r="D910" s="2" t="s">
        <v>6318</v>
      </c>
      <c r="E910" s="5">
        <v>12</v>
      </c>
      <c r="F910" s="2" t="s">
        <v>1842</v>
      </c>
      <c r="G910" s="2" t="s">
        <v>7400</v>
      </c>
      <c r="H910" s="2" t="s">
        <v>892</v>
      </c>
      <c r="I910" s="4">
        <v>1338</v>
      </c>
      <c r="J910" s="4">
        <v>204</v>
      </c>
      <c r="L910" s="31">
        <v>226.14</v>
      </c>
      <c r="M910" s="32">
        <v>6.8</v>
      </c>
      <c r="N910" s="33">
        <v>5.9</v>
      </c>
    </row>
    <row r="911" spans="1:14" x14ac:dyDescent="0.25">
      <c r="A911" s="30">
        <v>1</v>
      </c>
      <c r="B911" s="2" t="s">
        <v>7398</v>
      </c>
      <c r="C911" s="2" t="s">
        <v>7399</v>
      </c>
      <c r="D911" s="2" t="s">
        <v>6319</v>
      </c>
      <c r="E911" s="5">
        <v>18</v>
      </c>
      <c r="F911" s="2" t="s">
        <v>1967</v>
      </c>
      <c r="G911" s="2" t="s">
        <v>7410</v>
      </c>
      <c r="H911" s="2" t="s">
        <v>893</v>
      </c>
      <c r="I911" s="4">
        <v>835</v>
      </c>
      <c r="J911" s="4">
        <v>720</v>
      </c>
      <c r="L911" s="31">
        <v>177.57</v>
      </c>
      <c r="M911" s="32">
        <v>8.8000000000000007</v>
      </c>
      <c r="N911" s="33">
        <v>4.7</v>
      </c>
    </row>
    <row r="912" spans="1:14" x14ac:dyDescent="0.25">
      <c r="A912" s="30">
        <v>1</v>
      </c>
      <c r="B912" s="2" t="s">
        <v>7398</v>
      </c>
      <c r="C912" s="2" t="s">
        <v>7399</v>
      </c>
      <c r="D912" s="2" t="s">
        <v>6320</v>
      </c>
      <c r="E912" s="5">
        <v>24</v>
      </c>
      <c r="F912" s="2" t="s">
        <v>1957</v>
      </c>
      <c r="G912" s="2" t="s">
        <v>7409</v>
      </c>
      <c r="H912" s="2" t="s">
        <v>894</v>
      </c>
      <c r="I912" s="4">
        <v>1594</v>
      </c>
      <c r="J912" s="4">
        <v>0</v>
      </c>
      <c r="L912" s="31">
        <v>8</v>
      </c>
      <c r="M912" s="32">
        <v>199.3</v>
      </c>
      <c r="N912" s="33">
        <v>199.3</v>
      </c>
    </row>
    <row r="913" spans="1:14" x14ac:dyDescent="0.25">
      <c r="A913" s="30">
        <v>1</v>
      </c>
      <c r="B913" s="2" t="s">
        <v>7398</v>
      </c>
      <c r="C913" s="2" t="s">
        <v>7399</v>
      </c>
      <c r="D913" s="2" t="s">
        <v>6321</v>
      </c>
      <c r="E913" s="5">
        <v>24</v>
      </c>
      <c r="F913" s="2" t="s">
        <v>1957</v>
      </c>
      <c r="G913" s="2" t="s">
        <v>7409</v>
      </c>
      <c r="H913" s="2" t="s">
        <v>895</v>
      </c>
      <c r="I913" s="4">
        <v>2255</v>
      </c>
      <c r="J913" s="4">
        <v>0</v>
      </c>
      <c r="L913" s="31">
        <v>8.7100000000000009</v>
      </c>
      <c r="M913" s="32">
        <v>258.89999999999998</v>
      </c>
      <c r="N913" s="33">
        <v>258.89999999999998</v>
      </c>
    </row>
    <row r="914" spans="1:14" x14ac:dyDescent="0.25">
      <c r="A914" s="30">
        <v>1</v>
      </c>
      <c r="B914" s="2" t="s">
        <v>7398</v>
      </c>
      <c r="C914" s="2" t="s">
        <v>7399</v>
      </c>
      <c r="D914" s="2" t="s">
        <v>6322</v>
      </c>
      <c r="E914" s="5">
        <v>24</v>
      </c>
      <c r="F914" s="2" t="s">
        <v>1957</v>
      </c>
      <c r="G914" s="2" t="s">
        <v>7409</v>
      </c>
      <c r="H914" s="2" t="s">
        <v>896</v>
      </c>
      <c r="I914" s="4">
        <v>1563</v>
      </c>
      <c r="J914" s="4">
        <v>0</v>
      </c>
      <c r="L914" s="31">
        <v>5.57</v>
      </c>
      <c r="M914" s="32">
        <v>280.60000000000002</v>
      </c>
      <c r="N914" s="33">
        <v>280.60000000000002</v>
      </c>
    </row>
    <row r="915" spans="1:14" x14ac:dyDescent="0.25">
      <c r="A915" s="30">
        <v>1</v>
      </c>
      <c r="B915" s="2" t="s">
        <v>7398</v>
      </c>
      <c r="C915" s="2" t="s">
        <v>7399</v>
      </c>
      <c r="D915" s="2" t="s">
        <v>6323</v>
      </c>
      <c r="E915" s="5">
        <v>15</v>
      </c>
      <c r="F915" s="2" t="s">
        <v>1968</v>
      </c>
      <c r="G915" s="2" t="s">
        <v>7410</v>
      </c>
      <c r="H915" s="2" t="s">
        <v>897</v>
      </c>
      <c r="I915" s="4">
        <v>195</v>
      </c>
      <c r="J915" s="4">
        <v>1750</v>
      </c>
      <c r="L915" s="31">
        <v>194</v>
      </c>
      <c r="M915" s="32">
        <v>10</v>
      </c>
      <c r="N915" s="33">
        <v>1</v>
      </c>
    </row>
    <row r="916" spans="1:14" x14ac:dyDescent="0.25">
      <c r="A916" s="30">
        <v>1</v>
      </c>
      <c r="B916" s="2" t="s">
        <v>7398</v>
      </c>
      <c r="C916" s="2" t="s">
        <v>7399</v>
      </c>
      <c r="D916" s="2" t="s">
        <v>6324</v>
      </c>
      <c r="E916" s="5">
        <v>12</v>
      </c>
      <c r="F916" s="2" t="s">
        <v>1939</v>
      </c>
      <c r="G916" s="2" t="s">
        <v>7403</v>
      </c>
      <c r="H916" s="2" t="s">
        <v>898</v>
      </c>
      <c r="I916" s="4">
        <v>387</v>
      </c>
      <c r="J916" s="4">
        <v>308</v>
      </c>
      <c r="L916" s="31">
        <v>13.71</v>
      </c>
      <c r="M916" s="32">
        <v>50.7</v>
      </c>
      <c r="N916" s="33">
        <v>28.2</v>
      </c>
    </row>
    <row r="917" spans="1:14" x14ac:dyDescent="0.25">
      <c r="A917" s="30">
        <v>1</v>
      </c>
      <c r="B917" s="2" t="s">
        <v>7398</v>
      </c>
      <c r="C917" s="2" t="s">
        <v>7399</v>
      </c>
      <c r="D917" s="2" t="s">
        <v>6325</v>
      </c>
      <c r="E917" s="5">
        <v>12</v>
      </c>
      <c r="F917" s="2" t="s">
        <v>1922</v>
      </c>
      <c r="G917" s="2" t="s">
        <v>7400</v>
      </c>
      <c r="H917" s="2" t="s">
        <v>899</v>
      </c>
      <c r="I917" s="4">
        <v>1709</v>
      </c>
      <c r="J917" s="4">
        <v>0</v>
      </c>
      <c r="L917" s="31">
        <v>106.42</v>
      </c>
      <c r="M917" s="32">
        <v>16.100000000000001</v>
      </c>
      <c r="N917" s="33">
        <v>16.100000000000001</v>
      </c>
    </row>
    <row r="918" spans="1:14" x14ac:dyDescent="0.25">
      <c r="A918" s="30">
        <v>1</v>
      </c>
      <c r="B918" s="2" t="s">
        <v>7398</v>
      </c>
      <c r="C918" s="2" t="s">
        <v>7399</v>
      </c>
      <c r="D918" s="2" t="s">
        <v>6326</v>
      </c>
      <c r="E918" s="5">
        <v>12</v>
      </c>
      <c r="F918" s="2" t="s">
        <v>1842</v>
      </c>
      <c r="G918" s="2" t="s">
        <v>7400</v>
      </c>
      <c r="H918" s="2" t="s">
        <v>900</v>
      </c>
      <c r="I918" s="4">
        <v>3223</v>
      </c>
      <c r="J918" s="4">
        <v>918</v>
      </c>
      <c r="L918" s="31">
        <v>291.85000000000002</v>
      </c>
      <c r="M918" s="32">
        <v>14.2</v>
      </c>
      <c r="N918" s="33">
        <v>11</v>
      </c>
    </row>
    <row r="919" spans="1:14" x14ac:dyDescent="0.25">
      <c r="A919" s="30">
        <v>1</v>
      </c>
      <c r="B919" s="2" t="s">
        <v>7398</v>
      </c>
      <c r="C919" s="2" t="s">
        <v>7399</v>
      </c>
      <c r="D919" s="2" t="s">
        <v>6327</v>
      </c>
      <c r="E919" s="5">
        <v>12</v>
      </c>
      <c r="F919" s="2" t="s">
        <v>1842</v>
      </c>
      <c r="G919" s="2" t="s">
        <v>7400</v>
      </c>
      <c r="H919" s="2" t="s">
        <v>901</v>
      </c>
      <c r="I919" s="4">
        <v>1384</v>
      </c>
      <c r="J919" s="4">
        <v>765</v>
      </c>
      <c r="L919" s="31">
        <v>173</v>
      </c>
      <c r="M919" s="32">
        <v>12.4</v>
      </c>
      <c r="N919" s="33">
        <v>8</v>
      </c>
    </row>
    <row r="920" spans="1:14" x14ac:dyDescent="0.25">
      <c r="A920" s="30">
        <v>1</v>
      </c>
      <c r="B920" s="2" t="s">
        <v>7398</v>
      </c>
      <c r="C920" s="2" t="s">
        <v>7399</v>
      </c>
      <c r="D920" s="2" t="s">
        <v>6328</v>
      </c>
      <c r="E920" s="5">
        <v>24</v>
      </c>
      <c r="F920" s="2" t="s">
        <v>1958</v>
      </c>
      <c r="G920" s="2" t="s">
        <v>7403</v>
      </c>
      <c r="H920" s="2" t="s">
        <v>902</v>
      </c>
      <c r="I920" s="4">
        <v>27</v>
      </c>
      <c r="J920" s="4">
        <v>0</v>
      </c>
      <c r="L920" s="31">
        <v>0.85</v>
      </c>
      <c r="M920" s="32">
        <v>31.8</v>
      </c>
      <c r="N920" s="33">
        <v>31.8</v>
      </c>
    </row>
    <row r="921" spans="1:14" x14ac:dyDescent="0.25">
      <c r="A921" s="30">
        <v>1</v>
      </c>
      <c r="B921" s="2" t="s">
        <v>7398</v>
      </c>
      <c r="C921" s="2" t="s">
        <v>7399</v>
      </c>
      <c r="D921" s="2" t="s">
        <v>6329</v>
      </c>
      <c r="E921" s="5">
        <v>12</v>
      </c>
      <c r="F921" s="2" t="s">
        <v>1971</v>
      </c>
      <c r="G921" s="2" t="s">
        <v>7403</v>
      </c>
      <c r="H921" s="2" t="s">
        <v>903</v>
      </c>
      <c r="I921" s="4">
        <v>1</v>
      </c>
      <c r="J921" s="4">
        <v>0</v>
      </c>
      <c r="L921" s="31">
        <v>2</v>
      </c>
      <c r="M921" s="32">
        <v>0.5</v>
      </c>
      <c r="N921" s="33">
        <v>0.5</v>
      </c>
    </row>
    <row r="922" spans="1:14" x14ac:dyDescent="0.25">
      <c r="A922" s="30">
        <v>1</v>
      </c>
      <c r="B922" s="2" t="s">
        <v>7398</v>
      </c>
      <c r="C922" s="2" t="s">
        <v>7399</v>
      </c>
      <c r="D922" s="2" t="s">
        <v>6330</v>
      </c>
      <c r="E922" s="5">
        <v>12</v>
      </c>
      <c r="F922" s="2" t="s">
        <v>1842</v>
      </c>
      <c r="G922" s="2" t="s">
        <v>7400</v>
      </c>
      <c r="H922" s="2" t="s">
        <v>904</v>
      </c>
      <c r="I922" s="4">
        <v>68</v>
      </c>
      <c r="J922" s="4">
        <v>561</v>
      </c>
      <c r="L922" s="31">
        <v>39.57</v>
      </c>
      <c r="M922" s="32">
        <v>15.9</v>
      </c>
      <c r="N922" s="33">
        <v>1.7</v>
      </c>
    </row>
    <row r="923" spans="1:14" x14ac:dyDescent="0.25">
      <c r="A923" s="30">
        <v>1</v>
      </c>
      <c r="B923" s="2" t="s">
        <v>7398</v>
      </c>
      <c r="C923" s="2" t="s">
        <v>7399</v>
      </c>
      <c r="D923" s="2" t="s">
        <v>6331</v>
      </c>
      <c r="E923" s="5">
        <v>24</v>
      </c>
      <c r="F923" s="2" t="s">
        <v>1869</v>
      </c>
      <c r="G923" s="2" t="s">
        <v>7403</v>
      </c>
      <c r="H923" s="2" t="s">
        <v>905</v>
      </c>
      <c r="I923" s="4">
        <v>375</v>
      </c>
      <c r="J923" s="4">
        <v>0</v>
      </c>
      <c r="L923" s="31">
        <v>53.28</v>
      </c>
      <c r="M923" s="32">
        <v>7</v>
      </c>
      <c r="N923" s="33">
        <v>7</v>
      </c>
    </row>
    <row r="924" spans="1:14" x14ac:dyDescent="0.25">
      <c r="A924" s="30">
        <v>1</v>
      </c>
      <c r="B924" s="2" t="s">
        <v>7398</v>
      </c>
      <c r="C924" s="2" t="s">
        <v>7399</v>
      </c>
      <c r="D924" s="2" t="s">
        <v>6332</v>
      </c>
      <c r="E924" s="5">
        <v>24</v>
      </c>
      <c r="F924" s="2" t="s">
        <v>1857</v>
      </c>
      <c r="G924" s="2" t="s">
        <v>7403</v>
      </c>
      <c r="H924" s="2" t="s">
        <v>906</v>
      </c>
      <c r="I924" s="4">
        <v>80</v>
      </c>
      <c r="J924" s="4">
        <v>0</v>
      </c>
      <c r="L924" s="31">
        <v>1.85</v>
      </c>
      <c r="M924" s="32">
        <v>43.2</v>
      </c>
      <c r="N924" s="33">
        <v>43.2</v>
      </c>
    </row>
    <row r="925" spans="1:14" x14ac:dyDescent="0.25">
      <c r="A925" s="30">
        <v>1</v>
      </c>
      <c r="B925" s="2" t="s">
        <v>7398</v>
      </c>
      <c r="C925" s="2" t="s">
        <v>7399</v>
      </c>
      <c r="D925" s="2" t="s">
        <v>6333</v>
      </c>
      <c r="E925" s="5">
        <v>24</v>
      </c>
      <c r="F925" s="2" t="s">
        <v>1861</v>
      </c>
      <c r="G925" s="2" t="s">
        <v>7403</v>
      </c>
      <c r="H925" s="2" t="s">
        <v>907</v>
      </c>
      <c r="I925" s="4">
        <v>103</v>
      </c>
      <c r="J925" s="4">
        <v>0</v>
      </c>
      <c r="L925" s="31">
        <v>9.2799999999999994</v>
      </c>
      <c r="M925" s="32">
        <v>11.1</v>
      </c>
      <c r="N925" s="33">
        <v>11.1</v>
      </c>
    </row>
    <row r="926" spans="1:14" x14ac:dyDescent="0.25">
      <c r="A926" s="30">
        <v>1</v>
      </c>
      <c r="B926" s="2" t="s">
        <v>7398</v>
      </c>
      <c r="C926" s="2" t="s">
        <v>7399</v>
      </c>
      <c r="D926" s="2" t="s">
        <v>6334</v>
      </c>
      <c r="E926" s="5">
        <v>24</v>
      </c>
      <c r="F926" s="2" t="s">
        <v>1921</v>
      </c>
      <c r="G926" s="2" t="s">
        <v>7403</v>
      </c>
      <c r="H926" s="2" t="s">
        <v>908</v>
      </c>
      <c r="I926" s="4">
        <v>9</v>
      </c>
      <c r="J926" s="4">
        <v>0</v>
      </c>
      <c r="L926" s="31">
        <v>1.42</v>
      </c>
      <c r="M926" s="32">
        <v>6.3</v>
      </c>
      <c r="N926" s="33">
        <v>6.3</v>
      </c>
    </row>
    <row r="927" spans="1:14" x14ac:dyDescent="0.25">
      <c r="A927" s="30">
        <v>1</v>
      </c>
      <c r="B927" s="2" t="s">
        <v>7398</v>
      </c>
      <c r="C927" s="2" t="s">
        <v>7399</v>
      </c>
      <c r="D927" s="2" t="s">
        <v>6335</v>
      </c>
      <c r="E927" s="5">
        <v>24</v>
      </c>
      <c r="F927" s="2" t="s">
        <v>1873</v>
      </c>
      <c r="G927" s="2" t="s">
        <v>7403</v>
      </c>
      <c r="H927" s="2" t="s">
        <v>909</v>
      </c>
      <c r="I927" s="4">
        <v>36</v>
      </c>
      <c r="J927" s="4">
        <v>0</v>
      </c>
      <c r="L927" s="31">
        <v>1.71</v>
      </c>
      <c r="M927" s="32">
        <v>21.1</v>
      </c>
      <c r="N927" s="33">
        <v>21.1</v>
      </c>
    </row>
    <row r="928" spans="1:14" x14ac:dyDescent="0.25">
      <c r="A928" s="30">
        <v>1</v>
      </c>
      <c r="B928" s="2" t="s">
        <v>7398</v>
      </c>
      <c r="C928" s="2" t="s">
        <v>7399</v>
      </c>
      <c r="D928" s="2" t="s">
        <v>6336</v>
      </c>
      <c r="E928" s="5">
        <v>24</v>
      </c>
      <c r="F928" s="2" t="s">
        <v>1923</v>
      </c>
      <c r="G928" s="2" t="s">
        <v>7410</v>
      </c>
      <c r="H928" s="2" t="s">
        <v>910</v>
      </c>
      <c r="I928" s="4">
        <v>1165</v>
      </c>
      <c r="J928" s="4">
        <v>2608</v>
      </c>
      <c r="L928" s="31">
        <v>183.42</v>
      </c>
      <c r="M928" s="32">
        <v>20.6</v>
      </c>
      <c r="N928" s="33">
        <v>6.4</v>
      </c>
    </row>
    <row r="929" spans="1:14" x14ac:dyDescent="0.25">
      <c r="A929" s="30">
        <v>1</v>
      </c>
      <c r="B929" s="2" t="s">
        <v>7398</v>
      </c>
      <c r="C929" s="2" t="s">
        <v>7399</v>
      </c>
      <c r="D929" s="2" t="s">
        <v>6337</v>
      </c>
      <c r="E929" s="5">
        <v>24</v>
      </c>
      <c r="F929" s="2" t="s">
        <v>1869</v>
      </c>
      <c r="G929" s="2" t="s">
        <v>7403</v>
      </c>
      <c r="H929" s="2" t="s">
        <v>911</v>
      </c>
      <c r="I929" s="4">
        <v>794</v>
      </c>
      <c r="J929" s="4">
        <v>0</v>
      </c>
      <c r="L929" s="31">
        <v>59</v>
      </c>
      <c r="M929" s="32">
        <v>13.5</v>
      </c>
      <c r="N929" s="33">
        <v>13.5</v>
      </c>
    </row>
    <row r="930" spans="1:14" x14ac:dyDescent="0.25">
      <c r="A930" s="30">
        <v>1</v>
      </c>
      <c r="B930" s="2" t="s">
        <v>7398</v>
      </c>
      <c r="C930" s="2" t="s">
        <v>7399</v>
      </c>
      <c r="D930" s="2" t="s">
        <v>6338</v>
      </c>
      <c r="E930" s="5">
        <v>24</v>
      </c>
      <c r="F930" s="2" t="s">
        <v>1869</v>
      </c>
      <c r="G930" s="2" t="s">
        <v>7403</v>
      </c>
      <c r="H930" s="2" t="s">
        <v>912</v>
      </c>
      <c r="I930" s="4">
        <v>893</v>
      </c>
      <c r="J930" s="4">
        <v>0</v>
      </c>
      <c r="L930" s="31">
        <v>55</v>
      </c>
      <c r="M930" s="32">
        <v>16.2</v>
      </c>
      <c r="N930" s="33">
        <v>16.2</v>
      </c>
    </row>
    <row r="931" spans="1:14" x14ac:dyDescent="0.25">
      <c r="A931" s="30">
        <v>1</v>
      </c>
      <c r="B931" s="2" t="s">
        <v>7398</v>
      </c>
      <c r="C931" s="2" t="s">
        <v>7399</v>
      </c>
      <c r="D931" s="2" t="s">
        <v>6339</v>
      </c>
      <c r="E931" s="5">
        <v>24</v>
      </c>
      <c r="F931" s="2" t="s">
        <v>1869</v>
      </c>
      <c r="G931" s="2" t="s">
        <v>7403</v>
      </c>
      <c r="H931" s="2" t="s">
        <v>913</v>
      </c>
      <c r="I931" s="4">
        <v>54</v>
      </c>
      <c r="J931" s="4">
        <v>0</v>
      </c>
      <c r="L931" s="31">
        <v>6.85</v>
      </c>
      <c r="M931" s="32">
        <v>7.9</v>
      </c>
      <c r="N931" s="33">
        <v>7.9</v>
      </c>
    </row>
    <row r="932" spans="1:14" x14ac:dyDescent="0.25">
      <c r="A932" s="30">
        <v>1</v>
      </c>
      <c r="B932" s="2" t="s">
        <v>7398</v>
      </c>
      <c r="C932" s="2" t="s">
        <v>7399</v>
      </c>
      <c r="D932" s="2" t="s">
        <v>6340</v>
      </c>
      <c r="E932" s="5">
        <v>24</v>
      </c>
      <c r="F932" s="2" t="s">
        <v>1869</v>
      </c>
      <c r="G932" s="2" t="s">
        <v>7403</v>
      </c>
      <c r="H932" s="2" t="s">
        <v>914</v>
      </c>
      <c r="I932" s="4">
        <v>1095</v>
      </c>
      <c r="J932" s="4">
        <v>0</v>
      </c>
      <c r="L932" s="31">
        <v>54</v>
      </c>
      <c r="M932" s="32">
        <v>20.3</v>
      </c>
      <c r="N932" s="33">
        <v>20.3</v>
      </c>
    </row>
    <row r="933" spans="1:14" x14ac:dyDescent="0.25">
      <c r="A933" s="30">
        <v>1</v>
      </c>
      <c r="B933" s="2" t="s">
        <v>7398</v>
      </c>
      <c r="C933" s="2" t="s">
        <v>7399</v>
      </c>
      <c r="D933" s="2" t="s">
        <v>6341</v>
      </c>
      <c r="E933" s="5">
        <v>24</v>
      </c>
      <c r="F933" s="2" t="s">
        <v>1874</v>
      </c>
      <c r="G933" s="2" t="s">
        <v>7403</v>
      </c>
      <c r="H933" s="2" t="s">
        <v>915</v>
      </c>
      <c r="I933" s="4">
        <v>223</v>
      </c>
      <c r="J933" s="4">
        <v>0</v>
      </c>
      <c r="L933" s="31">
        <v>6.28</v>
      </c>
      <c r="M933" s="32">
        <v>35.5</v>
      </c>
      <c r="N933" s="33">
        <v>35.5</v>
      </c>
    </row>
    <row r="934" spans="1:14" x14ac:dyDescent="0.25">
      <c r="A934" s="30">
        <v>1</v>
      </c>
      <c r="B934" s="2" t="s">
        <v>7398</v>
      </c>
      <c r="C934" s="2" t="s">
        <v>7399</v>
      </c>
      <c r="D934" s="2" t="s">
        <v>6342</v>
      </c>
      <c r="E934" s="5">
        <v>24</v>
      </c>
      <c r="F934" s="2" t="s">
        <v>1940</v>
      </c>
      <c r="G934" s="2" t="s">
        <v>7403</v>
      </c>
      <c r="H934" s="2" t="s">
        <v>916</v>
      </c>
      <c r="I934" s="4">
        <v>348</v>
      </c>
      <c r="J934" s="4">
        <v>100</v>
      </c>
      <c r="L934" s="31">
        <v>28.42</v>
      </c>
      <c r="M934" s="32">
        <v>15.8</v>
      </c>
      <c r="N934" s="33">
        <v>12.2</v>
      </c>
    </row>
    <row r="935" spans="1:14" x14ac:dyDescent="0.25">
      <c r="A935" s="30">
        <v>1</v>
      </c>
      <c r="B935" s="2" t="s">
        <v>7398</v>
      </c>
      <c r="C935" s="2" t="s">
        <v>7399</v>
      </c>
      <c r="D935" s="2" t="s">
        <v>6343</v>
      </c>
      <c r="E935" s="5">
        <v>24</v>
      </c>
      <c r="F935" s="2" t="s">
        <v>1874</v>
      </c>
      <c r="G935" s="2" t="s">
        <v>7403</v>
      </c>
      <c r="H935" s="2" t="s">
        <v>917</v>
      </c>
      <c r="I935" s="4">
        <v>287</v>
      </c>
      <c r="J935" s="4">
        <v>0</v>
      </c>
      <c r="L935" s="31">
        <v>23.28</v>
      </c>
      <c r="M935" s="32">
        <v>12.3</v>
      </c>
      <c r="N935" s="33">
        <v>12.3</v>
      </c>
    </row>
    <row r="936" spans="1:14" x14ac:dyDescent="0.25">
      <c r="A936" s="30">
        <v>1</v>
      </c>
      <c r="B936" s="2" t="s">
        <v>7398</v>
      </c>
      <c r="C936" s="2" t="s">
        <v>7399</v>
      </c>
      <c r="D936" s="2" t="s">
        <v>6344</v>
      </c>
      <c r="E936" s="5">
        <v>24</v>
      </c>
      <c r="F936" s="2" t="s">
        <v>1874</v>
      </c>
      <c r="G936" s="2" t="s">
        <v>7403</v>
      </c>
      <c r="H936" s="2" t="s">
        <v>918</v>
      </c>
      <c r="I936" s="4">
        <v>491</v>
      </c>
      <c r="J936" s="4">
        <v>0</v>
      </c>
      <c r="L936" s="31">
        <v>57.42</v>
      </c>
      <c r="M936" s="32">
        <v>8.6</v>
      </c>
      <c r="N936" s="33">
        <v>8.6</v>
      </c>
    </row>
    <row r="937" spans="1:14" x14ac:dyDescent="0.25">
      <c r="A937" s="30">
        <v>1</v>
      </c>
      <c r="B937" s="2" t="s">
        <v>7398</v>
      </c>
      <c r="C937" s="2" t="s">
        <v>7399</v>
      </c>
      <c r="D937" s="2" t="s">
        <v>6345</v>
      </c>
      <c r="E937" s="5">
        <v>12</v>
      </c>
      <c r="F937" s="2" t="s">
        <v>1857</v>
      </c>
      <c r="G937" s="2" t="s">
        <v>7403</v>
      </c>
      <c r="H937" s="2" t="s">
        <v>919</v>
      </c>
      <c r="I937" s="4">
        <v>33</v>
      </c>
      <c r="J937" s="4">
        <v>0</v>
      </c>
      <c r="L937" s="31">
        <v>3.85</v>
      </c>
      <c r="M937" s="32">
        <v>8.6</v>
      </c>
      <c r="N937" s="33">
        <v>8.6</v>
      </c>
    </row>
    <row r="938" spans="1:14" x14ac:dyDescent="0.25">
      <c r="A938" s="30">
        <v>1</v>
      </c>
      <c r="B938" s="2" t="s">
        <v>7398</v>
      </c>
      <c r="C938" s="2" t="s">
        <v>7399</v>
      </c>
      <c r="D938" s="2" t="s">
        <v>6346</v>
      </c>
      <c r="E938" s="5">
        <v>12</v>
      </c>
      <c r="F938" s="2" t="s">
        <v>1857</v>
      </c>
      <c r="G938" s="2" t="s">
        <v>7403</v>
      </c>
      <c r="H938" s="2" t="s">
        <v>920</v>
      </c>
      <c r="I938" s="4">
        <v>60</v>
      </c>
      <c r="J938" s="4">
        <v>0</v>
      </c>
      <c r="L938" s="31">
        <v>5</v>
      </c>
      <c r="M938" s="32">
        <v>12</v>
      </c>
      <c r="N938" s="33">
        <v>12</v>
      </c>
    </row>
    <row r="939" spans="1:14" x14ac:dyDescent="0.25">
      <c r="A939" s="30">
        <v>1</v>
      </c>
      <c r="B939" s="2" t="s">
        <v>7398</v>
      </c>
      <c r="C939" s="2" t="s">
        <v>7399</v>
      </c>
      <c r="D939" s="2" t="s">
        <v>6347</v>
      </c>
      <c r="E939" s="5">
        <v>24</v>
      </c>
      <c r="F939" s="2" t="s">
        <v>1940</v>
      </c>
      <c r="G939" s="2" t="s">
        <v>7403</v>
      </c>
      <c r="H939" s="2" t="s">
        <v>921</v>
      </c>
      <c r="I939" s="4">
        <v>3511</v>
      </c>
      <c r="J939" s="4">
        <v>1700</v>
      </c>
      <c r="L939" s="31">
        <v>352</v>
      </c>
      <c r="M939" s="32">
        <v>14.8</v>
      </c>
      <c r="N939" s="33">
        <v>10</v>
      </c>
    </row>
    <row r="940" spans="1:14" x14ac:dyDescent="0.25">
      <c r="A940" s="30">
        <v>1</v>
      </c>
      <c r="B940" s="2" t="s">
        <v>7398</v>
      </c>
      <c r="C940" s="2" t="s">
        <v>7399</v>
      </c>
      <c r="D940" s="2" t="s">
        <v>6348</v>
      </c>
      <c r="E940" s="5">
        <v>24</v>
      </c>
      <c r="F940" s="2" t="s">
        <v>1869</v>
      </c>
      <c r="G940" s="2" t="s">
        <v>7403</v>
      </c>
      <c r="H940" s="2" t="s">
        <v>922</v>
      </c>
      <c r="I940" s="4">
        <v>5120</v>
      </c>
      <c r="J940" s="4">
        <v>1716</v>
      </c>
      <c r="L940" s="31">
        <v>806</v>
      </c>
      <c r="M940" s="32">
        <v>8.5</v>
      </c>
      <c r="N940" s="33">
        <v>6.4</v>
      </c>
    </row>
    <row r="941" spans="1:14" x14ac:dyDescent="0.25">
      <c r="A941" s="30">
        <v>1</v>
      </c>
      <c r="B941" s="2" t="s">
        <v>7398</v>
      </c>
      <c r="C941" s="2" t="s">
        <v>7399</v>
      </c>
      <c r="D941" s="2" t="s">
        <v>6349</v>
      </c>
      <c r="E941" s="5">
        <v>24</v>
      </c>
      <c r="F941" s="2" t="s">
        <v>1869</v>
      </c>
      <c r="G941" s="2" t="s">
        <v>7403</v>
      </c>
      <c r="H941" s="2" t="s">
        <v>923</v>
      </c>
      <c r="I941" s="4">
        <v>3730</v>
      </c>
      <c r="J941" s="4">
        <v>0</v>
      </c>
      <c r="L941" s="31">
        <v>244.14</v>
      </c>
      <c r="M941" s="32">
        <v>15.3</v>
      </c>
      <c r="N941" s="33">
        <v>15.3</v>
      </c>
    </row>
    <row r="942" spans="1:14" x14ac:dyDescent="0.25">
      <c r="A942" s="30">
        <v>1</v>
      </c>
      <c r="B942" s="2" t="s">
        <v>7398</v>
      </c>
      <c r="C942" s="2" t="s">
        <v>7399</v>
      </c>
      <c r="D942" s="2" t="s">
        <v>6350</v>
      </c>
      <c r="E942" s="5">
        <v>24</v>
      </c>
      <c r="F942" s="2" t="s">
        <v>1940</v>
      </c>
      <c r="G942" s="2" t="s">
        <v>7403</v>
      </c>
      <c r="H942" s="2" t="s">
        <v>924</v>
      </c>
      <c r="I942" s="4">
        <v>2213</v>
      </c>
      <c r="J942" s="4">
        <v>0</v>
      </c>
      <c r="L942" s="31">
        <v>179.85</v>
      </c>
      <c r="M942" s="32">
        <v>12.3</v>
      </c>
      <c r="N942" s="33">
        <v>12.3</v>
      </c>
    </row>
    <row r="943" spans="1:14" x14ac:dyDescent="0.25">
      <c r="A943" s="30">
        <v>1</v>
      </c>
      <c r="B943" s="2" t="s">
        <v>7398</v>
      </c>
      <c r="C943" s="2" t="s">
        <v>7399</v>
      </c>
      <c r="D943" s="2" t="s">
        <v>6351</v>
      </c>
      <c r="E943" s="5">
        <v>12</v>
      </c>
      <c r="F943" s="2" t="s">
        <v>1963</v>
      </c>
      <c r="G943" s="2" t="s">
        <v>7403</v>
      </c>
      <c r="H943" s="2" t="s">
        <v>925</v>
      </c>
      <c r="I943" s="4">
        <v>16</v>
      </c>
      <c r="J943" s="4">
        <v>0</v>
      </c>
      <c r="L943" s="31">
        <v>5.57</v>
      </c>
      <c r="M943" s="32">
        <v>2.9</v>
      </c>
      <c r="N943" s="33">
        <v>2.9</v>
      </c>
    </row>
    <row r="944" spans="1:14" x14ac:dyDescent="0.25">
      <c r="A944" s="30">
        <v>1</v>
      </c>
      <c r="B944" s="2" t="s">
        <v>7398</v>
      </c>
      <c r="C944" s="2" t="s">
        <v>7399</v>
      </c>
      <c r="D944" s="2" t="s">
        <v>6352</v>
      </c>
      <c r="E944" s="5">
        <v>24</v>
      </c>
      <c r="F944" s="2" t="s">
        <v>1866</v>
      </c>
      <c r="G944" s="2" t="s">
        <v>7403</v>
      </c>
      <c r="H944" s="2" t="s">
        <v>926</v>
      </c>
      <c r="I944" s="4">
        <v>2</v>
      </c>
      <c r="J944" s="4">
        <v>0</v>
      </c>
      <c r="L944" s="31">
        <v>0.85</v>
      </c>
      <c r="M944" s="32">
        <v>2.4</v>
      </c>
      <c r="N944" s="33">
        <v>2.4</v>
      </c>
    </row>
    <row r="945" spans="1:14" x14ac:dyDescent="0.25">
      <c r="A945" s="30">
        <v>1</v>
      </c>
      <c r="B945" s="2" t="s">
        <v>7398</v>
      </c>
      <c r="C945" s="2" t="s">
        <v>7399</v>
      </c>
      <c r="D945" s="2" t="s">
        <v>6353</v>
      </c>
      <c r="E945" s="5">
        <v>24</v>
      </c>
      <c r="F945" s="2" t="s">
        <v>1940</v>
      </c>
      <c r="G945" s="2" t="s">
        <v>7403</v>
      </c>
      <c r="H945" s="2" t="s">
        <v>927</v>
      </c>
      <c r="I945" s="4">
        <v>175</v>
      </c>
      <c r="J945" s="4">
        <v>0</v>
      </c>
      <c r="L945" s="31">
        <v>17</v>
      </c>
      <c r="M945" s="32">
        <v>10.3</v>
      </c>
      <c r="N945" s="33">
        <v>10.3</v>
      </c>
    </row>
    <row r="946" spans="1:14" x14ac:dyDescent="0.25">
      <c r="A946" s="30">
        <v>1</v>
      </c>
      <c r="B946" s="2" t="s">
        <v>7398</v>
      </c>
      <c r="C946" s="2" t="s">
        <v>7399</v>
      </c>
      <c r="D946" s="2" t="s">
        <v>6354</v>
      </c>
      <c r="E946" s="5">
        <v>24</v>
      </c>
      <c r="F946" s="2" t="s">
        <v>1940</v>
      </c>
      <c r="G946" s="2" t="s">
        <v>7403</v>
      </c>
      <c r="H946" s="2" t="s">
        <v>928</v>
      </c>
      <c r="I946" s="4">
        <v>188</v>
      </c>
      <c r="J946" s="4">
        <v>0</v>
      </c>
      <c r="L946" s="31">
        <v>18</v>
      </c>
      <c r="M946" s="32">
        <v>10.4</v>
      </c>
      <c r="N946" s="33">
        <v>10.4</v>
      </c>
    </row>
    <row r="947" spans="1:14" x14ac:dyDescent="0.25">
      <c r="A947" s="30">
        <v>1</v>
      </c>
      <c r="B947" s="2" t="s">
        <v>7398</v>
      </c>
      <c r="C947" s="2" t="s">
        <v>7399</v>
      </c>
      <c r="D947" s="2" t="s">
        <v>6355</v>
      </c>
      <c r="E947" s="5">
        <v>24</v>
      </c>
      <c r="F947" s="2" t="s">
        <v>1869</v>
      </c>
      <c r="G947" s="2" t="s">
        <v>7403</v>
      </c>
      <c r="H947" s="2" t="s">
        <v>929</v>
      </c>
      <c r="I947" s="4">
        <v>479</v>
      </c>
      <c r="J947" s="4">
        <v>0</v>
      </c>
      <c r="L947" s="31">
        <v>42</v>
      </c>
      <c r="M947" s="32">
        <v>11.4</v>
      </c>
      <c r="N947" s="33">
        <v>11.4</v>
      </c>
    </row>
    <row r="948" spans="1:14" x14ac:dyDescent="0.25">
      <c r="A948" s="30">
        <v>1</v>
      </c>
      <c r="B948" s="2" t="s">
        <v>7398</v>
      </c>
      <c r="C948" s="2" t="s">
        <v>7399</v>
      </c>
      <c r="D948" s="2" t="s">
        <v>6356</v>
      </c>
      <c r="E948" s="5">
        <v>36</v>
      </c>
      <c r="F948" s="2" t="s">
        <v>1970</v>
      </c>
      <c r="G948" s="2" t="s">
        <v>7410</v>
      </c>
      <c r="H948" s="2" t="s">
        <v>930</v>
      </c>
      <c r="I948" s="4">
        <v>1805</v>
      </c>
      <c r="J948" s="4">
        <v>0</v>
      </c>
      <c r="L948" s="31">
        <v>149.13999999999999</v>
      </c>
      <c r="M948" s="32">
        <v>12.1</v>
      </c>
      <c r="N948" s="33">
        <v>12.1</v>
      </c>
    </row>
    <row r="949" spans="1:14" x14ac:dyDescent="0.25">
      <c r="A949" s="30">
        <v>1</v>
      </c>
      <c r="B949" s="2" t="s">
        <v>7398</v>
      </c>
      <c r="C949" s="2" t="s">
        <v>7399</v>
      </c>
      <c r="D949" s="2" t="s">
        <v>6357</v>
      </c>
      <c r="E949" s="5">
        <v>18</v>
      </c>
      <c r="F949" s="2" t="s">
        <v>1967</v>
      </c>
      <c r="G949" s="2" t="s">
        <v>7410</v>
      </c>
      <c r="H949" s="2" t="s">
        <v>931</v>
      </c>
      <c r="I949" s="4">
        <v>1222</v>
      </c>
      <c r="J949" s="4">
        <v>0</v>
      </c>
      <c r="L949" s="31">
        <v>131.85</v>
      </c>
      <c r="M949" s="32">
        <v>9.3000000000000007</v>
      </c>
      <c r="N949" s="33">
        <v>9.3000000000000007</v>
      </c>
    </row>
    <row r="950" spans="1:14" x14ac:dyDescent="0.25">
      <c r="A950" s="30">
        <v>1</v>
      </c>
      <c r="B950" s="2" t="s">
        <v>7398</v>
      </c>
      <c r="C950" s="2" t="s">
        <v>7399</v>
      </c>
      <c r="D950" s="2" t="s">
        <v>6358</v>
      </c>
      <c r="E950" s="5">
        <v>24</v>
      </c>
      <c r="F950" s="2" t="s">
        <v>1869</v>
      </c>
      <c r="G950" s="2" t="s">
        <v>7403</v>
      </c>
      <c r="H950" s="2" t="s">
        <v>932</v>
      </c>
      <c r="I950" s="4">
        <v>389</v>
      </c>
      <c r="J950" s="4">
        <v>0</v>
      </c>
      <c r="L950" s="31">
        <v>18.28</v>
      </c>
      <c r="M950" s="32">
        <v>21.3</v>
      </c>
      <c r="N950" s="33">
        <v>21.3</v>
      </c>
    </row>
    <row r="951" spans="1:14" x14ac:dyDescent="0.25">
      <c r="A951" s="30">
        <v>1</v>
      </c>
      <c r="B951" s="2" t="s">
        <v>7398</v>
      </c>
      <c r="C951" s="2" t="s">
        <v>7399</v>
      </c>
      <c r="D951" s="2" t="s">
        <v>6359</v>
      </c>
      <c r="E951" s="5">
        <v>24</v>
      </c>
      <c r="F951" s="2" t="s">
        <v>1970</v>
      </c>
      <c r="G951" s="2" t="s">
        <v>7410</v>
      </c>
      <c r="H951" s="2" t="s">
        <v>933</v>
      </c>
      <c r="I951" s="4">
        <v>2353</v>
      </c>
      <c r="J951" s="4">
        <v>624</v>
      </c>
      <c r="L951" s="31">
        <v>421</v>
      </c>
      <c r="M951" s="32">
        <v>7.1</v>
      </c>
      <c r="N951" s="33">
        <v>5.6</v>
      </c>
    </row>
    <row r="952" spans="1:14" x14ac:dyDescent="0.25">
      <c r="A952" s="30">
        <v>1</v>
      </c>
      <c r="B952" s="2" t="s">
        <v>7398</v>
      </c>
      <c r="C952" s="2" t="s">
        <v>7399</v>
      </c>
      <c r="D952" s="2" t="s">
        <v>6360</v>
      </c>
      <c r="E952" s="5">
        <v>18</v>
      </c>
      <c r="F952" s="2" t="s">
        <v>1967</v>
      </c>
      <c r="G952" s="2" t="s">
        <v>7410</v>
      </c>
      <c r="H952" s="2" t="s">
        <v>934</v>
      </c>
      <c r="I952" s="4">
        <v>1437</v>
      </c>
      <c r="J952" s="4">
        <v>480</v>
      </c>
      <c r="L952" s="31">
        <v>273.70999999999998</v>
      </c>
      <c r="M952" s="32">
        <v>7</v>
      </c>
      <c r="N952" s="33">
        <v>5.3</v>
      </c>
    </row>
    <row r="953" spans="1:14" x14ac:dyDescent="0.25">
      <c r="A953" s="30">
        <v>1</v>
      </c>
      <c r="B953" s="2" t="s">
        <v>7398</v>
      </c>
      <c r="C953" s="2" t="s">
        <v>7399</v>
      </c>
      <c r="D953" s="2" t="s">
        <v>6361</v>
      </c>
      <c r="E953" s="5">
        <v>12</v>
      </c>
      <c r="F953" s="2" t="s">
        <v>1881</v>
      </c>
      <c r="G953" s="2" t="s">
        <v>7403</v>
      </c>
      <c r="H953" s="2" t="s">
        <v>935</v>
      </c>
      <c r="I953" s="4">
        <v>11227</v>
      </c>
      <c r="J953" s="4">
        <v>4060</v>
      </c>
      <c r="L953" s="31">
        <v>1798.71</v>
      </c>
      <c r="M953" s="32">
        <v>8.5</v>
      </c>
      <c r="N953" s="33">
        <v>6.2</v>
      </c>
    </row>
    <row r="954" spans="1:14" x14ac:dyDescent="0.25">
      <c r="A954" s="30">
        <v>1</v>
      </c>
      <c r="B954" s="2" t="s">
        <v>7398</v>
      </c>
      <c r="C954" s="2" t="s">
        <v>7399</v>
      </c>
      <c r="D954" s="2" t="s">
        <v>6362</v>
      </c>
      <c r="E954" s="5">
        <v>12</v>
      </c>
      <c r="F954" s="2" t="s">
        <v>1881</v>
      </c>
      <c r="G954" s="2" t="s">
        <v>7403</v>
      </c>
      <c r="H954" s="2" t="s">
        <v>936</v>
      </c>
      <c r="I954" s="4">
        <v>637</v>
      </c>
      <c r="J954" s="4">
        <v>10500</v>
      </c>
      <c r="L954" s="31">
        <v>792.57</v>
      </c>
      <c r="M954" s="32">
        <v>14.1</v>
      </c>
      <c r="N954" s="33">
        <v>0.8</v>
      </c>
    </row>
    <row r="955" spans="1:14" x14ac:dyDescent="0.25">
      <c r="A955" s="30">
        <v>1</v>
      </c>
      <c r="B955" s="2" t="s">
        <v>7398</v>
      </c>
      <c r="C955" s="2" t="s">
        <v>7399</v>
      </c>
      <c r="D955" s="2" t="s">
        <v>6363</v>
      </c>
      <c r="E955" s="5">
        <v>12</v>
      </c>
      <c r="F955" s="2" t="s">
        <v>1881</v>
      </c>
      <c r="G955" s="2" t="s">
        <v>7403</v>
      </c>
      <c r="H955" s="2" t="s">
        <v>937</v>
      </c>
      <c r="I955" s="4">
        <v>718</v>
      </c>
      <c r="J955" s="4">
        <v>0</v>
      </c>
      <c r="L955" s="31">
        <v>50.28</v>
      </c>
      <c r="M955" s="32">
        <v>14.3</v>
      </c>
      <c r="N955" s="33">
        <v>14.3</v>
      </c>
    </row>
    <row r="956" spans="1:14" x14ac:dyDescent="0.25">
      <c r="A956" s="30">
        <v>1</v>
      </c>
      <c r="B956" s="2" t="s">
        <v>7398</v>
      </c>
      <c r="C956" s="2" t="s">
        <v>7399</v>
      </c>
      <c r="D956" s="2" t="s">
        <v>6364</v>
      </c>
      <c r="E956" s="5">
        <v>6</v>
      </c>
      <c r="F956" s="2" t="s">
        <v>1972</v>
      </c>
      <c r="G956" s="2" t="s">
        <v>7409</v>
      </c>
      <c r="H956" s="2" t="s">
        <v>938</v>
      </c>
      <c r="I956" s="4">
        <v>1422</v>
      </c>
      <c r="J956" s="4">
        <v>0</v>
      </c>
      <c r="L956" s="31">
        <v>13.28</v>
      </c>
      <c r="M956" s="32">
        <v>107.1</v>
      </c>
      <c r="N956" s="33">
        <v>107.1</v>
      </c>
    </row>
    <row r="957" spans="1:14" x14ac:dyDescent="0.25">
      <c r="A957" s="30">
        <v>1</v>
      </c>
      <c r="B957" s="2" t="s">
        <v>7398</v>
      </c>
      <c r="C957" s="2" t="s">
        <v>7399</v>
      </c>
      <c r="D957" s="2" t="s">
        <v>6365</v>
      </c>
      <c r="E957" s="5">
        <v>10</v>
      </c>
      <c r="F957" s="2" t="s">
        <v>1918</v>
      </c>
      <c r="G957" s="2" t="s">
        <v>7409</v>
      </c>
      <c r="H957" s="2" t="s">
        <v>939</v>
      </c>
      <c r="I957" s="4">
        <v>608</v>
      </c>
      <c r="J957" s="4">
        <v>0</v>
      </c>
      <c r="L957" s="31">
        <v>4.8499999999999996</v>
      </c>
      <c r="M957" s="32">
        <v>125.4</v>
      </c>
      <c r="N957" s="33">
        <v>125.4</v>
      </c>
    </row>
    <row r="958" spans="1:14" x14ac:dyDescent="0.25">
      <c r="A958" s="30">
        <v>1</v>
      </c>
      <c r="B958" s="2" t="s">
        <v>7398</v>
      </c>
      <c r="C958" s="2" t="s">
        <v>7399</v>
      </c>
      <c r="D958" s="2" t="s">
        <v>6366</v>
      </c>
      <c r="E958" s="5">
        <v>12</v>
      </c>
      <c r="F958" s="2" t="s">
        <v>1873</v>
      </c>
      <c r="G958" s="2" t="s">
        <v>7403</v>
      </c>
      <c r="H958" s="2" t="s">
        <v>940</v>
      </c>
      <c r="I958" s="4">
        <v>1851</v>
      </c>
      <c r="J958" s="4">
        <v>4872</v>
      </c>
      <c r="L958" s="31">
        <v>47.57</v>
      </c>
      <c r="M958" s="32">
        <v>141.30000000000001</v>
      </c>
      <c r="N958" s="33">
        <v>38.9</v>
      </c>
    </row>
    <row r="959" spans="1:14" x14ac:dyDescent="0.25">
      <c r="A959" s="30">
        <v>1</v>
      </c>
      <c r="B959" s="2" t="s">
        <v>7398</v>
      </c>
      <c r="C959" s="2" t="s">
        <v>7399</v>
      </c>
      <c r="D959" s="2" t="s">
        <v>6367</v>
      </c>
      <c r="E959" s="5">
        <v>12</v>
      </c>
      <c r="F959" s="2" t="s">
        <v>1873</v>
      </c>
      <c r="G959" s="2" t="s">
        <v>7403</v>
      </c>
      <c r="H959" s="2" t="s">
        <v>941</v>
      </c>
      <c r="I959" s="4">
        <v>3094</v>
      </c>
      <c r="J959" s="4">
        <v>3132</v>
      </c>
      <c r="L959" s="31">
        <v>22.42</v>
      </c>
      <c r="M959" s="32">
        <v>277.7</v>
      </c>
      <c r="N959" s="33">
        <v>138</v>
      </c>
    </row>
    <row r="960" spans="1:14" x14ac:dyDescent="0.25">
      <c r="A960" s="30">
        <v>1</v>
      </c>
      <c r="B960" s="2" t="s">
        <v>7398</v>
      </c>
      <c r="C960" s="2" t="s">
        <v>7399</v>
      </c>
      <c r="D960" s="2" t="s">
        <v>6368</v>
      </c>
      <c r="E960" s="5">
        <v>36</v>
      </c>
      <c r="F960" s="2" t="s">
        <v>1839</v>
      </c>
      <c r="G960" s="2" t="s">
        <v>7403</v>
      </c>
      <c r="H960" s="2" t="s">
        <v>942</v>
      </c>
      <c r="I960" s="4">
        <v>50</v>
      </c>
      <c r="J960" s="4">
        <v>120</v>
      </c>
      <c r="L960" s="31">
        <v>4.8499999999999996</v>
      </c>
      <c r="M960" s="32">
        <v>35.1</v>
      </c>
      <c r="N960" s="33">
        <v>10.3</v>
      </c>
    </row>
    <row r="961" spans="1:14" x14ac:dyDescent="0.25">
      <c r="A961" s="30">
        <v>1</v>
      </c>
      <c r="B961" s="2" t="s">
        <v>7398</v>
      </c>
      <c r="C961" s="2" t="s">
        <v>7399</v>
      </c>
      <c r="D961" s="2" t="s">
        <v>6369</v>
      </c>
      <c r="E961" s="5">
        <v>24</v>
      </c>
      <c r="F961" s="2" t="s">
        <v>1869</v>
      </c>
      <c r="G961" s="2" t="s">
        <v>7403</v>
      </c>
      <c r="H961" s="2" t="s">
        <v>943</v>
      </c>
      <c r="I961" s="4">
        <v>210</v>
      </c>
      <c r="J961" s="4">
        <v>0</v>
      </c>
      <c r="L961" s="31">
        <v>5.71</v>
      </c>
      <c r="M961" s="32">
        <v>36.799999999999997</v>
      </c>
      <c r="N961" s="33">
        <v>36.799999999999997</v>
      </c>
    </row>
    <row r="962" spans="1:14" x14ac:dyDescent="0.25">
      <c r="A962" s="30">
        <v>1</v>
      </c>
      <c r="B962" s="2" t="s">
        <v>7398</v>
      </c>
      <c r="C962" s="2" t="s">
        <v>7399</v>
      </c>
      <c r="D962" s="2" t="s">
        <v>6370</v>
      </c>
      <c r="E962" s="5">
        <v>24</v>
      </c>
      <c r="F962" s="2" t="s">
        <v>1873</v>
      </c>
      <c r="G962" s="2" t="s">
        <v>7403</v>
      </c>
      <c r="H962" s="2" t="s">
        <v>944</v>
      </c>
      <c r="I962" s="4">
        <v>1807</v>
      </c>
      <c r="J962" s="4">
        <v>840</v>
      </c>
      <c r="L962" s="31">
        <v>153</v>
      </c>
      <c r="M962" s="32">
        <v>17.3</v>
      </c>
      <c r="N962" s="33">
        <v>11.8</v>
      </c>
    </row>
    <row r="963" spans="1:14" x14ac:dyDescent="0.25">
      <c r="A963" s="30">
        <v>1</v>
      </c>
      <c r="B963" s="2" t="s">
        <v>7398</v>
      </c>
      <c r="C963" s="2" t="s">
        <v>7399</v>
      </c>
      <c r="D963" s="2" t="s">
        <v>6371</v>
      </c>
      <c r="E963" s="5">
        <v>24</v>
      </c>
      <c r="F963" s="2" t="s">
        <v>1940</v>
      </c>
      <c r="G963" s="2" t="s">
        <v>7403</v>
      </c>
      <c r="H963" s="2" t="s">
        <v>945</v>
      </c>
      <c r="I963" s="4">
        <v>18</v>
      </c>
      <c r="J963" s="4">
        <v>0</v>
      </c>
      <c r="L963" s="31">
        <v>3.42</v>
      </c>
      <c r="M963" s="32">
        <v>5.3</v>
      </c>
      <c r="N963" s="33">
        <v>5.3</v>
      </c>
    </row>
    <row r="964" spans="1:14" x14ac:dyDescent="0.25">
      <c r="A964" s="30">
        <v>1</v>
      </c>
      <c r="B964" s="2" t="s">
        <v>7398</v>
      </c>
      <c r="C964" s="2" t="s">
        <v>7399</v>
      </c>
      <c r="D964" s="2" t="s">
        <v>6372</v>
      </c>
      <c r="E964" s="5">
        <v>12</v>
      </c>
      <c r="F964" s="2" t="s">
        <v>1874</v>
      </c>
      <c r="G964" s="2" t="s">
        <v>7403</v>
      </c>
      <c r="H964" s="2" t="s">
        <v>946</v>
      </c>
      <c r="I964" s="4">
        <v>1934</v>
      </c>
      <c r="J964" s="4">
        <v>1375</v>
      </c>
      <c r="L964" s="31">
        <v>187.71</v>
      </c>
      <c r="M964" s="32">
        <v>17.600000000000001</v>
      </c>
      <c r="N964" s="33">
        <v>10.3</v>
      </c>
    </row>
    <row r="965" spans="1:14" x14ac:dyDescent="0.25">
      <c r="A965" s="30">
        <v>1</v>
      </c>
      <c r="B965" s="2" t="s">
        <v>7398</v>
      </c>
      <c r="C965" s="2" t="s">
        <v>7399</v>
      </c>
      <c r="D965" s="2" t="s">
        <v>6373</v>
      </c>
      <c r="E965" s="5">
        <v>12</v>
      </c>
      <c r="F965" s="2" t="s">
        <v>1881</v>
      </c>
      <c r="G965" s="2" t="s">
        <v>7403</v>
      </c>
      <c r="H965" s="2" t="s">
        <v>947</v>
      </c>
      <c r="I965" s="4">
        <v>109</v>
      </c>
      <c r="J965" s="4">
        <v>0</v>
      </c>
      <c r="L965" s="31">
        <v>8.2799999999999994</v>
      </c>
      <c r="M965" s="32">
        <v>13.2</v>
      </c>
      <c r="N965" s="33">
        <v>13.2</v>
      </c>
    </row>
    <row r="966" spans="1:14" x14ac:dyDescent="0.25">
      <c r="A966" s="30">
        <v>1</v>
      </c>
      <c r="B966" s="2" t="s">
        <v>7398</v>
      </c>
      <c r="C966" s="2" t="s">
        <v>7399</v>
      </c>
      <c r="D966" s="2" t="s">
        <v>6374</v>
      </c>
      <c r="E966" s="5">
        <v>12</v>
      </c>
      <c r="F966" s="2" t="s">
        <v>1881</v>
      </c>
      <c r="G966" s="2" t="s">
        <v>7403</v>
      </c>
      <c r="H966" s="2" t="s">
        <v>948</v>
      </c>
      <c r="I966" s="4">
        <v>79</v>
      </c>
      <c r="J966" s="4">
        <v>0</v>
      </c>
      <c r="L966" s="31">
        <v>9.42</v>
      </c>
      <c r="M966" s="32">
        <v>8.4</v>
      </c>
      <c r="N966" s="33">
        <v>8.4</v>
      </c>
    </row>
    <row r="967" spans="1:14" x14ac:dyDescent="0.25">
      <c r="A967" s="30">
        <v>1</v>
      </c>
      <c r="B967" s="2" t="s">
        <v>7398</v>
      </c>
      <c r="C967" s="2" t="s">
        <v>7399</v>
      </c>
      <c r="D967" s="2" t="s">
        <v>6375</v>
      </c>
      <c r="E967" s="5">
        <v>16</v>
      </c>
      <c r="F967" s="2" t="s">
        <v>1855</v>
      </c>
      <c r="G967" s="2" t="s">
        <v>7400</v>
      </c>
      <c r="H967" s="2" t="s">
        <v>949</v>
      </c>
      <c r="I967" s="4">
        <v>638</v>
      </c>
      <c r="J967" s="4">
        <v>2268</v>
      </c>
      <c r="L967" s="31">
        <v>71.709999999999994</v>
      </c>
      <c r="M967" s="32">
        <v>40.5</v>
      </c>
      <c r="N967" s="33">
        <v>8.9</v>
      </c>
    </row>
    <row r="968" spans="1:14" x14ac:dyDescent="0.25">
      <c r="A968" s="30">
        <v>1</v>
      </c>
      <c r="B968" s="2" t="s">
        <v>7398</v>
      </c>
      <c r="C968" s="2" t="s">
        <v>7399</v>
      </c>
      <c r="D968" s="2" t="s">
        <v>6376</v>
      </c>
      <c r="E968" s="5">
        <v>12</v>
      </c>
      <c r="F968" s="2" t="s">
        <v>1973</v>
      </c>
      <c r="G968" s="2" t="s">
        <v>7400</v>
      </c>
      <c r="H968" s="2" t="s">
        <v>950</v>
      </c>
      <c r="I968" s="4">
        <v>80</v>
      </c>
      <c r="J968" s="4">
        <v>0</v>
      </c>
      <c r="L968" s="31">
        <v>4.71</v>
      </c>
      <c r="M968" s="32">
        <v>17</v>
      </c>
      <c r="N968" s="33">
        <v>17</v>
      </c>
    </row>
    <row r="969" spans="1:14" x14ac:dyDescent="0.25">
      <c r="A969" s="30">
        <v>1</v>
      </c>
      <c r="B969" s="2" t="s">
        <v>7398</v>
      </c>
      <c r="C969" s="2" t="s">
        <v>7399</v>
      </c>
      <c r="D969" s="2" t="s">
        <v>6377</v>
      </c>
      <c r="E969" s="5">
        <v>36</v>
      </c>
      <c r="F969" s="2" t="s">
        <v>1970</v>
      </c>
      <c r="G969" s="2" t="s">
        <v>7414</v>
      </c>
      <c r="H969" s="2" t="s">
        <v>951</v>
      </c>
      <c r="I969" s="4">
        <v>158</v>
      </c>
      <c r="J969" s="4">
        <v>0</v>
      </c>
      <c r="L969" s="31">
        <v>21.28</v>
      </c>
      <c r="M969" s="32">
        <v>7.4</v>
      </c>
      <c r="N969" s="33">
        <v>7.4</v>
      </c>
    </row>
    <row r="970" spans="1:14" x14ac:dyDescent="0.25">
      <c r="A970" s="30">
        <v>1</v>
      </c>
      <c r="B970" s="2" t="s">
        <v>7398</v>
      </c>
      <c r="C970" s="2" t="s">
        <v>7399</v>
      </c>
      <c r="D970" s="2" t="s">
        <v>6378</v>
      </c>
      <c r="E970" s="5">
        <v>12</v>
      </c>
      <c r="F970" s="2" t="s">
        <v>1849</v>
      </c>
      <c r="G970" s="2" t="s">
        <v>7403</v>
      </c>
      <c r="H970" s="2" t="s">
        <v>952</v>
      </c>
      <c r="I970" s="4">
        <v>1394</v>
      </c>
      <c r="J970" s="4">
        <v>0</v>
      </c>
      <c r="L970" s="31">
        <v>77.14</v>
      </c>
      <c r="M970" s="32">
        <v>18.100000000000001</v>
      </c>
      <c r="N970" s="33">
        <v>18.100000000000001</v>
      </c>
    </row>
    <row r="971" spans="1:14" x14ac:dyDescent="0.25">
      <c r="A971" s="30">
        <v>1</v>
      </c>
      <c r="B971" s="2" t="s">
        <v>7398</v>
      </c>
      <c r="C971" s="2" t="s">
        <v>7399</v>
      </c>
      <c r="D971" s="2" t="s">
        <v>6379</v>
      </c>
      <c r="E971" s="5">
        <v>12</v>
      </c>
      <c r="F971" s="2" t="s">
        <v>1879</v>
      </c>
      <c r="G971" s="2" t="s">
        <v>7403</v>
      </c>
      <c r="H971" s="2" t="s">
        <v>953</v>
      </c>
      <c r="I971" s="4">
        <v>666</v>
      </c>
      <c r="J971" s="4">
        <v>0</v>
      </c>
      <c r="L971" s="31">
        <v>29.85</v>
      </c>
      <c r="M971" s="32">
        <v>22.3</v>
      </c>
      <c r="N971" s="33">
        <v>22.3</v>
      </c>
    </row>
    <row r="972" spans="1:14" x14ac:dyDescent="0.25">
      <c r="A972" s="30">
        <v>1</v>
      </c>
      <c r="B972" s="2" t="s">
        <v>7398</v>
      </c>
      <c r="C972" s="2" t="s">
        <v>7399</v>
      </c>
      <c r="D972" s="2" t="s">
        <v>6380</v>
      </c>
      <c r="E972" s="5">
        <v>12</v>
      </c>
      <c r="F972" s="2" t="s">
        <v>1849</v>
      </c>
      <c r="G972" s="2" t="s">
        <v>7403</v>
      </c>
      <c r="H972" s="2" t="s">
        <v>954</v>
      </c>
      <c r="I972" s="4">
        <v>1063</v>
      </c>
      <c r="J972" s="4">
        <v>0</v>
      </c>
      <c r="L972" s="31">
        <v>22</v>
      </c>
      <c r="M972" s="32">
        <v>48.3</v>
      </c>
      <c r="N972" s="33">
        <v>48.3</v>
      </c>
    </row>
    <row r="973" spans="1:14" x14ac:dyDescent="0.25">
      <c r="A973" s="30">
        <v>1</v>
      </c>
      <c r="B973" s="2" t="s">
        <v>7398</v>
      </c>
      <c r="C973" s="2" t="s">
        <v>7399</v>
      </c>
      <c r="D973" s="2" t="s">
        <v>6381</v>
      </c>
      <c r="E973" s="5">
        <v>12</v>
      </c>
      <c r="F973" s="2" t="s">
        <v>1879</v>
      </c>
      <c r="G973" s="2" t="s">
        <v>7403</v>
      </c>
      <c r="H973" s="2" t="s">
        <v>955</v>
      </c>
      <c r="I973" s="4">
        <v>389</v>
      </c>
      <c r="J973" s="4">
        <v>0</v>
      </c>
      <c r="L973" s="31">
        <v>5.28</v>
      </c>
      <c r="M973" s="32">
        <v>73.7</v>
      </c>
      <c r="N973" s="33">
        <v>73.7</v>
      </c>
    </row>
    <row r="974" spans="1:14" x14ac:dyDescent="0.25">
      <c r="A974" s="30">
        <v>1</v>
      </c>
      <c r="B974" s="2" t="s">
        <v>7398</v>
      </c>
      <c r="C974" s="2" t="s">
        <v>7399</v>
      </c>
      <c r="D974" s="2" t="s">
        <v>6382</v>
      </c>
      <c r="E974" s="5">
        <v>12</v>
      </c>
      <c r="F974" s="2" t="s">
        <v>1849</v>
      </c>
      <c r="G974" s="2" t="s">
        <v>7400</v>
      </c>
      <c r="H974" s="2" t="s">
        <v>956</v>
      </c>
      <c r="I974" s="4">
        <v>955</v>
      </c>
      <c r="J974" s="4">
        <v>1800</v>
      </c>
      <c r="L974" s="31">
        <v>36.71</v>
      </c>
      <c r="M974" s="32">
        <v>75</v>
      </c>
      <c r="N974" s="33">
        <v>26</v>
      </c>
    </row>
    <row r="975" spans="1:14" x14ac:dyDescent="0.25">
      <c r="A975" s="30">
        <v>1</v>
      </c>
      <c r="B975" s="2" t="s">
        <v>7398</v>
      </c>
      <c r="C975" s="2" t="s">
        <v>7399</v>
      </c>
      <c r="D975" s="2" t="s">
        <v>6383</v>
      </c>
      <c r="E975" s="5">
        <v>12</v>
      </c>
      <c r="F975" s="2" t="s">
        <v>1881</v>
      </c>
      <c r="G975" s="2" t="s">
        <v>7403</v>
      </c>
      <c r="H975" s="2" t="s">
        <v>957</v>
      </c>
      <c r="I975" s="4">
        <v>183</v>
      </c>
      <c r="J975" s="4">
        <v>0</v>
      </c>
      <c r="L975" s="31">
        <v>10.42</v>
      </c>
      <c r="M975" s="32">
        <v>17.600000000000001</v>
      </c>
      <c r="N975" s="33">
        <v>17.600000000000001</v>
      </c>
    </row>
    <row r="976" spans="1:14" x14ac:dyDescent="0.25">
      <c r="A976" s="30">
        <v>1</v>
      </c>
      <c r="B976" s="2" t="s">
        <v>7398</v>
      </c>
      <c r="C976" s="2" t="s">
        <v>7399</v>
      </c>
      <c r="D976" s="2" t="s">
        <v>6384</v>
      </c>
      <c r="E976" s="5">
        <v>36</v>
      </c>
      <c r="F976" s="2" t="s">
        <v>1970</v>
      </c>
      <c r="G976" s="2" t="s">
        <v>7410</v>
      </c>
      <c r="H976" s="2" t="s">
        <v>958</v>
      </c>
      <c r="I976" s="4">
        <v>211</v>
      </c>
      <c r="J976" s="4">
        <v>0</v>
      </c>
      <c r="L976" s="31">
        <v>17.57</v>
      </c>
      <c r="M976" s="32">
        <v>12</v>
      </c>
      <c r="N976" s="33">
        <v>12</v>
      </c>
    </row>
    <row r="977" spans="1:14" x14ac:dyDescent="0.25">
      <c r="A977" s="30">
        <v>1</v>
      </c>
      <c r="B977" s="2" t="s">
        <v>7398</v>
      </c>
      <c r="C977" s="2" t="s">
        <v>7399</v>
      </c>
      <c r="D977" s="2" t="s">
        <v>6385</v>
      </c>
      <c r="E977" s="5">
        <v>12</v>
      </c>
      <c r="F977" s="2" t="s">
        <v>1876</v>
      </c>
      <c r="G977" s="2" t="s">
        <v>7401</v>
      </c>
      <c r="H977" s="2" t="s">
        <v>959</v>
      </c>
      <c r="I977" s="4">
        <v>3883</v>
      </c>
      <c r="J977" s="4">
        <v>12520</v>
      </c>
      <c r="L977" s="31">
        <v>27.71</v>
      </c>
      <c r="M977" s="32">
        <v>592</v>
      </c>
      <c r="N977" s="33">
        <v>140.1</v>
      </c>
    </row>
    <row r="978" spans="1:14" x14ac:dyDescent="0.25">
      <c r="A978" s="30">
        <v>1</v>
      </c>
      <c r="B978" s="2" t="s">
        <v>7398</v>
      </c>
      <c r="C978" s="2" t="s">
        <v>7399</v>
      </c>
      <c r="D978" s="2" t="s">
        <v>6386</v>
      </c>
      <c r="E978" s="5">
        <v>12</v>
      </c>
      <c r="F978" s="2" t="s">
        <v>1881</v>
      </c>
      <c r="G978" s="2" t="s">
        <v>7403</v>
      </c>
      <c r="H978" s="2" t="s">
        <v>960</v>
      </c>
      <c r="I978" s="4">
        <v>158</v>
      </c>
      <c r="J978" s="4">
        <v>0</v>
      </c>
      <c r="L978" s="31">
        <v>13</v>
      </c>
      <c r="M978" s="32">
        <v>12.2</v>
      </c>
      <c r="N978" s="33">
        <v>12.2</v>
      </c>
    </row>
    <row r="979" spans="1:14" x14ac:dyDescent="0.25">
      <c r="A979" s="30">
        <v>1</v>
      </c>
      <c r="B979" s="2" t="s">
        <v>7398</v>
      </c>
      <c r="C979" s="2" t="s">
        <v>7399</v>
      </c>
      <c r="D979" s="2" t="s">
        <v>6387</v>
      </c>
      <c r="E979" s="5">
        <v>12</v>
      </c>
      <c r="F979" s="2" t="s">
        <v>1973</v>
      </c>
      <c r="G979" s="2" t="s">
        <v>7403</v>
      </c>
      <c r="H979" s="2" t="s">
        <v>961</v>
      </c>
      <c r="I979" s="4">
        <v>28</v>
      </c>
      <c r="J979" s="4">
        <v>0</v>
      </c>
      <c r="L979" s="31">
        <v>1.85</v>
      </c>
      <c r="M979" s="32">
        <v>15.1</v>
      </c>
      <c r="N979" s="33">
        <v>15.1</v>
      </c>
    </row>
    <row r="980" spans="1:14" x14ac:dyDescent="0.25">
      <c r="A980" s="30">
        <v>1</v>
      </c>
      <c r="B980" s="2" t="s">
        <v>7398</v>
      </c>
      <c r="C980" s="2" t="s">
        <v>7399</v>
      </c>
      <c r="D980" s="2" t="s">
        <v>6388</v>
      </c>
      <c r="E980" s="5">
        <v>12</v>
      </c>
      <c r="F980" s="2" t="s">
        <v>1973</v>
      </c>
      <c r="G980" s="2" t="s">
        <v>7403</v>
      </c>
      <c r="H980" s="2" t="s">
        <v>962</v>
      </c>
      <c r="I980" s="4">
        <v>78</v>
      </c>
      <c r="J980" s="4">
        <v>19</v>
      </c>
      <c r="L980" s="31">
        <v>2.14</v>
      </c>
      <c r="M980" s="32">
        <v>45.3</v>
      </c>
      <c r="N980" s="33">
        <v>36.4</v>
      </c>
    </row>
    <row r="981" spans="1:14" x14ac:dyDescent="0.25">
      <c r="A981" s="30">
        <v>1</v>
      </c>
      <c r="B981" s="2" t="s">
        <v>7398</v>
      </c>
      <c r="C981" s="2" t="s">
        <v>7399</v>
      </c>
      <c r="D981" s="2" t="s">
        <v>6389</v>
      </c>
      <c r="E981" s="5">
        <v>12</v>
      </c>
      <c r="F981" s="2" t="s">
        <v>1973</v>
      </c>
      <c r="G981" s="2" t="s">
        <v>7403</v>
      </c>
      <c r="H981" s="2" t="s">
        <v>963</v>
      </c>
      <c r="I981" s="4">
        <v>9</v>
      </c>
      <c r="J981" s="4">
        <v>0</v>
      </c>
      <c r="L981" s="31">
        <v>2.2799999999999998</v>
      </c>
      <c r="M981" s="32">
        <v>3.9</v>
      </c>
      <c r="N981" s="33">
        <v>3.9</v>
      </c>
    </row>
    <row r="982" spans="1:14" x14ac:dyDescent="0.25">
      <c r="A982" s="30">
        <v>1</v>
      </c>
      <c r="B982" s="2" t="s">
        <v>7398</v>
      </c>
      <c r="C982" s="2" t="s">
        <v>7399</v>
      </c>
      <c r="D982" s="2" t="s">
        <v>6390</v>
      </c>
      <c r="E982" s="5">
        <v>12</v>
      </c>
      <c r="F982" s="2" t="s">
        <v>1973</v>
      </c>
      <c r="G982" s="2" t="s">
        <v>7403</v>
      </c>
      <c r="H982" s="2" t="s">
        <v>964</v>
      </c>
      <c r="I982" s="4">
        <v>21</v>
      </c>
      <c r="J982" s="4">
        <v>0</v>
      </c>
      <c r="L982" s="31">
        <v>1.28</v>
      </c>
      <c r="M982" s="32">
        <v>16.399999999999999</v>
      </c>
      <c r="N982" s="33">
        <v>16.399999999999999</v>
      </c>
    </row>
    <row r="983" spans="1:14" x14ac:dyDescent="0.25">
      <c r="A983" s="30">
        <v>1</v>
      </c>
      <c r="B983" s="2" t="s">
        <v>7398</v>
      </c>
      <c r="C983" s="2" t="s">
        <v>7399</v>
      </c>
      <c r="D983" s="2" t="s">
        <v>6391</v>
      </c>
      <c r="E983" s="5">
        <v>6</v>
      </c>
      <c r="F983" s="2" t="s">
        <v>1879</v>
      </c>
      <c r="G983" s="2" t="s">
        <v>7401</v>
      </c>
      <c r="H983" s="2" t="s">
        <v>965</v>
      </c>
      <c r="I983" s="4">
        <v>345</v>
      </c>
      <c r="J983" s="4">
        <v>0</v>
      </c>
      <c r="L983" s="31">
        <v>17.14</v>
      </c>
      <c r="M983" s="32">
        <v>20.100000000000001</v>
      </c>
      <c r="N983" s="33">
        <v>20.100000000000001</v>
      </c>
    </row>
    <row r="984" spans="1:14" x14ac:dyDescent="0.25">
      <c r="A984" s="30">
        <v>1</v>
      </c>
      <c r="B984" s="2" t="s">
        <v>7398</v>
      </c>
      <c r="C984" s="2" t="s">
        <v>7399</v>
      </c>
      <c r="D984" s="2" t="s">
        <v>6392</v>
      </c>
      <c r="E984" s="5">
        <v>12</v>
      </c>
      <c r="F984" s="2" t="s">
        <v>1938</v>
      </c>
      <c r="G984" s="2" t="s">
        <v>7403</v>
      </c>
      <c r="H984" s="2" t="s">
        <v>966</v>
      </c>
      <c r="I984" s="4">
        <v>1006</v>
      </c>
      <c r="J984" s="4">
        <v>0</v>
      </c>
      <c r="L984" s="31">
        <v>77.28</v>
      </c>
      <c r="M984" s="32">
        <v>13</v>
      </c>
      <c r="N984" s="33">
        <v>13</v>
      </c>
    </row>
    <row r="985" spans="1:14" x14ac:dyDescent="0.25">
      <c r="A985" s="30">
        <v>1</v>
      </c>
      <c r="B985" s="2" t="s">
        <v>7398</v>
      </c>
      <c r="C985" s="2" t="s">
        <v>7399</v>
      </c>
      <c r="D985" s="2" t="s">
        <v>6393</v>
      </c>
      <c r="E985" s="5">
        <v>12</v>
      </c>
      <c r="F985" s="2" t="s">
        <v>1922</v>
      </c>
      <c r="G985" s="2" t="s">
        <v>7403</v>
      </c>
      <c r="H985" s="2" t="s">
        <v>967</v>
      </c>
      <c r="I985" s="4">
        <v>4233</v>
      </c>
      <c r="J985" s="4">
        <v>0</v>
      </c>
      <c r="L985" s="31">
        <v>359.28</v>
      </c>
      <c r="M985" s="32">
        <v>11.8</v>
      </c>
      <c r="N985" s="33">
        <v>11.8</v>
      </c>
    </row>
    <row r="986" spans="1:14" x14ac:dyDescent="0.25">
      <c r="A986" s="30">
        <v>1</v>
      </c>
      <c r="B986" s="2" t="s">
        <v>7398</v>
      </c>
      <c r="C986" s="2" t="s">
        <v>7399</v>
      </c>
      <c r="D986" s="2" t="s">
        <v>6394</v>
      </c>
      <c r="E986" s="5">
        <v>24</v>
      </c>
      <c r="F986" s="2" t="s">
        <v>1857</v>
      </c>
      <c r="G986" s="2" t="s">
        <v>7403</v>
      </c>
      <c r="H986" s="2" t="s">
        <v>968</v>
      </c>
      <c r="I986" s="4">
        <v>872</v>
      </c>
      <c r="J986" s="4">
        <v>0</v>
      </c>
      <c r="L986" s="31">
        <v>57.42</v>
      </c>
      <c r="M986" s="32">
        <v>15.2</v>
      </c>
      <c r="N986" s="33">
        <v>15.2</v>
      </c>
    </row>
    <row r="987" spans="1:14" x14ac:dyDescent="0.25">
      <c r="A987" s="30">
        <v>1</v>
      </c>
      <c r="B987" s="2" t="s">
        <v>7398</v>
      </c>
      <c r="C987" s="2" t="s">
        <v>7399</v>
      </c>
      <c r="D987" s="2" t="s">
        <v>6395</v>
      </c>
      <c r="E987" s="5">
        <v>24</v>
      </c>
      <c r="F987" s="2" t="s">
        <v>1857</v>
      </c>
      <c r="G987" s="2" t="s">
        <v>7403</v>
      </c>
      <c r="H987" s="2" t="s">
        <v>852</v>
      </c>
      <c r="I987" s="4">
        <v>221</v>
      </c>
      <c r="J987" s="4">
        <v>0</v>
      </c>
      <c r="L987" s="31">
        <v>15.71</v>
      </c>
      <c r="M987" s="32">
        <v>14.1</v>
      </c>
      <c r="N987" s="33">
        <v>14.1</v>
      </c>
    </row>
    <row r="988" spans="1:14" x14ac:dyDescent="0.25">
      <c r="A988" s="30">
        <v>1</v>
      </c>
      <c r="B988" s="2" t="s">
        <v>7398</v>
      </c>
      <c r="C988" s="2" t="s">
        <v>7399</v>
      </c>
      <c r="D988" s="2" t="s">
        <v>6396</v>
      </c>
      <c r="E988" s="5">
        <v>24</v>
      </c>
      <c r="F988" s="2" t="s">
        <v>1847</v>
      </c>
      <c r="G988" s="2" t="s">
        <v>7403</v>
      </c>
      <c r="H988" s="2" t="s">
        <v>969</v>
      </c>
      <c r="I988" s="4">
        <v>0</v>
      </c>
      <c r="J988" s="4">
        <v>0</v>
      </c>
      <c r="L988" s="31">
        <v>11.85</v>
      </c>
      <c r="M988" s="32">
        <v>0</v>
      </c>
      <c r="N988" s="33">
        <v>0</v>
      </c>
    </row>
    <row r="989" spans="1:14" x14ac:dyDescent="0.25">
      <c r="A989" s="30">
        <v>1</v>
      </c>
      <c r="B989" s="2" t="s">
        <v>7398</v>
      </c>
      <c r="C989" s="2" t="s">
        <v>7399</v>
      </c>
      <c r="D989" s="2" t="s">
        <v>6397</v>
      </c>
      <c r="E989" s="5">
        <v>24</v>
      </c>
      <c r="F989" s="2" t="s">
        <v>1974</v>
      </c>
      <c r="G989" s="2" t="s">
        <v>7403</v>
      </c>
      <c r="H989" s="2" t="s">
        <v>970</v>
      </c>
      <c r="I989" s="4">
        <v>329</v>
      </c>
      <c r="J989" s="4">
        <v>0</v>
      </c>
      <c r="L989" s="31">
        <v>31.14</v>
      </c>
      <c r="M989" s="32">
        <v>10.6</v>
      </c>
      <c r="N989" s="33">
        <v>10.6</v>
      </c>
    </row>
    <row r="990" spans="1:14" x14ac:dyDescent="0.25">
      <c r="A990" s="30">
        <v>1</v>
      </c>
      <c r="B990" s="2" t="s">
        <v>7398</v>
      </c>
      <c r="C990" s="2" t="s">
        <v>7399</v>
      </c>
      <c r="D990" s="2" t="s">
        <v>6398</v>
      </c>
      <c r="E990" s="5">
        <v>12</v>
      </c>
      <c r="F990" s="2" t="s">
        <v>1939</v>
      </c>
      <c r="G990" s="2" t="s">
        <v>7403</v>
      </c>
      <c r="H990" s="2" t="s">
        <v>971</v>
      </c>
      <c r="I990" s="4">
        <v>170</v>
      </c>
      <c r="J990" s="4">
        <v>1078</v>
      </c>
      <c r="L990" s="31">
        <v>22.85</v>
      </c>
      <c r="M990" s="32">
        <v>54.6</v>
      </c>
      <c r="N990" s="33">
        <v>7.4</v>
      </c>
    </row>
    <row r="991" spans="1:14" x14ac:dyDescent="0.25">
      <c r="A991" s="30">
        <v>1</v>
      </c>
      <c r="B991" s="2" t="s">
        <v>7398</v>
      </c>
      <c r="C991" s="2" t="s">
        <v>7399</v>
      </c>
      <c r="D991" s="2" t="s">
        <v>6399</v>
      </c>
      <c r="E991" s="5">
        <v>4</v>
      </c>
      <c r="F991" s="2" t="s">
        <v>1975</v>
      </c>
      <c r="G991" s="2" t="s">
        <v>7400</v>
      </c>
      <c r="H991" s="2" t="s">
        <v>972</v>
      </c>
      <c r="I991" s="4">
        <v>132</v>
      </c>
      <c r="J991" s="4">
        <v>48</v>
      </c>
      <c r="L991" s="31">
        <v>26.28</v>
      </c>
      <c r="M991" s="32">
        <v>6.8</v>
      </c>
      <c r="N991" s="33">
        <v>5</v>
      </c>
    </row>
    <row r="992" spans="1:14" x14ac:dyDescent="0.25">
      <c r="A992" s="30">
        <v>1</v>
      </c>
      <c r="B992" s="2" t="s">
        <v>7398</v>
      </c>
      <c r="C992" s="2" t="s">
        <v>7399</v>
      </c>
      <c r="D992" s="2" t="s">
        <v>6400</v>
      </c>
      <c r="E992" s="5">
        <v>4</v>
      </c>
      <c r="F992" s="2" t="s">
        <v>1975</v>
      </c>
      <c r="G992" s="2" t="s">
        <v>7400</v>
      </c>
      <c r="H992" s="2" t="s">
        <v>973</v>
      </c>
      <c r="I992" s="4">
        <v>343</v>
      </c>
      <c r="J992" s="4">
        <v>0</v>
      </c>
      <c r="L992" s="31">
        <v>15.71</v>
      </c>
      <c r="M992" s="32">
        <v>21.8</v>
      </c>
      <c r="N992" s="33">
        <v>21.8</v>
      </c>
    </row>
    <row r="993" spans="1:14" x14ac:dyDescent="0.25">
      <c r="A993" s="30">
        <v>1</v>
      </c>
      <c r="B993" s="2" t="s">
        <v>7398</v>
      </c>
      <c r="C993" s="2" t="s">
        <v>7399</v>
      </c>
      <c r="D993" s="2" t="s">
        <v>6401</v>
      </c>
      <c r="E993" s="5">
        <v>24</v>
      </c>
      <c r="F993" s="2" t="s">
        <v>1869</v>
      </c>
      <c r="G993" s="2" t="s">
        <v>7400</v>
      </c>
      <c r="H993" s="2" t="s">
        <v>974</v>
      </c>
      <c r="I993" s="4">
        <v>142</v>
      </c>
      <c r="J993" s="4">
        <v>0</v>
      </c>
      <c r="L993" s="31">
        <v>4.1399999999999997</v>
      </c>
      <c r="M993" s="32">
        <v>34.299999999999997</v>
      </c>
      <c r="N993" s="33">
        <v>34.299999999999997</v>
      </c>
    </row>
    <row r="994" spans="1:14" x14ac:dyDescent="0.25">
      <c r="A994" s="30">
        <v>1</v>
      </c>
      <c r="B994" s="2" t="s">
        <v>7398</v>
      </c>
      <c r="C994" s="2" t="s">
        <v>7399</v>
      </c>
      <c r="D994" s="2" t="s">
        <v>6402</v>
      </c>
      <c r="E994" s="5">
        <v>12</v>
      </c>
      <c r="F994" s="2" t="s">
        <v>1881</v>
      </c>
      <c r="G994" s="2" t="s">
        <v>7400</v>
      </c>
      <c r="H994" s="2" t="s">
        <v>974</v>
      </c>
      <c r="I994" s="4">
        <v>139</v>
      </c>
      <c r="J994" s="4">
        <v>0</v>
      </c>
      <c r="L994" s="31">
        <v>2.85</v>
      </c>
      <c r="M994" s="32">
        <v>48.8</v>
      </c>
      <c r="N994" s="33">
        <v>48.8</v>
      </c>
    </row>
    <row r="995" spans="1:14" x14ac:dyDescent="0.25">
      <c r="A995" s="30">
        <v>1</v>
      </c>
      <c r="B995" s="2" t="s">
        <v>7398</v>
      </c>
      <c r="C995" s="2" t="s">
        <v>7399</v>
      </c>
      <c r="D995" s="2" t="s">
        <v>6403</v>
      </c>
      <c r="E995" s="5">
        <v>12</v>
      </c>
      <c r="F995" s="2" t="s">
        <v>1853</v>
      </c>
      <c r="G995" s="2" t="s">
        <v>7400</v>
      </c>
      <c r="H995" s="2" t="s">
        <v>975</v>
      </c>
      <c r="I995" s="4">
        <v>95</v>
      </c>
      <c r="J995" s="4">
        <v>0</v>
      </c>
      <c r="L995" s="31">
        <v>12</v>
      </c>
      <c r="M995" s="32">
        <v>7.9</v>
      </c>
      <c r="N995" s="33">
        <v>7.9</v>
      </c>
    </row>
    <row r="996" spans="1:14" x14ac:dyDescent="0.25">
      <c r="A996" s="30">
        <v>1</v>
      </c>
      <c r="B996" s="2" t="s">
        <v>7398</v>
      </c>
      <c r="C996" s="2" t="s">
        <v>7399</v>
      </c>
      <c r="D996" s="2" t="s">
        <v>6404</v>
      </c>
      <c r="E996" s="5">
        <v>24</v>
      </c>
      <c r="F996" s="2" t="s">
        <v>1866</v>
      </c>
      <c r="G996" s="2" t="s">
        <v>7401</v>
      </c>
      <c r="H996" s="2" t="s">
        <v>976</v>
      </c>
      <c r="I996" s="4">
        <v>139</v>
      </c>
      <c r="J996" s="4">
        <v>126</v>
      </c>
      <c r="L996" s="31">
        <v>6</v>
      </c>
      <c r="M996" s="32">
        <v>44.2</v>
      </c>
      <c r="N996" s="33">
        <v>23.2</v>
      </c>
    </row>
    <row r="997" spans="1:14" x14ac:dyDescent="0.25">
      <c r="A997" s="30">
        <v>1</v>
      </c>
      <c r="B997" s="2" t="s">
        <v>7398</v>
      </c>
      <c r="C997" s="2" t="s">
        <v>7399</v>
      </c>
      <c r="D997" s="2" t="s">
        <v>6405</v>
      </c>
      <c r="E997" s="5">
        <v>24</v>
      </c>
      <c r="F997" s="2" t="s">
        <v>1887</v>
      </c>
      <c r="G997" s="2" t="s">
        <v>7401</v>
      </c>
      <c r="H997" s="2" t="s">
        <v>977</v>
      </c>
      <c r="I997" s="4">
        <v>15</v>
      </c>
      <c r="J997" s="4">
        <v>612</v>
      </c>
      <c r="L997" s="31">
        <v>13.14</v>
      </c>
      <c r="M997" s="32">
        <v>47.7</v>
      </c>
      <c r="N997" s="33">
        <v>1.1000000000000001</v>
      </c>
    </row>
    <row r="998" spans="1:14" x14ac:dyDescent="0.25">
      <c r="A998" s="30">
        <v>1</v>
      </c>
      <c r="B998" s="2" t="s">
        <v>7398</v>
      </c>
      <c r="C998" s="2" t="s">
        <v>7399</v>
      </c>
      <c r="D998" s="2" t="s">
        <v>6406</v>
      </c>
      <c r="E998" s="5">
        <v>12</v>
      </c>
      <c r="F998" s="2" t="s">
        <v>1910</v>
      </c>
      <c r="G998" s="2" t="s">
        <v>7403</v>
      </c>
      <c r="H998" s="2" t="s">
        <v>978</v>
      </c>
      <c r="I998" s="4">
        <v>117</v>
      </c>
      <c r="J998" s="4">
        <v>1600</v>
      </c>
      <c r="L998" s="31">
        <v>74</v>
      </c>
      <c r="M998" s="32">
        <v>23.2</v>
      </c>
      <c r="N998" s="33">
        <v>1.6</v>
      </c>
    </row>
    <row r="999" spans="1:14" x14ac:dyDescent="0.25">
      <c r="A999" s="30">
        <v>1</v>
      </c>
      <c r="B999" s="2" t="s">
        <v>7398</v>
      </c>
      <c r="C999" s="2" t="s">
        <v>7399</v>
      </c>
      <c r="D999" s="2" t="s">
        <v>6407</v>
      </c>
      <c r="E999" s="5">
        <v>12</v>
      </c>
      <c r="F999" s="2" t="s">
        <v>1881</v>
      </c>
      <c r="G999" s="2" t="s">
        <v>7403</v>
      </c>
      <c r="H999" s="2" t="s">
        <v>979</v>
      </c>
      <c r="I999" s="4">
        <v>397</v>
      </c>
      <c r="J999" s="4">
        <v>1000</v>
      </c>
      <c r="L999" s="31">
        <v>76.28</v>
      </c>
      <c r="M999" s="32">
        <v>18.3</v>
      </c>
      <c r="N999" s="33">
        <v>5.2</v>
      </c>
    </row>
    <row r="1000" spans="1:14" x14ac:dyDescent="0.25">
      <c r="A1000" s="30">
        <v>1</v>
      </c>
      <c r="B1000" s="2" t="s">
        <v>7398</v>
      </c>
      <c r="C1000" s="2" t="s">
        <v>7399</v>
      </c>
      <c r="D1000" s="2" t="s">
        <v>6408</v>
      </c>
      <c r="E1000" s="5">
        <v>12</v>
      </c>
      <c r="F1000" s="2" t="s">
        <v>1903</v>
      </c>
      <c r="G1000" s="2" t="s">
        <v>7403</v>
      </c>
      <c r="H1000" s="2" t="s">
        <v>980</v>
      </c>
      <c r="I1000" s="4">
        <v>4321</v>
      </c>
      <c r="J1000" s="4">
        <v>0</v>
      </c>
      <c r="L1000" s="31">
        <v>312.85000000000002</v>
      </c>
      <c r="M1000" s="32">
        <v>13.8</v>
      </c>
      <c r="N1000" s="33">
        <v>13.8</v>
      </c>
    </row>
    <row r="1001" spans="1:14" x14ac:dyDescent="0.25">
      <c r="A1001" s="30">
        <v>1</v>
      </c>
      <c r="B1001" s="2" t="s">
        <v>7398</v>
      </c>
      <c r="C1001" s="2" t="s">
        <v>7399</v>
      </c>
      <c r="D1001" s="2" t="s">
        <v>6409</v>
      </c>
      <c r="E1001" s="5">
        <v>12</v>
      </c>
      <c r="F1001" s="2" t="s">
        <v>1869</v>
      </c>
      <c r="G1001" s="2" t="s">
        <v>7403</v>
      </c>
      <c r="H1001" s="2" t="s">
        <v>981</v>
      </c>
      <c r="I1001" s="4">
        <v>5354</v>
      </c>
      <c r="J1001" s="4">
        <v>0</v>
      </c>
      <c r="L1001" s="31">
        <v>197.71</v>
      </c>
      <c r="M1001" s="32">
        <v>27.1</v>
      </c>
      <c r="N1001" s="33">
        <v>27.1</v>
      </c>
    </row>
    <row r="1002" spans="1:14" x14ac:dyDescent="0.25">
      <c r="A1002" s="30">
        <v>1</v>
      </c>
      <c r="B1002" s="2" t="s">
        <v>7398</v>
      </c>
      <c r="C1002" s="2" t="s">
        <v>7399</v>
      </c>
      <c r="D1002" s="2" t="s">
        <v>6410</v>
      </c>
      <c r="E1002" s="5">
        <v>12</v>
      </c>
      <c r="F1002" s="2" t="s">
        <v>1910</v>
      </c>
      <c r="G1002" s="2" t="s">
        <v>7403</v>
      </c>
      <c r="H1002" s="2" t="s">
        <v>982</v>
      </c>
      <c r="I1002" s="4">
        <v>37</v>
      </c>
      <c r="J1002" s="4">
        <v>1000</v>
      </c>
      <c r="L1002" s="31">
        <v>38.28</v>
      </c>
      <c r="M1002" s="32">
        <v>27.1</v>
      </c>
      <c r="N1002" s="33">
        <v>1</v>
      </c>
    </row>
    <row r="1003" spans="1:14" x14ac:dyDescent="0.25">
      <c r="A1003" s="30">
        <v>1</v>
      </c>
      <c r="B1003" s="2" t="s">
        <v>7398</v>
      </c>
      <c r="C1003" s="2" t="s">
        <v>7399</v>
      </c>
      <c r="D1003" s="2" t="s">
        <v>6411</v>
      </c>
      <c r="E1003" s="5">
        <v>12</v>
      </c>
      <c r="F1003" s="2" t="s">
        <v>1927</v>
      </c>
      <c r="G1003" s="2" t="s">
        <v>7401</v>
      </c>
      <c r="H1003" s="2" t="s">
        <v>983</v>
      </c>
      <c r="I1003" s="4">
        <v>6595</v>
      </c>
      <c r="J1003" s="4">
        <v>9900</v>
      </c>
      <c r="L1003" s="31">
        <v>247</v>
      </c>
      <c r="M1003" s="32">
        <v>66.8</v>
      </c>
      <c r="N1003" s="33">
        <v>26.7</v>
      </c>
    </row>
    <row r="1004" spans="1:14" x14ac:dyDescent="0.25">
      <c r="A1004" s="30">
        <v>1</v>
      </c>
      <c r="B1004" s="2" t="s">
        <v>7398</v>
      </c>
      <c r="C1004" s="2" t="s">
        <v>7399</v>
      </c>
      <c r="D1004" s="2" t="s">
        <v>6412</v>
      </c>
      <c r="E1004" s="5">
        <v>12</v>
      </c>
      <c r="F1004" s="2" t="s">
        <v>1927</v>
      </c>
      <c r="G1004" s="2" t="s">
        <v>7401</v>
      </c>
      <c r="H1004" s="2" t="s">
        <v>984</v>
      </c>
      <c r="I1004" s="4">
        <v>875</v>
      </c>
      <c r="J1004" s="4">
        <v>3300</v>
      </c>
      <c r="L1004" s="31">
        <v>79.569999999999993</v>
      </c>
      <c r="M1004" s="32">
        <v>52.5</v>
      </c>
      <c r="N1004" s="33">
        <v>11</v>
      </c>
    </row>
    <row r="1005" spans="1:14" x14ac:dyDescent="0.25">
      <c r="A1005" s="30">
        <v>1</v>
      </c>
      <c r="B1005" s="2" t="s">
        <v>7398</v>
      </c>
      <c r="C1005" s="2" t="s">
        <v>7399</v>
      </c>
      <c r="D1005" s="2" t="s">
        <v>6413</v>
      </c>
      <c r="E1005" s="5">
        <v>12</v>
      </c>
      <c r="F1005" s="2" t="s">
        <v>1881</v>
      </c>
      <c r="G1005" s="2" t="s">
        <v>7401</v>
      </c>
      <c r="H1005" s="2" t="s">
        <v>985</v>
      </c>
      <c r="I1005" s="4">
        <v>159</v>
      </c>
      <c r="J1005" s="4">
        <v>300</v>
      </c>
      <c r="L1005" s="31">
        <v>7.28</v>
      </c>
      <c r="M1005" s="32">
        <v>63</v>
      </c>
      <c r="N1005" s="33">
        <v>21.8</v>
      </c>
    </row>
    <row r="1006" spans="1:14" x14ac:dyDescent="0.25">
      <c r="A1006" s="30">
        <v>1</v>
      </c>
      <c r="B1006" s="2" t="s">
        <v>7398</v>
      </c>
      <c r="C1006" s="2" t="s">
        <v>7399</v>
      </c>
      <c r="D1006" s="2" t="s">
        <v>6414</v>
      </c>
      <c r="E1006" s="5">
        <v>12</v>
      </c>
      <c r="F1006" s="2" t="s">
        <v>1873</v>
      </c>
      <c r="G1006" s="2" t="s">
        <v>7403</v>
      </c>
      <c r="H1006" s="2" t="s">
        <v>986</v>
      </c>
      <c r="I1006" s="4">
        <v>286</v>
      </c>
      <c r="J1006" s="4">
        <v>2380</v>
      </c>
      <c r="L1006" s="31">
        <v>127.85</v>
      </c>
      <c r="M1006" s="32">
        <v>20.9</v>
      </c>
      <c r="N1006" s="33">
        <v>2.2000000000000002</v>
      </c>
    </row>
    <row r="1007" spans="1:14" x14ac:dyDescent="0.25">
      <c r="A1007" s="30">
        <v>1</v>
      </c>
      <c r="B1007" s="2" t="s">
        <v>7398</v>
      </c>
      <c r="C1007" s="2" t="s">
        <v>7399</v>
      </c>
      <c r="D1007" s="2" t="s">
        <v>6415</v>
      </c>
      <c r="E1007" s="5">
        <v>24</v>
      </c>
      <c r="F1007" s="2" t="s">
        <v>1882</v>
      </c>
      <c r="G1007" s="2" t="s">
        <v>7401</v>
      </c>
      <c r="H1007" s="2" t="s">
        <v>987</v>
      </c>
      <c r="I1007" s="4">
        <v>74</v>
      </c>
      <c r="J1007" s="4">
        <v>80</v>
      </c>
      <c r="L1007" s="31">
        <v>10</v>
      </c>
      <c r="M1007" s="32">
        <v>15.4</v>
      </c>
      <c r="N1007" s="33">
        <v>7.4</v>
      </c>
    </row>
    <row r="1008" spans="1:14" x14ac:dyDescent="0.25">
      <c r="A1008" s="30">
        <v>1</v>
      </c>
      <c r="B1008" s="2" t="s">
        <v>7398</v>
      </c>
      <c r="C1008" s="2" t="s">
        <v>7399</v>
      </c>
      <c r="D1008" s="2" t="s">
        <v>6416</v>
      </c>
      <c r="E1008" s="5">
        <v>12</v>
      </c>
      <c r="F1008" s="2" t="s">
        <v>1976</v>
      </c>
      <c r="G1008" s="2" t="s">
        <v>7403</v>
      </c>
      <c r="H1008" s="2" t="s">
        <v>988</v>
      </c>
      <c r="I1008" s="4">
        <v>1314</v>
      </c>
      <c r="J1008" s="4">
        <v>0</v>
      </c>
      <c r="L1008" s="31">
        <v>9.42</v>
      </c>
      <c r="M1008" s="32">
        <v>139.5</v>
      </c>
      <c r="N1008" s="33">
        <v>139.5</v>
      </c>
    </row>
    <row r="1009" spans="1:14" x14ac:dyDescent="0.25">
      <c r="A1009" s="30">
        <v>1</v>
      </c>
      <c r="B1009" s="2" t="s">
        <v>7398</v>
      </c>
      <c r="C1009" s="2" t="s">
        <v>7399</v>
      </c>
      <c r="D1009" s="2" t="s">
        <v>6417</v>
      </c>
      <c r="E1009" s="5">
        <v>48</v>
      </c>
      <c r="F1009" s="2" t="s">
        <v>1866</v>
      </c>
      <c r="G1009" s="2" t="s">
        <v>7401</v>
      </c>
      <c r="H1009" s="2" t="s">
        <v>989</v>
      </c>
      <c r="I1009" s="4">
        <v>62</v>
      </c>
      <c r="J1009" s="4">
        <v>80</v>
      </c>
      <c r="L1009" s="31">
        <v>8.7100000000000009</v>
      </c>
      <c r="M1009" s="32">
        <v>16.3</v>
      </c>
      <c r="N1009" s="33">
        <v>7.1</v>
      </c>
    </row>
    <row r="1010" spans="1:14" x14ac:dyDescent="0.25">
      <c r="A1010" s="30">
        <v>1</v>
      </c>
      <c r="B1010" s="2" t="s">
        <v>7398</v>
      </c>
      <c r="C1010" s="2" t="s">
        <v>7399</v>
      </c>
      <c r="D1010" s="2" t="s">
        <v>6418</v>
      </c>
      <c r="E1010" s="5">
        <v>12</v>
      </c>
      <c r="F1010" s="2" t="s">
        <v>1881</v>
      </c>
      <c r="G1010" s="2" t="s">
        <v>7401</v>
      </c>
      <c r="H1010" s="2" t="s">
        <v>990</v>
      </c>
      <c r="I1010" s="4">
        <v>85</v>
      </c>
      <c r="J1010" s="4">
        <v>200</v>
      </c>
      <c r="L1010" s="31">
        <v>9.42</v>
      </c>
      <c r="M1010" s="32">
        <v>30.3</v>
      </c>
      <c r="N1010" s="33">
        <v>9</v>
      </c>
    </row>
    <row r="1011" spans="1:14" x14ac:dyDescent="0.25">
      <c r="A1011" s="30">
        <v>1</v>
      </c>
      <c r="B1011" s="2" t="s">
        <v>7398</v>
      </c>
      <c r="C1011" s="2" t="s">
        <v>7399</v>
      </c>
      <c r="D1011" s="2" t="s">
        <v>6419</v>
      </c>
      <c r="E1011" s="5">
        <v>24</v>
      </c>
      <c r="F1011" s="2" t="s">
        <v>1882</v>
      </c>
      <c r="G1011" s="2" t="s">
        <v>7401</v>
      </c>
      <c r="H1011" s="2" t="s">
        <v>991</v>
      </c>
      <c r="I1011" s="4">
        <v>278</v>
      </c>
      <c r="J1011" s="4">
        <v>0</v>
      </c>
      <c r="L1011" s="31">
        <v>13.42</v>
      </c>
      <c r="M1011" s="32">
        <v>20.7</v>
      </c>
      <c r="N1011" s="33">
        <v>20.7</v>
      </c>
    </row>
    <row r="1012" spans="1:14" x14ac:dyDescent="0.25">
      <c r="A1012" s="30">
        <v>1</v>
      </c>
      <c r="B1012" s="2" t="s">
        <v>7398</v>
      </c>
      <c r="C1012" s="2" t="s">
        <v>7399</v>
      </c>
      <c r="D1012" s="2" t="s">
        <v>6420</v>
      </c>
      <c r="E1012" s="5">
        <v>12</v>
      </c>
      <c r="F1012" s="2" t="s">
        <v>1874</v>
      </c>
      <c r="G1012" s="2" t="s">
        <v>7403</v>
      </c>
      <c r="H1012" s="2" t="s">
        <v>992</v>
      </c>
      <c r="I1012" s="4">
        <v>378</v>
      </c>
      <c r="J1012" s="4">
        <v>680</v>
      </c>
      <c r="L1012" s="31">
        <v>48.14</v>
      </c>
      <c r="M1012" s="32">
        <v>22</v>
      </c>
      <c r="N1012" s="33">
        <v>7.9</v>
      </c>
    </row>
    <row r="1013" spans="1:14" x14ac:dyDescent="0.25">
      <c r="A1013" s="30">
        <v>1</v>
      </c>
      <c r="B1013" s="2" t="s">
        <v>7398</v>
      </c>
      <c r="C1013" s="2" t="s">
        <v>7399</v>
      </c>
      <c r="D1013" s="2" t="s">
        <v>6421</v>
      </c>
      <c r="E1013" s="5">
        <v>12</v>
      </c>
      <c r="F1013" s="2" t="s">
        <v>1977</v>
      </c>
      <c r="G1013" s="2" t="s">
        <v>7403</v>
      </c>
      <c r="H1013" s="2" t="s">
        <v>993</v>
      </c>
      <c r="I1013" s="4">
        <v>300</v>
      </c>
      <c r="J1013" s="4">
        <v>3587</v>
      </c>
      <c r="L1013" s="31">
        <v>73.14</v>
      </c>
      <c r="M1013" s="32">
        <v>53.1</v>
      </c>
      <c r="N1013" s="33">
        <v>4.0999999999999996</v>
      </c>
    </row>
    <row r="1014" spans="1:14" x14ac:dyDescent="0.25">
      <c r="A1014" s="30">
        <v>1</v>
      </c>
      <c r="B1014" s="2" t="s">
        <v>7398</v>
      </c>
      <c r="C1014" s="2" t="s">
        <v>7399</v>
      </c>
      <c r="D1014" s="2" t="s">
        <v>6422</v>
      </c>
      <c r="E1014" s="5">
        <v>24</v>
      </c>
      <c r="F1014" s="2" t="s">
        <v>1870</v>
      </c>
      <c r="G1014" s="2" t="s">
        <v>7403</v>
      </c>
      <c r="H1014" s="2" t="s">
        <v>994</v>
      </c>
      <c r="I1014" s="4">
        <v>907</v>
      </c>
      <c r="J1014" s="4">
        <v>1341</v>
      </c>
      <c r="L1014" s="31">
        <v>83.28</v>
      </c>
      <c r="M1014" s="32">
        <v>27</v>
      </c>
      <c r="N1014" s="33">
        <v>10.9</v>
      </c>
    </row>
    <row r="1015" spans="1:14" x14ac:dyDescent="0.25">
      <c r="A1015" s="30">
        <v>1</v>
      </c>
      <c r="B1015" s="2" t="s">
        <v>7398</v>
      </c>
      <c r="C1015" s="2" t="s">
        <v>7399</v>
      </c>
      <c r="D1015" s="2" t="s">
        <v>6423</v>
      </c>
      <c r="E1015" s="5">
        <v>24</v>
      </c>
      <c r="F1015" s="2" t="s">
        <v>1902</v>
      </c>
      <c r="G1015" s="2" t="s">
        <v>7403</v>
      </c>
      <c r="H1015" s="2" t="s">
        <v>995</v>
      </c>
      <c r="I1015" s="4">
        <v>450</v>
      </c>
      <c r="J1015" s="4">
        <v>0</v>
      </c>
      <c r="L1015" s="31">
        <v>22.85</v>
      </c>
      <c r="M1015" s="32">
        <v>19.7</v>
      </c>
      <c r="N1015" s="33">
        <v>19.7</v>
      </c>
    </row>
    <row r="1016" spans="1:14" x14ac:dyDescent="0.25">
      <c r="A1016" s="30">
        <v>1</v>
      </c>
      <c r="B1016" s="2" t="s">
        <v>7398</v>
      </c>
      <c r="C1016" s="2" t="s">
        <v>7399</v>
      </c>
      <c r="D1016" s="2" t="s">
        <v>6424</v>
      </c>
      <c r="E1016" s="5">
        <v>24</v>
      </c>
      <c r="F1016" s="2" t="s">
        <v>1902</v>
      </c>
      <c r="G1016" s="2" t="s">
        <v>7403</v>
      </c>
      <c r="H1016" s="2" t="s">
        <v>996</v>
      </c>
      <c r="I1016" s="4">
        <v>980</v>
      </c>
      <c r="J1016" s="4">
        <v>1863</v>
      </c>
      <c r="L1016" s="31">
        <v>141.41999999999999</v>
      </c>
      <c r="M1016" s="32">
        <v>20.100000000000001</v>
      </c>
      <c r="N1016" s="33">
        <v>6.9</v>
      </c>
    </row>
    <row r="1017" spans="1:14" x14ac:dyDescent="0.25">
      <c r="A1017" s="30">
        <v>1</v>
      </c>
      <c r="B1017" s="2" t="s">
        <v>7398</v>
      </c>
      <c r="C1017" s="2" t="s">
        <v>7399</v>
      </c>
      <c r="D1017" s="2" t="s">
        <v>6425</v>
      </c>
      <c r="E1017" s="5">
        <v>24</v>
      </c>
      <c r="F1017" s="2" t="s">
        <v>1849</v>
      </c>
      <c r="G1017" s="2" t="s">
        <v>7400</v>
      </c>
      <c r="H1017" s="2" t="s">
        <v>997</v>
      </c>
      <c r="I1017" s="4">
        <v>764</v>
      </c>
      <c r="J1017" s="4">
        <v>378</v>
      </c>
      <c r="L1017" s="31">
        <v>138.41999999999999</v>
      </c>
      <c r="M1017" s="32">
        <v>8.3000000000000007</v>
      </c>
      <c r="N1017" s="33">
        <v>5.5</v>
      </c>
    </row>
    <row r="1018" spans="1:14" x14ac:dyDescent="0.25">
      <c r="A1018" s="30">
        <v>1</v>
      </c>
      <c r="B1018" s="2" t="s">
        <v>7398</v>
      </c>
      <c r="C1018" s="2" t="s">
        <v>7399</v>
      </c>
      <c r="D1018" s="2" t="s">
        <v>6426</v>
      </c>
      <c r="E1018" s="5">
        <v>36</v>
      </c>
      <c r="F1018" s="2" t="s">
        <v>1978</v>
      </c>
      <c r="G1018" s="2" t="s">
        <v>7410</v>
      </c>
      <c r="H1018" s="2" t="s">
        <v>998</v>
      </c>
      <c r="I1018" s="4">
        <v>2941</v>
      </c>
      <c r="J1018" s="4">
        <v>8000</v>
      </c>
      <c r="L1018" s="31">
        <v>576.57000000000005</v>
      </c>
      <c r="M1018" s="32">
        <v>19</v>
      </c>
      <c r="N1018" s="33">
        <v>5.0999999999999996</v>
      </c>
    </row>
    <row r="1019" spans="1:14" x14ac:dyDescent="0.25">
      <c r="A1019" s="30">
        <v>1</v>
      </c>
      <c r="B1019" s="2" t="s">
        <v>7398</v>
      </c>
      <c r="C1019" s="2" t="s">
        <v>7399</v>
      </c>
      <c r="D1019" s="2" t="s">
        <v>6427</v>
      </c>
      <c r="E1019" s="5">
        <v>12</v>
      </c>
      <c r="F1019" s="2" t="s">
        <v>1910</v>
      </c>
      <c r="G1019" s="2" t="s">
        <v>7400</v>
      </c>
      <c r="H1019" s="2" t="s">
        <v>999</v>
      </c>
      <c r="I1019" s="4">
        <v>1005</v>
      </c>
      <c r="J1019" s="4">
        <v>850</v>
      </c>
      <c r="L1019" s="31">
        <v>206.14</v>
      </c>
      <c r="M1019" s="32">
        <v>9</v>
      </c>
      <c r="N1019" s="33">
        <v>4.9000000000000004</v>
      </c>
    </row>
    <row r="1020" spans="1:14" x14ac:dyDescent="0.25">
      <c r="A1020" s="30">
        <v>1</v>
      </c>
      <c r="B1020" s="2" t="s">
        <v>7398</v>
      </c>
      <c r="C1020" s="2" t="s">
        <v>7399</v>
      </c>
      <c r="D1020" s="2" t="s">
        <v>6428</v>
      </c>
      <c r="E1020" s="5">
        <v>48</v>
      </c>
      <c r="F1020" s="2" t="s">
        <v>1869</v>
      </c>
      <c r="G1020" s="2" t="s">
        <v>7401</v>
      </c>
      <c r="H1020" s="2" t="s">
        <v>1000</v>
      </c>
      <c r="I1020" s="4">
        <v>530</v>
      </c>
      <c r="J1020" s="4">
        <v>52</v>
      </c>
      <c r="L1020" s="31">
        <v>60</v>
      </c>
      <c r="M1020" s="32">
        <v>9.6999999999999993</v>
      </c>
      <c r="N1020" s="33">
        <v>8.8000000000000007</v>
      </c>
    </row>
    <row r="1021" spans="1:14" x14ac:dyDescent="0.25">
      <c r="A1021" s="30">
        <v>1</v>
      </c>
      <c r="B1021" s="2" t="s">
        <v>7398</v>
      </c>
      <c r="C1021" s="2" t="s">
        <v>7399</v>
      </c>
      <c r="D1021" s="2" t="s">
        <v>6429</v>
      </c>
      <c r="E1021" s="5">
        <v>24</v>
      </c>
      <c r="F1021" s="2" t="s">
        <v>1849</v>
      </c>
      <c r="G1021" s="2" t="s">
        <v>7400</v>
      </c>
      <c r="H1021" s="2" t="s">
        <v>1001</v>
      </c>
      <c r="I1021" s="4">
        <v>1761</v>
      </c>
      <c r="J1021" s="4">
        <v>1512</v>
      </c>
      <c r="L1021" s="31">
        <v>384</v>
      </c>
      <c r="M1021" s="32">
        <v>8.5</v>
      </c>
      <c r="N1021" s="33">
        <v>4.5999999999999996</v>
      </c>
    </row>
    <row r="1022" spans="1:14" x14ac:dyDescent="0.25">
      <c r="A1022" s="30">
        <v>1</v>
      </c>
      <c r="B1022" s="2" t="s">
        <v>7398</v>
      </c>
      <c r="C1022" s="2" t="s">
        <v>7399</v>
      </c>
      <c r="D1022" s="2" t="s">
        <v>6430</v>
      </c>
      <c r="E1022" s="5">
        <v>48</v>
      </c>
      <c r="F1022" s="2" t="s">
        <v>1869</v>
      </c>
      <c r="G1022" s="2" t="s">
        <v>7401</v>
      </c>
      <c r="H1022" s="2" t="s">
        <v>1002</v>
      </c>
      <c r="I1022" s="4">
        <v>1307</v>
      </c>
      <c r="J1022" s="4">
        <v>648</v>
      </c>
      <c r="L1022" s="31">
        <v>121.71</v>
      </c>
      <c r="M1022" s="32">
        <v>16.100000000000001</v>
      </c>
      <c r="N1022" s="33">
        <v>10.7</v>
      </c>
    </row>
    <row r="1023" spans="1:14" x14ac:dyDescent="0.25">
      <c r="A1023" s="30">
        <v>1</v>
      </c>
      <c r="B1023" s="2" t="s">
        <v>7398</v>
      </c>
      <c r="C1023" s="2" t="s">
        <v>7399</v>
      </c>
      <c r="D1023" s="2" t="s">
        <v>6431</v>
      </c>
      <c r="E1023" s="5">
        <v>12</v>
      </c>
      <c r="F1023" s="2" t="s">
        <v>1910</v>
      </c>
      <c r="G1023" s="2" t="s">
        <v>7400</v>
      </c>
      <c r="H1023" s="2" t="s">
        <v>1003</v>
      </c>
      <c r="I1023" s="4">
        <v>3551</v>
      </c>
      <c r="J1023" s="4">
        <v>2300</v>
      </c>
      <c r="L1023" s="31">
        <v>703.57</v>
      </c>
      <c r="M1023" s="32">
        <v>8.3000000000000007</v>
      </c>
      <c r="N1023" s="33">
        <v>5</v>
      </c>
    </row>
    <row r="1024" spans="1:14" x14ac:dyDescent="0.25">
      <c r="A1024" s="30">
        <v>1</v>
      </c>
      <c r="B1024" s="2" t="s">
        <v>7398</v>
      </c>
      <c r="C1024" s="2" t="s">
        <v>7399</v>
      </c>
      <c r="D1024" s="2" t="s">
        <v>6432</v>
      </c>
      <c r="E1024" s="5">
        <v>4</v>
      </c>
      <c r="F1024" s="2" t="s">
        <v>1851</v>
      </c>
      <c r="G1024" s="2" t="s">
        <v>7400</v>
      </c>
      <c r="H1024" s="2" t="s">
        <v>1004</v>
      </c>
      <c r="I1024" s="4">
        <v>3885</v>
      </c>
      <c r="J1024" s="4">
        <v>2903</v>
      </c>
      <c r="L1024" s="31">
        <v>647.28</v>
      </c>
      <c r="M1024" s="32">
        <v>10.5</v>
      </c>
      <c r="N1024" s="33">
        <v>6</v>
      </c>
    </row>
    <row r="1025" spans="1:14" x14ac:dyDescent="0.25">
      <c r="A1025" s="30">
        <v>1</v>
      </c>
      <c r="B1025" s="2" t="s">
        <v>7398</v>
      </c>
      <c r="C1025" s="2" t="s">
        <v>7399</v>
      </c>
      <c r="D1025" s="2" t="s">
        <v>6433</v>
      </c>
      <c r="E1025" s="5">
        <v>24</v>
      </c>
      <c r="F1025" s="2" t="s">
        <v>1849</v>
      </c>
      <c r="G1025" s="2" t="s">
        <v>7400</v>
      </c>
      <c r="H1025" s="2" t="s">
        <v>1005</v>
      </c>
      <c r="I1025" s="4">
        <v>256</v>
      </c>
      <c r="J1025" s="4">
        <v>216</v>
      </c>
      <c r="L1025" s="31">
        <v>50.14</v>
      </c>
      <c r="M1025" s="32">
        <v>9.4</v>
      </c>
      <c r="N1025" s="33">
        <v>5.0999999999999996</v>
      </c>
    </row>
    <row r="1026" spans="1:14" x14ac:dyDescent="0.25">
      <c r="A1026" s="30">
        <v>1</v>
      </c>
      <c r="B1026" s="2" t="s">
        <v>7398</v>
      </c>
      <c r="C1026" s="2" t="s">
        <v>7399</v>
      </c>
      <c r="D1026" s="2" t="s">
        <v>6434</v>
      </c>
      <c r="E1026" s="5">
        <v>20</v>
      </c>
      <c r="F1026" s="2" t="s">
        <v>1866</v>
      </c>
      <c r="G1026" s="2" t="s">
        <v>7409</v>
      </c>
      <c r="H1026" s="2" t="s">
        <v>1006</v>
      </c>
      <c r="I1026" s="4">
        <v>0</v>
      </c>
      <c r="J1026" s="4">
        <v>630</v>
      </c>
      <c r="L1026" s="31">
        <v>0</v>
      </c>
      <c r="M1026" s="32">
        <v>0</v>
      </c>
      <c r="N1026" s="33">
        <v>9999</v>
      </c>
    </row>
    <row r="1027" spans="1:14" x14ac:dyDescent="0.25">
      <c r="A1027" s="30">
        <v>1</v>
      </c>
      <c r="B1027" s="2" t="s">
        <v>7398</v>
      </c>
      <c r="C1027" s="2" t="s">
        <v>7399</v>
      </c>
      <c r="D1027" s="2" t="s">
        <v>6435</v>
      </c>
      <c r="E1027" s="5">
        <v>6</v>
      </c>
      <c r="F1027" s="2" t="s">
        <v>1869</v>
      </c>
      <c r="G1027" s="2" t="s">
        <v>7410</v>
      </c>
      <c r="H1027" s="2" t="s">
        <v>1007</v>
      </c>
      <c r="I1027" s="4">
        <v>5099</v>
      </c>
      <c r="J1027" s="4">
        <v>0</v>
      </c>
      <c r="L1027" s="31">
        <v>452.71</v>
      </c>
      <c r="M1027" s="32">
        <v>11.3</v>
      </c>
      <c r="N1027" s="33">
        <v>11.3</v>
      </c>
    </row>
    <row r="1028" spans="1:14" x14ac:dyDescent="0.25">
      <c r="A1028" s="30">
        <v>1</v>
      </c>
      <c r="B1028" s="2" t="s">
        <v>7398</v>
      </c>
      <c r="C1028" s="2" t="s">
        <v>7399</v>
      </c>
      <c r="D1028" s="2" t="s">
        <v>6436</v>
      </c>
      <c r="E1028" s="5">
        <v>48</v>
      </c>
      <c r="F1028" s="2" t="s">
        <v>1869</v>
      </c>
      <c r="G1028" s="2" t="s">
        <v>7401</v>
      </c>
      <c r="H1028" s="2" t="s">
        <v>1008</v>
      </c>
      <c r="I1028" s="4">
        <v>1413</v>
      </c>
      <c r="J1028" s="4">
        <v>1701</v>
      </c>
      <c r="L1028" s="31">
        <v>239.85</v>
      </c>
      <c r="M1028" s="32">
        <v>13</v>
      </c>
      <c r="N1028" s="33">
        <v>5.9</v>
      </c>
    </row>
    <row r="1029" spans="1:14" x14ac:dyDescent="0.25">
      <c r="A1029" s="30">
        <v>1</v>
      </c>
      <c r="B1029" s="2" t="s">
        <v>7398</v>
      </c>
      <c r="C1029" s="2" t="s">
        <v>7399</v>
      </c>
      <c r="D1029" s="2" t="s">
        <v>6437</v>
      </c>
      <c r="E1029" s="5">
        <v>6</v>
      </c>
      <c r="F1029" s="2" t="s">
        <v>1845</v>
      </c>
      <c r="G1029" s="2" t="s">
        <v>7401</v>
      </c>
      <c r="H1029" s="2" t="s">
        <v>1009</v>
      </c>
      <c r="I1029" s="4">
        <v>3023</v>
      </c>
      <c r="J1029" s="4">
        <v>4500</v>
      </c>
      <c r="L1029" s="31">
        <v>512.85</v>
      </c>
      <c r="M1029" s="32">
        <v>14.7</v>
      </c>
      <c r="N1029" s="33">
        <v>5.9</v>
      </c>
    </row>
    <row r="1030" spans="1:14" x14ac:dyDescent="0.25">
      <c r="A1030" s="30">
        <v>1</v>
      </c>
      <c r="B1030" s="2" t="s">
        <v>7398</v>
      </c>
      <c r="C1030" s="2" t="s">
        <v>7399</v>
      </c>
      <c r="D1030" s="2" t="s">
        <v>6438</v>
      </c>
      <c r="E1030" s="5">
        <v>12</v>
      </c>
      <c r="F1030" s="2" t="s">
        <v>1979</v>
      </c>
      <c r="G1030" s="2" t="s">
        <v>7410</v>
      </c>
      <c r="H1030" s="2" t="s">
        <v>1010</v>
      </c>
      <c r="I1030" s="4">
        <v>0</v>
      </c>
      <c r="J1030" s="4">
        <v>1600</v>
      </c>
      <c r="L1030" s="31">
        <v>0</v>
      </c>
      <c r="M1030" s="32">
        <v>0</v>
      </c>
      <c r="N1030" s="33">
        <v>9999</v>
      </c>
    </row>
    <row r="1031" spans="1:14" x14ac:dyDescent="0.25">
      <c r="A1031" s="30">
        <v>1</v>
      </c>
      <c r="B1031" s="2" t="s">
        <v>7398</v>
      </c>
      <c r="C1031" s="2" t="s">
        <v>7399</v>
      </c>
      <c r="D1031" s="2" t="s">
        <v>6439</v>
      </c>
      <c r="E1031" s="5">
        <v>20</v>
      </c>
      <c r="F1031" s="2" t="s">
        <v>1849</v>
      </c>
      <c r="G1031" s="2" t="s">
        <v>7409</v>
      </c>
      <c r="H1031" s="2" t="s">
        <v>1011</v>
      </c>
      <c r="I1031" s="4">
        <v>194</v>
      </c>
      <c r="J1031" s="4">
        <v>96</v>
      </c>
      <c r="L1031" s="31">
        <v>18.57</v>
      </c>
      <c r="M1031" s="32">
        <v>15.6</v>
      </c>
      <c r="N1031" s="33">
        <v>10.4</v>
      </c>
    </row>
    <row r="1032" spans="1:14" x14ac:dyDescent="0.25">
      <c r="A1032" s="30">
        <v>1</v>
      </c>
      <c r="B1032" s="2" t="s">
        <v>7398</v>
      </c>
      <c r="C1032" s="2" t="s">
        <v>7399</v>
      </c>
      <c r="D1032" s="2" t="s">
        <v>6440</v>
      </c>
      <c r="E1032" s="5">
        <v>12</v>
      </c>
      <c r="F1032" s="2" t="s">
        <v>1877</v>
      </c>
      <c r="G1032" s="2" t="s">
        <v>7401</v>
      </c>
      <c r="H1032" s="2" t="s">
        <v>1012</v>
      </c>
      <c r="I1032" s="4">
        <v>1551</v>
      </c>
      <c r="J1032" s="4">
        <v>240</v>
      </c>
      <c r="L1032" s="31">
        <v>98.57</v>
      </c>
      <c r="M1032" s="32">
        <v>18.2</v>
      </c>
      <c r="N1032" s="33">
        <v>15.7</v>
      </c>
    </row>
    <row r="1033" spans="1:14" x14ac:dyDescent="0.25">
      <c r="A1033" s="30">
        <v>1</v>
      </c>
      <c r="B1033" s="2" t="s">
        <v>7398</v>
      </c>
      <c r="C1033" s="2" t="s">
        <v>7399</v>
      </c>
      <c r="D1033" s="2" t="s">
        <v>6441</v>
      </c>
      <c r="E1033" s="5">
        <v>20</v>
      </c>
      <c r="F1033" s="2" t="s">
        <v>1866</v>
      </c>
      <c r="G1033" s="2" t="s">
        <v>7416</v>
      </c>
      <c r="H1033" s="2" t="s">
        <v>1013</v>
      </c>
      <c r="I1033" s="4">
        <v>137</v>
      </c>
      <c r="J1033" s="4">
        <v>1980</v>
      </c>
      <c r="L1033" s="31">
        <v>19.57</v>
      </c>
      <c r="M1033" s="32">
        <v>108.2</v>
      </c>
      <c r="N1033" s="33">
        <v>7</v>
      </c>
    </row>
    <row r="1034" spans="1:14" x14ac:dyDescent="0.25">
      <c r="A1034" s="30">
        <v>1</v>
      </c>
      <c r="B1034" s="2" t="s">
        <v>7398</v>
      </c>
      <c r="C1034" s="2" t="s">
        <v>7399</v>
      </c>
      <c r="D1034" s="2" t="s">
        <v>6442</v>
      </c>
      <c r="E1034" s="5">
        <v>20</v>
      </c>
      <c r="F1034" s="2" t="s">
        <v>1866</v>
      </c>
      <c r="G1034" s="2" t="s">
        <v>7416</v>
      </c>
      <c r="H1034" s="2" t="s">
        <v>1014</v>
      </c>
      <c r="I1034" s="4">
        <v>85</v>
      </c>
      <c r="J1034" s="4">
        <v>720</v>
      </c>
      <c r="L1034" s="31">
        <v>10.57</v>
      </c>
      <c r="M1034" s="32">
        <v>76.2</v>
      </c>
      <c r="N1034" s="33">
        <v>8</v>
      </c>
    </row>
    <row r="1035" spans="1:14" x14ac:dyDescent="0.25">
      <c r="A1035" s="30">
        <v>1</v>
      </c>
      <c r="B1035" s="2" t="s">
        <v>7398</v>
      </c>
      <c r="C1035" s="2" t="s">
        <v>7399</v>
      </c>
      <c r="D1035" s="2" t="s">
        <v>6443</v>
      </c>
      <c r="E1035" s="5">
        <v>20</v>
      </c>
      <c r="F1035" s="2" t="s">
        <v>1866</v>
      </c>
      <c r="G1035" s="2" t="s">
        <v>7416</v>
      </c>
      <c r="H1035" s="2" t="s">
        <v>1015</v>
      </c>
      <c r="I1035" s="4">
        <v>620</v>
      </c>
      <c r="J1035" s="4">
        <v>6434</v>
      </c>
      <c r="L1035" s="31">
        <v>120.85</v>
      </c>
      <c r="M1035" s="32">
        <v>58.4</v>
      </c>
      <c r="N1035" s="33">
        <v>5.0999999999999996</v>
      </c>
    </row>
    <row r="1036" spans="1:14" x14ac:dyDescent="0.25">
      <c r="A1036" s="30">
        <v>1</v>
      </c>
      <c r="B1036" s="2" t="s">
        <v>7398</v>
      </c>
      <c r="C1036" s="2" t="s">
        <v>7399</v>
      </c>
      <c r="D1036" s="2" t="s">
        <v>6444</v>
      </c>
      <c r="E1036" s="5">
        <v>20</v>
      </c>
      <c r="F1036" s="2" t="s">
        <v>1849</v>
      </c>
      <c r="G1036" s="2" t="s">
        <v>7409</v>
      </c>
      <c r="H1036" s="2" t="s">
        <v>1016</v>
      </c>
      <c r="I1036" s="4">
        <v>53</v>
      </c>
      <c r="J1036" s="4">
        <v>180</v>
      </c>
      <c r="L1036" s="31">
        <v>11.71</v>
      </c>
      <c r="M1036" s="32">
        <v>19.899999999999999</v>
      </c>
      <c r="N1036" s="33">
        <v>4.5</v>
      </c>
    </row>
    <row r="1037" spans="1:14" x14ac:dyDescent="0.25">
      <c r="A1037" s="30">
        <v>1</v>
      </c>
      <c r="B1037" s="2" t="s">
        <v>7398</v>
      </c>
      <c r="C1037" s="2" t="s">
        <v>7399</v>
      </c>
      <c r="D1037" s="2" t="s">
        <v>6445</v>
      </c>
      <c r="E1037" s="5">
        <v>20</v>
      </c>
      <c r="F1037" s="2" t="s">
        <v>1849</v>
      </c>
      <c r="G1037" s="2" t="s">
        <v>7409</v>
      </c>
      <c r="H1037" s="2" t="s">
        <v>1017</v>
      </c>
      <c r="I1037" s="4">
        <v>238</v>
      </c>
      <c r="J1037" s="4">
        <v>240</v>
      </c>
      <c r="L1037" s="31">
        <v>16.14</v>
      </c>
      <c r="M1037" s="32">
        <v>29.6</v>
      </c>
      <c r="N1037" s="33">
        <v>14.7</v>
      </c>
    </row>
    <row r="1038" spans="1:14" x14ac:dyDescent="0.25">
      <c r="A1038" s="30">
        <v>1</v>
      </c>
      <c r="B1038" s="2" t="s">
        <v>7398</v>
      </c>
      <c r="C1038" s="2" t="s">
        <v>7399</v>
      </c>
      <c r="D1038" s="2" t="s">
        <v>6446</v>
      </c>
      <c r="E1038" s="5">
        <v>48</v>
      </c>
      <c r="F1038" s="2" t="s">
        <v>1869</v>
      </c>
      <c r="G1038" s="2" t="s">
        <v>7401</v>
      </c>
      <c r="H1038" s="2" t="s">
        <v>1018</v>
      </c>
      <c r="I1038" s="4">
        <v>15410</v>
      </c>
      <c r="J1038" s="4">
        <v>23328</v>
      </c>
      <c r="L1038" s="31">
        <v>4210.57</v>
      </c>
      <c r="M1038" s="32">
        <v>9.1999999999999993</v>
      </c>
      <c r="N1038" s="33">
        <v>3.7</v>
      </c>
    </row>
    <row r="1039" spans="1:14" x14ac:dyDescent="0.25">
      <c r="A1039" s="30">
        <v>1</v>
      </c>
      <c r="B1039" s="2" t="s">
        <v>7398</v>
      </c>
      <c r="C1039" s="2" t="s">
        <v>7399</v>
      </c>
      <c r="D1039" s="2" t="s">
        <v>6447</v>
      </c>
      <c r="E1039" s="5">
        <v>20</v>
      </c>
      <c r="F1039" s="2" t="s">
        <v>1849</v>
      </c>
      <c r="G1039" s="2" t="s">
        <v>7409</v>
      </c>
      <c r="H1039" s="2" t="s">
        <v>1019</v>
      </c>
      <c r="I1039" s="4">
        <v>226</v>
      </c>
      <c r="J1039" s="4">
        <v>760</v>
      </c>
      <c r="L1039" s="31">
        <v>47.14</v>
      </c>
      <c r="M1039" s="32">
        <v>20.9</v>
      </c>
      <c r="N1039" s="33">
        <v>4.8</v>
      </c>
    </row>
    <row r="1040" spans="1:14" x14ac:dyDescent="0.25">
      <c r="A1040" s="30">
        <v>1</v>
      </c>
      <c r="B1040" s="2" t="s">
        <v>7398</v>
      </c>
      <c r="C1040" s="2" t="s">
        <v>7399</v>
      </c>
      <c r="D1040" s="2" t="s">
        <v>6448</v>
      </c>
      <c r="E1040" s="5">
        <v>24</v>
      </c>
      <c r="F1040" s="2" t="s">
        <v>1876</v>
      </c>
      <c r="G1040" s="2" t="s">
        <v>7401</v>
      </c>
      <c r="H1040" s="2" t="s">
        <v>1020</v>
      </c>
      <c r="I1040" s="4">
        <v>817</v>
      </c>
      <c r="J1040" s="4">
        <v>864</v>
      </c>
      <c r="L1040" s="31">
        <v>114.71</v>
      </c>
      <c r="M1040" s="32">
        <v>14.7</v>
      </c>
      <c r="N1040" s="33">
        <v>7.1</v>
      </c>
    </row>
    <row r="1041" spans="1:14" x14ac:dyDescent="0.25">
      <c r="A1041" s="30">
        <v>1</v>
      </c>
      <c r="B1041" s="2" t="s">
        <v>7398</v>
      </c>
      <c r="C1041" s="2" t="s">
        <v>7399</v>
      </c>
      <c r="D1041" s="2" t="s">
        <v>6449</v>
      </c>
      <c r="E1041" s="5">
        <v>20</v>
      </c>
      <c r="F1041" s="2" t="s">
        <v>1849</v>
      </c>
      <c r="G1041" s="2" t="s">
        <v>7409</v>
      </c>
      <c r="H1041" s="2" t="s">
        <v>1021</v>
      </c>
      <c r="I1041" s="4">
        <v>1325</v>
      </c>
      <c r="J1041" s="4">
        <v>2624</v>
      </c>
      <c r="L1041" s="31">
        <v>270.42</v>
      </c>
      <c r="M1041" s="32">
        <v>14.6</v>
      </c>
      <c r="N1041" s="33">
        <v>4.9000000000000004</v>
      </c>
    </row>
    <row r="1042" spans="1:14" x14ac:dyDescent="0.25">
      <c r="A1042" s="30">
        <v>1</v>
      </c>
      <c r="B1042" s="2" t="s">
        <v>7398</v>
      </c>
      <c r="C1042" s="2" t="s">
        <v>7399</v>
      </c>
      <c r="D1042" s="2" t="s">
        <v>6450</v>
      </c>
      <c r="E1042" s="5">
        <v>20</v>
      </c>
      <c r="F1042" s="2" t="s">
        <v>1849</v>
      </c>
      <c r="G1042" s="2" t="s">
        <v>7409</v>
      </c>
      <c r="H1042" s="2" t="s">
        <v>1022</v>
      </c>
      <c r="I1042" s="4">
        <v>11</v>
      </c>
      <c r="J1042" s="4">
        <v>600</v>
      </c>
      <c r="L1042" s="31">
        <v>38.14</v>
      </c>
      <c r="M1042" s="32">
        <v>16</v>
      </c>
      <c r="N1042" s="33">
        <v>0.3</v>
      </c>
    </row>
    <row r="1043" spans="1:14" x14ac:dyDescent="0.25">
      <c r="A1043" s="30">
        <v>1</v>
      </c>
      <c r="B1043" s="2" t="s">
        <v>7398</v>
      </c>
      <c r="C1043" s="2" t="s">
        <v>7399</v>
      </c>
      <c r="D1043" s="2" t="s">
        <v>6451</v>
      </c>
      <c r="E1043" s="5">
        <v>20</v>
      </c>
      <c r="F1043" s="2" t="s">
        <v>1849</v>
      </c>
      <c r="G1043" s="2" t="s">
        <v>7409</v>
      </c>
      <c r="H1043" s="2" t="s">
        <v>1023</v>
      </c>
      <c r="I1043" s="4">
        <v>241</v>
      </c>
      <c r="J1043" s="4">
        <v>280</v>
      </c>
      <c r="L1043" s="31">
        <v>32</v>
      </c>
      <c r="M1043" s="32">
        <v>16.3</v>
      </c>
      <c r="N1043" s="33">
        <v>7.5</v>
      </c>
    </row>
    <row r="1044" spans="1:14" x14ac:dyDescent="0.25">
      <c r="A1044" s="30">
        <v>1</v>
      </c>
      <c r="B1044" s="2" t="s">
        <v>7398</v>
      </c>
      <c r="C1044" s="2" t="s">
        <v>7399</v>
      </c>
      <c r="D1044" s="2" t="s">
        <v>6452</v>
      </c>
      <c r="E1044" s="5">
        <v>20</v>
      </c>
      <c r="F1044" s="2" t="s">
        <v>1849</v>
      </c>
      <c r="G1044" s="2" t="s">
        <v>7409</v>
      </c>
      <c r="H1044" s="2" t="s">
        <v>1024</v>
      </c>
      <c r="I1044" s="4">
        <v>193</v>
      </c>
      <c r="J1044" s="4">
        <v>308</v>
      </c>
      <c r="L1044" s="31">
        <v>29.57</v>
      </c>
      <c r="M1044" s="32">
        <v>16.899999999999999</v>
      </c>
      <c r="N1044" s="33">
        <v>6.5</v>
      </c>
    </row>
    <row r="1045" spans="1:14" x14ac:dyDescent="0.25">
      <c r="A1045" s="30">
        <v>1</v>
      </c>
      <c r="B1045" s="2" t="s">
        <v>7398</v>
      </c>
      <c r="C1045" s="2" t="s">
        <v>7399</v>
      </c>
      <c r="D1045" s="2" t="s">
        <v>6453</v>
      </c>
      <c r="E1045" s="5">
        <v>24</v>
      </c>
      <c r="F1045" s="2" t="s">
        <v>1938</v>
      </c>
      <c r="G1045" s="2" t="s">
        <v>7401</v>
      </c>
      <c r="H1045" s="2" t="s">
        <v>1025</v>
      </c>
      <c r="I1045" s="4">
        <v>304</v>
      </c>
      <c r="J1045" s="4">
        <v>1615</v>
      </c>
      <c r="L1045" s="31">
        <v>103.42</v>
      </c>
      <c r="M1045" s="32">
        <v>18.600000000000001</v>
      </c>
      <c r="N1045" s="33">
        <v>2.9</v>
      </c>
    </row>
    <row r="1046" spans="1:14" x14ac:dyDescent="0.25">
      <c r="A1046" s="30">
        <v>1</v>
      </c>
      <c r="B1046" s="2" t="s">
        <v>7398</v>
      </c>
      <c r="C1046" s="2" t="s">
        <v>7399</v>
      </c>
      <c r="D1046" s="2" t="s">
        <v>6454</v>
      </c>
      <c r="E1046" s="5">
        <v>48</v>
      </c>
      <c r="F1046" s="2" t="s">
        <v>1873</v>
      </c>
      <c r="G1046" s="2" t="s">
        <v>7401</v>
      </c>
      <c r="H1046" s="2" t="s">
        <v>1026</v>
      </c>
      <c r="I1046" s="4">
        <v>1317</v>
      </c>
      <c r="J1046" s="4">
        <v>896</v>
      </c>
      <c r="L1046" s="31">
        <v>325.57</v>
      </c>
      <c r="M1046" s="32">
        <v>6.8</v>
      </c>
      <c r="N1046" s="33">
        <v>4</v>
      </c>
    </row>
    <row r="1047" spans="1:14" x14ac:dyDescent="0.25">
      <c r="A1047" s="30">
        <v>1</v>
      </c>
      <c r="B1047" s="2" t="s">
        <v>7398</v>
      </c>
      <c r="C1047" s="2" t="s">
        <v>7399</v>
      </c>
      <c r="D1047" s="2" t="s">
        <v>6455</v>
      </c>
      <c r="E1047" s="5">
        <v>12</v>
      </c>
      <c r="F1047" s="2" t="s">
        <v>1881</v>
      </c>
      <c r="G1047" s="2" t="s">
        <v>7401</v>
      </c>
      <c r="H1047" s="2" t="s">
        <v>1027</v>
      </c>
      <c r="I1047" s="4">
        <v>882</v>
      </c>
      <c r="J1047" s="4">
        <v>3050</v>
      </c>
      <c r="L1047" s="31">
        <v>670.28</v>
      </c>
      <c r="M1047" s="32">
        <v>5.9</v>
      </c>
      <c r="N1047" s="33">
        <v>1.3</v>
      </c>
    </row>
    <row r="1048" spans="1:14" x14ac:dyDescent="0.25">
      <c r="A1048" s="30">
        <v>1</v>
      </c>
      <c r="B1048" s="2" t="s">
        <v>7398</v>
      </c>
      <c r="C1048" s="2" t="s">
        <v>7399</v>
      </c>
      <c r="D1048" s="2" t="s">
        <v>6456</v>
      </c>
      <c r="E1048" s="5">
        <v>24</v>
      </c>
      <c r="F1048" s="2" t="s">
        <v>1873</v>
      </c>
      <c r="G1048" s="2" t="s">
        <v>7409</v>
      </c>
      <c r="H1048" s="2" t="s">
        <v>1028</v>
      </c>
      <c r="I1048" s="4">
        <v>70</v>
      </c>
      <c r="J1048" s="4">
        <v>936</v>
      </c>
      <c r="L1048" s="31">
        <v>80.569999999999993</v>
      </c>
      <c r="M1048" s="32">
        <v>12.5</v>
      </c>
      <c r="N1048" s="33">
        <v>0.9</v>
      </c>
    </row>
    <row r="1049" spans="1:14" x14ac:dyDescent="0.25">
      <c r="A1049" s="30">
        <v>1</v>
      </c>
      <c r="B1049" s="2" t="s">
        <v>7398</v>
      </c>
      <c r="C1049" s="2" t="s">
        <v>7399</v>
      </c>
      <c r="D1049" s="2" t="s">
        <v>6457</v>
      </c>
      <c r="E1049" s="5">
        <v>20</v>
      </c>
      <c r="F1049" s="2" t="s">
        <v>1866</v>
      </c>
      <c r="G1049" s="2" t="s">
        <v>7409</v>
      </c>
      <c r="H1049" s="2" t="s">
        <v>1029</v>
      </c>
      <c r="I1049" s="4">
        <v>140</v>
      </c>
      <c r="J1049" s="4">
        <v>324</v>
      </c>
      <c r="L1049" s="31">
        <v>31</v>
      </c>
      <c r="M1049" s="32">
        <v>15</v>
      </c>
      <c r="N1049" s="33">
        <v>4.5</v>
      </c>
    </row>
    <row r="1050" spans="1:14" x14ac:dyDescent="0.25">
      <c r="A1050" s="30">
        <v>1</v>
      </c>
      <c r="B1050" s="2" t="s">
        <v>7398</v>
      </c>
      <c r="C1050" s="2" t="s">
        <v>7399</v>
      </c>
      <c r="D1050" s="2" t="s">
        <v>6458</v>
      </c>
      <c r="E1050" s="5">
        <v>12</v>
      </c>
      <c r="F1050" s="2" t="s">
        <v>1874</v>
      </c>
      <c r="G1050" s="2" t="s">
        <v>7409</v>
      </c>
      <c r="H1050" s="2" t="s">
        <v>1030</v>
      </c>
      <c r="I1050" s="4">
        <v>467</v>
      </c>
      <c r="J1050" s="4">
        <v>3744</v>
      </c>
      <c r="L1050" s="31">
        <v>441.14</v>
      </c>
      <c r="M1050" s="32">
        <v>9.5</v>
      </c>
      <c r="N1050" s="33">
        <v>1.1000000000000001</v>
      </c>
    </row>
    <row r="1051" spans="1:14" x14ac:dyDescent="0.25">
      <c r="A1051" s="30">
        <v>1</v>
      </c>
      <c r="B1051" s="2" t="s">
        <v>7398</v>
      </c>
      <c r="C1051" s="2" t="s">
        <v>7399</v>
      </c>
      <c r="D1051" s="2" t="s">
        <v>6459</v>
      </c>
      <c r="E1051" s="5">
        <v>20</v>
      </c>
      <c r="F1051" s="2" t="s">
        <v>1866</v>
      </c>
      <c r="G1051" s="2" t="s">
        <v>7409</v>
      </c>
      <c r="H1051" s="2" t="s">
        <v>1031</v>
      </c>
      <c r="I1051" s="4">
        <v>679</v>
      </c>
      <c r="J1051" s="4">
        <v>324</v>
      </c>
      <c r="L1051" s="31">
        <v>28</v>
      </c>
      <c r="M1051" s="32">
        <v>35.799999999999997</v>
      </c>
      <c r="N1051" s="33">
        <v>24.3</v>
      </c>
    </row>
    <row r="1052" spans="1:14" x14ac:dyDescent="0.25">
      <c r="A1052" s="30">
        <v>1</v>
      </c>
      <c r="B1052" s="2" t="s">
        <v>7398</v>
      </c>
      <c r="C1052" s="2" t="s">
        <v>7399</v>
      </c>
      <c r="D1052" s="2" t="s">
        <v>6460</v>
      </c>
      <c r="E1052" s="5">
        <v>12</v>
      </c>
      <c r="F1052" s="2" t="s">
        <v>1874</v>
      </c>
      <c r="G1052" s="2" t="s">
        <v>7409</v>
      </c>
      <c r="H1052" s="2" t="s">
        <v>1032</v>
      </c>
      <c r="I1052" s="4">
        <v>0</v>
      </c>
      <c r="J1052" s="4">
        <v>2808</v>
      </c>
      <c r="L1052" s="31">
        <v>236.14</v>
      </c>
      <c r="M1052" s="32">
        <v>11.9</v>
      </c>
      <c r="N1052" s="33">
        <v>0</v>
      </c>
    </row>
    <row r="1053" spans="1:14" x14ac:dyDescent="0.25">
      <c r="A1053" s="30">
        <v>1</v>
      </c>
      <c r="B1053" s="2" t="s">
        <v>7398</v>
      </c>
      <c r="C1053" s="2" t="s">
        <v>7399</v>
      </c>
      <c r="D1053" s="2" t="s">
        <v>6461</v>
      </c>
      <c r="E1053" s="5">
        <v>24</v>
      </c>
      <c r="F1053" s="2" t="s">
        <v>1873</v>
      </c>
      <c r="G1053" s="2" t="s">
        <v>7409</v>
      </c>
      <c r="H1053" s="2" t="s">
        <v>1033</v>
      </c>
      <c r="I1053" s="4">
        <v>142</v>
      </c>
      <c r="J1053" s="4">
        <v>390</v>
      </c>
      <c r="L1053" s="31">
        <v>56.85</v>
      </c>
      <c r="M1053" s="32">
        <v>9.4</v>
      </c>
      <c r="N1053" s="33">
        <v>2.5</v>
      </c>
    </row>
    <row r="1054" spans="1:14" x14ac:dyDescent="0.25">
      <c r="A1054" s="30">
        <v>1</v>
      </c>
      <c r="B1054" s="2" t="s">
        <v>7398</v>
      </c>
      <c r="C1054" s="2" t="s">
        <v>7399</v>
      </c>
      <c r="D1054" s="2" t="s">
        <v>6462</v>
      </c>
      <c r="E1054" s="5">
        <v>20</v>
      </c>
      <c r="F1054" s="2" t="s">
        <v>1866</v>
      </c>
      <c r="G1054" s="2" t="s">
        <v>7409</v>
      </c>
      <c r="H1054" s="2" t="s">
        <v>1034</v>
      </c>
      <c r="I1054" s="4">
        <v>175</v>
      </c>
      <c r="J1054" s="4">
        <v>378</v>
      </c>
      <c r="L1054" s="31">
        <v>23.42</v>
      </c>
      <c r="M1054" s="32">
        <v>23.6</v>
      </c>
      <c r="N1054" s="33">
        <v>7.5</v>
      </c>
    </row>
    <row r="1055" spans="1:14" x14ac:dyDescent="0.25">
      <c r="A1055" s="30">
        <v>1</v>
      </c>
      <c r="B1055" s="2" t="s">
        <v>7398</v>
      </c>
      <c r="C1055" s="2" t="s">
        <v>7399</v>
      </c>
      <c r="D1055" s="2" t="s">
        <v>6463</v>
      </c>
      <c r="E1055" s="5">
        <v>20</v>
      </c>
      <c r="F1055" s="2" t="s">
        <v>1866</v>
      </c>
      <c r="G1055" s="2" t="s">
        <v>7409</v>
      </c>
      <c r="H1055" s="2" t="s">
        <v>1035</v>
      </c>
      <c r="I1055" s="4">
        <v>15</v>
      </c>
      <c r="J1055" s="4">
        <v>162</v>
      </c>
      <c r="L1055" s="31">
        <v>1.1399999999999999</v>
      </c>
      <c r="M1055" s="32">
        <v>155.30000000000001</v>
      </c>
      <c r="N1055" s="33">
        <v>13.2</v>
      </c>
    </row>
    <row r="1056" spans="1:14" x14ac:dyDescent="0.25">
      <c r="A1056" s="30">
        <v>1</v>
      </c>
      <c r="B1056" s="2" t="s">
        <v>7398</v>
      </c>
      <c r="C1056" s="2" t="s">
        <v>7399</v>
      </c>
      <c r="D1056" s="2" t="s">
        <v>6464</v>
      </c>
      <c r="E1056" s="5">
        <v>20</v>
      </c>
      <c r="F1056" s="2" t="s">
        <v>1866</v>
      </c>
      <c r="G1056" s="2" t="s">
        <v>7409</v>
      </c>
      <c r="H1056" s="2" t="s">
        <v>1036</v>
      </c>
      <c r="I1056" s="4">
        <v>155</v>
      </c>
      <c r="J1056" s="4">
        <v>108</v>
      </c>
      <c r="L1056" s="31">
        <v>11.28</v>
      </c>
      <c r="M1056" s="32">
        <v>23.3</v>
      </c>
      <c r="N1056" s="33">
        <v>13.7</v>
      </c>
    </row>
    <row r="1057" spans="1:14" x14ac:dyDescent="0.25">
      <c r="A1057" s="30">
        <v>1</v>
      </c>
      <c r="B1057" s="2" t="s">
        <v>7398</v>
      </c>
      <c r="C1057" s="2" t="s">
        <v>7399</v>
      </c>
      <c r="D1057" s="2" t="s">
        <v>6465</v>
      </c>
      <c r="E1057" s="5">
        <v>20</v>
      </c>
      <c r="F1057" s="2" t="s">
        <v>1866</v>
      </c>
      <c r="G1057" s="2" t="s">
        <v>7409</v>
      </c>
      <c r="H1057" s="2" t="s">
        <v>1037</v>
      </c>
      <c r="I1057" s="4">
        <v>642</v>
      </c>
      <c r="J1057" s="4">
        <v>0</v>
      </c>
      <c r="L1057" s="31">
        <v>20.71</v>
      </c>
      <c r="M1057" s="32">
        <v>31</v>
      </c>
      <c r="N1057" s="33">
        <v>31</v>
      </c>
    </row>
    <row r="1058" spans="1:14" x14ac:dyDescent="0.25">
      <c r="A1058" s="30">
        <v>1</v>
      </c>
      <c r="B1058" s="2" t="s">
        <v>7398</v>
      </c>
      <c r="C1058" s="2" t="s">
        <v>7399</v>
      </c>
      <c r="D1058" s="2" t="s">
        <v>6466</v>
      </c>
      <c r="E1058" s="5">
        <v>20</v>
      </c>
      <c r="F1058" s="2" t="s">
        <v>1866</v>
      </c>
      <c r="G1058" s="2" t="s">
        <v>7409</v>
      </c>
      <c r="H1058" s="2" t="s">
        <v>1038</v>
      </c>
      <c r="I1058" s="4">
        <v>103</v>
      </c>
      <c r="J1058" s="4">
        <v>126</v>
      </c>
      <c r="L1058" s="31">
        <v>4.28</v>
      </c>
      <c r="M1058" s="32">
        <v>53.5</v>
      </c>
      <c r="N1058" s="33">
        <v>24.1</v>
      </c>
    </row>
    <row r="1059" spans="1:14" x14ac:dyDescent="0.25">
      <c r="A1059" s="30">
        <v>1</v>
      </c>
      <c r="B1059" s="2" t="s">
        <v>7398</v>
      </c>
      <c r="C1059" s="2" t="s">
        <v>7399</v>
      </c>
      <c r="D1059" s="2" t="s">
        <v>6467</v>
      </c>
      <c r="E1059" s="5">
        <v>20</v>
      </c>
      <c r="F1059" s="2" t="s">
        <v>1866</v>
      </c>
      <c r="G1059" s="2" t="s">
        <v>7409</v>
      </c>
      <c r="H1059" s="2" t="s">
        <v>1039</v>
      </c>
      <c r="I1059" s="4">
        <v>189</v>
      </c>
      <c r="J1059" s="4">
        <v>210</v>
      </c>
      <c r="L1059" s="31">
        <v>21.14</v>
      </c>
      <c r="M1059" s="32">
        <v>18.899999999999999</v>
      </c>
      <c r="N1059" s="33">
        <v>8.9</v>
      </c>
    </row>
    <row r="1060" spans="1:14" x14ac:dyDescent="0.25">
      <c r="A1060" s="30">
        <v>1</v>
      </c>
      <c r="B1060" s="2" t="s">
        <v>7398</v>
      </c>
      <c r="C1060" s="2" t="s">
        <v>7399</v>
      </c>
      <c r="D1060" s="2" t="s">
        <v>6468</v>
      </c>
      <c r="E1060" s="5">
        <v>12</v>
      </c>
      <c r="F1060" s="2" t="s">
        <v>1874</v>
      </c>
      <c r="G1060" s="2" t="s">
        <v>7409</v>
      </c>
      <c r="H1060" s="2" t="s">
        <v>1040</v>
      </c>
      <c r="I1060" s="4">
        <v>0</v>
      </c>
      <c r="J1060" s="4">
        <v>234</v>
      </c>
      <c r="L1060" s="31">
        <v>15.14</v>
      </c>
      <c r="M1060" s="32">
        <v>15.5</v>
      </c>
      <c r="N1060" s="33">
        <v>0</v>
      </c>
    </row>
    <row r="1061" spans="1:14" x14ac:dyDescent="0.25">
      <c r="A1061" s="30">
        <v>1</v>
      </c>
      <c r="B1061" s="2" t="s">
        <v>7398</v>
      </c>
      <c r="C1061" s="2" t="s">
        <v>7399</v>
      </c>
      <c r="D1061" s="2" t="s">
        <v>6469</v>
      </c>
      <c r="E1061" s="5">
        <v>4</v>
      </c>
      <c r="F1061" s="2" t="s">
        <v>1980</v>
      </c>
      <c r="G1061" s="2" t="s">
        <v>7400</v>
      </c>
      <c r="H1061" s="2" t="s">
        <v>1041</v>
      </c>
      <c r="I1061" s="4">
        <v>3029</v>
      </c>
      <c r="J1061" s="4">
        <v>720</v>
      </c>
      <c r="L1061" s="31">
        <v>259.57</v>
      </c>
      <c r="M1061" s="32">
        <v>14.4</v>
      </c>
      <c r="N1061" s="33">
        <v>11.7</v>
      </c>
    </row>
    <row r="1062" spans="1:14" x14ac:dyDescent="0.25">
      <c r="A1062" s="30">
        <v>1</v>
      </c>
      <c r="B1062" s="2" t="s">
        <v>7398</v>
      </c>
      <c r="C1062" s="2" t="s">
        <v>7399</v>
      </c>
      <c r="D1062" s="2" t="s">
        <v>6470</v>
      </c>
      <c r="E1062" s="5">
        <v>24</v>
      </c>
      <c r="F1062" s="2" t="s">
        <v>1874</v>
      </c>
      <c r="G1062" s="2" t="s">
        <v>7400</v>
      </c>
      <c r="H1062" s="2" t="s">
        <v>1042</v>
      </c>
      <c r="I1062" s="4">
        <v>43189</v>
      </c>
      <c r="J1062" s="4">
        <v>28152</v>
      </c>
      <c r="L1062" s="31">
        <v>5408.71</v>
      </c>
      <c r="M1062" s="32">
        <v>13.2</v>
      </c>
      <c r="N1062" s="33">
        <v>8</v>
      </c>
    </row>
    <row r="1063" spans="1:14" x14ac:dyDescent="0.25">
      <c r="A1063" s="30">
        <v>1</v>
      </c>
      <c r="B1063" s="2" t="s">
        <v>7398</v>
      </c>
      <c r="C1063" s="2" t="s">
        <v>7399</v>
      </c>
      <c r="D1063" s="2" t="s">
        <v>6471</v>
      </c>
      <c r="E1063" s="5">
        <v>24</v>
      </c>
      <c r="F1063" s="2" t="s">
        <v>1874</v>
      </c>
      <c r="G1063" s="2" t="s">
        <v>7400</v>
      </c>
      <c r="H1063" s="2" t="s">
        <v>1043</v>
      </c>
      <c r="I1063" s="4">
        <v>149</v>
      </c>
      <c r="J1063" s="4">
        <v>72</v>
      </c>
      <c r="L1063" s="31">
        <v>11</v>
      </c>
      <c r="M1063" s="32">
        <v>20.100000000000001</v>
      </c>
      <c r="N1063" s="33">
        <v>13.5</v>
      </c>
    </row>
    <row r="1064" spans="1:14" x14ac:dyDescent="0.25">
      <c r="A1064" s="30">
        <v>1</v>
      </c>
      <c r="B1064" s="2" t="s">
        <v>7398</v>
      </c>
      <c r="C1064" s="2" t="s">
        <v>7399</v>
      </c>
      <c r="D1064" s="2" t="s">
        <v>6472</v>
      </c>
      <c r="E1064" s="5">
        <v>24</v>
      </c>
      <c r="F1064" s="2" t="s">
        <v>1874</v>
      </c>
      <c r="G1064" s="2" t="s">
        <v>7400</v>
      </c>
      <c r="H1064" s="2" t="s">
        <v>1044</v>
      </c>
      <c r="I1064" s="4">
        <v>249</v>
      </c>
      <c r="J1064" s="4">
        <v>360</v>
      </c>
      <c r="L1064" s="31">
        <v>43.85</v>
      </c>
      <c r="M1064" s="32">
        <v>13.9</v>
      </c>
      <c r="N1064" s="33">
        <v>5.7</v>
      </c>
    </row>
    <row r="1065" spans="1:14" x14ac:dyDescent="0.25">
      <c r="A1065" s="30">
        <v>1</v>
      </c>
      <c r="B1065" s="2" t="s">
        <v>7398</v>
      </c>
      <c r="C1065" s="2" t="s">
        <v>7399</v>
      </c>
      <c r="D1065" s="2" t="s">
        <v>6473</v>
      </c>
      <c r="E1065" s="5">
        <v>24</v>
      </c>
      <c r="F1065" s="2" t="s">
        <v>1874</v>
      </c>
      <c r="G1065" s="2" t="s">
        <v>7400</v>
      </c>
      <c r="H1065" s="2" t="s">
        <v>1045</v>
      </c>
      <c r="I1065" s="4">
        <v>138</v>
      </c>
      <c r="J1065" s="4">
        <v>72</v>
      </c>
      <c r="L1065" s="31">
        <v>2.85</v>
      </c>
      <c r="M1065" s="32">
        <v>73.7</v>
      </c>
      <c r="N1065" s="33">
        <v>48.4</v>
      </c>
    </row>
    <row r="1066" spans="1:14" x14ac:dyDescent="0.25">
      <c r="A1066" s="30">
        <v>1</v>
      </c>
      <c r="B1066" s="2" t="s">
        <v>7398</v>
      </c>
      <c r="C1066" s="2" t="s">
        <v>7399</v>
      </c>
      <c r="D1066" s="2" t="s">
        <v>6474</v>
      </c>
      <c r="E1066" s="5">
        <v>728</v>
      </c>
      <c r="F1066" s="2" t="s">
        <v>1869</v>
      </c>
      <c r="G1066" s="2" t="s">
        <v>7401</v>
      </c>
      <c r="H1066" s="2" t="s">
        <v>1046</v>
      </c>
      <c r="I1066" s="4">
        <v>34</v>
      </c>
      <c r="J1066" s="4">
        <v>0</v>
      </c>
      <c r="L1066" s="31">
        <v>0</v>
      </c>
      <c r="M1066" s="32">
        <v>0</v>
      </c>
      <c r="N1066" s="33">
        <v>9999</v>
      </c>
    </row>
    <row r="1067" spans="1:14" x14ac:dyDescent="0.25">
      <c r="A1067" s="30">
        <v>1</v>
      </c>
      <c r="B1067" s="2" t="s">
        <v>7398</v>
      </c>
      <c r="C1067" s="2" t="s">
        <v>7399</v>
      </c>
      <c r="D1067" s="2" t="s">
        <v>6475</v>
      </c>
      <c r="E1067" s="5">
        <v>6</v>
      </c>
      <c r="F1067" s="2" t="s">
        <v>1905</v>
      </c>
      <c r="G1067" s="2" t="s">
        <v>7420</v>
      </c>
      <c r="H1067" s="2" t="s">
        <v>1047</v>
      </c>
      <c r="I1067" s="4">
        <v>1202</v>
      </c>
      <c r="J1067" s="4">
        <v>4680</v>
      </c>
      <c r="L1067" s="31">
        <v>311.42</v>
      </c>
      <c r="M1067" s="32">
        <v>18.899999999999999</v>
      </c>
      <c r="N1067" s="33">
        <v>3.9</v>
      </c>
    </row>
    <row r="1068" spans="1:14" x14ac:dyDescent="0.25">
      <c r="A1068" s="30">
        <v>1</v>
      </c>
      <c r="B1068" s="2" t="s">
        <v>7398</v>
      </c>
      <c r="C1068" s="2" t="s">
        <v>7399</v>
      </c>
      <c r="D1068" s="2" t="s">
        <v>6476</v>
      </c>
      <c r="E1068" s="5">
        <v>24</v>
      </c>
      <c r="F1068" s="2" t="s">
        <v>1874</v>
      </c>
      <c r="G1068" s="2" t="s">
        <v>7400</v>
      </c>
      <c r="H1068" s="2" t="s">
        <v>1048</v>
      </c>
      <c r="I1068" s="4">
        <v>123</v>
      </c>
      <c r="J1068" s="4">
        <v>216</v>
      </c>
      <c r="L1068" s="31">
        <v>20.14</v>
      </c>
      <c r="M1068" s="32">
        <v>16.8</v>
      </c>
      <c r="N1068" s="33">
        <v>6.1</v>
      </c>
    </row>
    <row r="1069" spans="1:14" x14ac:dyDescent="0.25">
      <c r="A1069" s="30">
        <v>1</v>
      </c>
      <c r="B1069" s="2" t="s">
        <v>7398</v>
      </c>
      <c r="C1069" s="2" t="s">
        <v>7399</v>
      </c>
      <c r="D1069" s="2" t="s">
        <v>6477</v>
      </c>
      <c r="E1069" s="5">
        <v>24</v>
      </c>
      <c r="F1069" s="2" t="s">
        <v>1874</v>
      </c>
      <c r="G1069" s="2" t="s">
        <v>7400</v>
      </c>
      <c r="H1069" s="2" t="s">
        <v>1049</v>
      </c>
      <c r="I1069" s="4">
        <v>459</v>
      </c>
      <c r="J1069" s="4">
        <v>720</v>
      </c>
      <c r="L1069" s="31">
        <v>88.14</v>
      </c>
      <c r="M1069" s="32">
        <v>13.4</v>
      </c>
      <c r="N1069" s="33">
        <v>5.2</v>
      </c>
    </row>
    <row r="1070" spans="1:14" x14ac:dyDescent="0.25">
      <c r="A1070" s="30">
        <v>1</v>
      </c>
      <c r="B1070" s="2" t="s">
        <v>7398</v>
      </c>
      <c r="C1070" s="2" t="s">
        <v>7399</v>
      </c>
      <c r="D1070" s="2" t="s">
        <v>6478</v>
      </c>
      <c r="E1070" s="5">
        <v>24</v>
      </c>
      <c r="F1070" s="2" t="s">
        <v>1874</v>
      </c>
      <c r="G1070" s="2" t="s">
        <v>7400</v>
      </c>
      <c r="H1070" s="2" t="s">
        <v>1050</v>
      </c>
      <c r="I1070" s="4">
        <v>187</v>
      </c>
      <c r="J1070" s="4">
        <v>144</v>
      </c>
      <c r="L1070" s="31">
        <v>22.71</v>
      </c>
      <c r="M1070" s="32">
        <v>14.6</v>
      </c>
      <c r="N1070" s="33">
        <v>8.1999999999999993</v>
      </c>
    </row>
    <row r="1071" spans="1:14" x14ac:dyDescent="0.25">
      <c r="A1071" s="30">
        <v>1</v>
      </c>
      <c r="B1071" s="2" t="s">
        <v>7398</v>
      </c>
      <c r="C1071" s="2" t="s">
        <v>7399</v>
      </c>
      <c r="D1071" s="2" t="s">
        <v>6479</v>
      </c>
      <c r="E1071" s="5">
        <v>24</v>
      </c>
      <c r="F1071" s="2" t="s">
        <v>1874</v>
      </c>
      <c r="G1071" s="2" t="s">
        <v>7400</v>
      </c>
      <c r="H1071" s="2" t="s">
        <v>1051</v>
      </c>
      <c r="I1071" s="4">
        <v>521</v>
      </c>
      <c r="J1071" s="4">
        <v>216</v>
      </c>
      <c r="L1071" s="31">
        <v>45</v>
      </c>
      <c r="M1071" s="32">
        <v>16.399999999999999</v>
      </c>
      <c r="N1071" s="33">
        <v>11.6</v>
      </c>
    </row>
    <row r="1072" spans="1:14" x14ac:dyDescent="0.25">
      <c r="A1072" s="30">
        <v>1</v>
      </c>
      <c r="B1072" s="2" t="s">
        <v>7398</v>
      </c>
      <c r="C1072" s="2" t="s">
        <v>7399</v>
      </c>
      <c r="D1072" s="2" t="s">
        <v>6480</v>
      </c>
      <c r="E1072" s="5">
        <v>6</v>
      </c>
      <c r="F1072" s="2" t="s">
        <v>1881</v>
      </c>
      <c r="G1072" s="2" t="s">
        <v>7400</v>
      </c>
      <c r="H1072" s="2" t="s">
        <v>1052</v>
      </c>
      <c r="I1072" s="4">
        <v>174</v>
      </c>
      <c r="J1072" s="4">
        <v>0</v>
      </c>
      <c r="L1072" s="31">
        <v>6</v>
      </c>
      <c r="M1072" s="32">
        <v>29</v>
      </c>
      <c r="N1072" s="33">
        <v>29</v>
      </c>
    </row>
    <row r="1073" spans="1:14" x14ac:dyDescent="0.25">
      <c r="A1073" s="30">
        <v>1</v>
      </c>
      <c r="B1073" s="2" t="s">
        <v>7398</v>
      </c>
      <c r="C1073" s="2" t="s">
        <v>7399</v>
      </c>
      <c r="D1073" s="2" t="s">
        <v>6481</v>
      </c>
      <c r="E1073" s="5">
        <v>24</v>
      </c>
      <c r="F1073" s="2" t="s">
        <v>1874</v>
      </c>
      <c r="G1073" s="2" t="s">
        <v>7400</v>
      </c>
      <c r="H1073" s="2" t="s">
        <v>1053</v>
      </c>
      <c r="I1073" s="4">
        <v>237</v>
      </c>
      <c r="J1073" s="4">
        <v>72</v>
      </c>
      <c r="L1073" s="31">
        <v>13.14</v>
      </c>
      <c r="M1073" s="32">
        <v>23.5</v>
      </c>
      <c r="N1073" s="33">
        <v>18</v>
      </c>
    </row>
    <row r="1074" spans="1:14" x14ac:dyDescent="0.25">
      <c r="A1074" s="30">
        <v>1</v>
      </c>
      <c r="B1074" s="2" t="s">
        <v>7398</v>
      </c>
      <c r="C1074" s="2" t="s">
        <v>7399</v>
      </c>
      <c r="D1074" s="2" t="s">
        <v>6482</v>
      </c>
      <c r="E1074" s="5">
        <v>4</v>
      </c>
      <c r="F1074" s="2" t="s">
        <v>1914</v>
      </c>
      <c r="G1074" s="2" t="s">
        <v>7400</v>
      </c>
      <c r="H1074" s="2" t="s">
        <v>1054</v>
      </c>
      <c r="I1074" s="4">
        <v>22300</v>
      </c>
      <c r="J1074" s="4">
        <v>2808</v>
      </c>
      <c r="L1074" s="31">
        <v>1522.28</v>
      </c>
      <c r="M1074" s="32">
        <v>16.5</v>
      </c>
      <c r="N1074" s="33">
        <v>14.6</v>
      </c>
    </row>
    <row r="1075" spans="1:14" x14ac:dyDescent="0.25">
      <c r="A1075" s="30">
        <v>1</v>
      </c>
      <c r="B1075" s="2" t="s">
        <v>7398</v>
      </c>
      <c r="C1075" s="2" t="s">
        <v>7399</v>
      </c>
      <c r="D1075" s="2" t="s">
        <v>6483</v>
      </c>
      <c r="E1075" s="5">
        <v>4</v>
      </c>
      <c r="F1075" s="2" t="s">
        <v>1981</v>
      </c>
      <c r="G1075" s="2" t="s">
        <v>7400</v>
      </c>
      <c r="H1075" s="2" t="s">
        <v>1055</v>
      </c>
      <c r="I1075" s="4">
        <v>49411</v>
      </c>
      <c r="J1075" s="4">
        <v>41895</v>
      </c>
      <c r="L1075" s="31">
        <v>6508.85</v>
      </c>
      <c r="M1075" s="32">
        <v>14</v>
      </c>
      <c r="N1075" s="33">
        <v>7.6</v>
      </c>
    </row>
    <row r="1076" spans="1:14" x14ac:dyDescent="0.25">
      <c r="A1076" s="30">
        <v>1</v>
      </c>
      <c r="B1076" s="2" t="s">
        <v>7398</v>
      </c>
      <c r="C1076" s="2" t="s">
        <v>7399</v>
      </c>
      <c r="D1076" s="2" t="s">
        <v>6484</v>
      </c>
      <c r="E1076" s="5">
        <v>24</v>
      </c>
      <c r="F1076" s="2" t="s">
        <v>1874</v>
      </c>
      <c r="G1076" s="2" t="s">
        <v>7400</v>
      </c>
      <c r="H1076" s="2" t="s">
        <v>1056</v>
      </c>
      <c r="I1076" s="4">
        <v>461</v>
      </c>
      <c r="J1076" s="4">
        <v>576</v>
      </c>
      <c r="L1076" s="31">
        <v>91.71</v>
      </c>
      <c r="M1076" s="32">
        <v>11.3</v>
      </c>
      <c r="N1076" s="33">
        <v>5</v>
      </c>
    </row>
    <row r="1077" spans="1:14" x14ac:dyDescent="0.25">
      <c r="A1077" s="30">
        <v>1</v>
      </c>
      <c r="B1077" s="2" t="s">
        <v>7398</v>
      </c>
      <c r="C1077" s="2" t="s">
        <v>7399</v>
      </c>
      <c r="D1077" s="2" t="s">
        <v>6485</v>
      </c>
      <c r="E1077" s="5">
        <v>72</v>
      </c>
      <c r="F1077" s="2" t="s">
        <v>1866</v>
      </c>
      <c r="G1077" s="2" t="s">
        <v>7412</v>
      </c>
      <c r="H1077" s="2" t="s">
        <v>1057</v>
      </c>
      <c r="I1077" s="4">
        <v>139</v>
      </c>
      <c r="J1077" s="4">
        <v>0</v>
      </c>
      <c r="L1077" s="31">
        <v>11.71</v>
      </c>
      <c r="M1077" s="32">
        <v>11.9</v>
      </c>
      <c r="N1077" s="33">
        <v>11.9</v>
      </c>
    </row>
    <row r="1078" spans="1:14" x14ac:dyDescent="0.25">
      <c r="A1078" s="30">
        <v>1</v>
      </c>
      <c r="B1078" s="2" t="s">
        <v>7398</v>
      </c>
      <c r="C1078" s="2" t="s">
        <v>7399</v>
      </c>
      <c r="D1078" s="2" t="s">
        <v>6486</v>
      </c>
      <c r="E1078" s="5">
        <v>24</v>
      </c>
      <c r="F1078" s="2" t="s">
        <v>1874</v>
      </c>
      <c r="G1078" s="2" t="s">
        <v>7400</v>
      </c>
      <c r="H1078" s="2" t="s">
        <v>1058</v>
      </c>
      <c r="I1078" s="4">
        <v>640</v>
      </c>
      <c r="J1078" s="4">
        <v>288</v>
      </c>
      <c r="L1078" s="31">
        <v>68.42</v>
      </c>
      <c r="M1078" s="32">
        <v>13.6</v>
      </c>
      <c r="N1078" s="33">
        <v>9.4</v>
      </c>
    </row>
    <row r="1079" spans="1:14" x14ac:dyDescent="0.25">
      <c r="A1079" s="30">
        <v>1</v>
      </c>
      <c r="B1079" s="2" t="s">
        <v>7398</v>
      </c>
      <c r="C1079" s="2" t="s">
        <v>7399</v>
      </c>
      <c r="D1079" s="2" t="s">
        <v>6487</v>
      </c>
      <c r="E1079" s="5">
        <v>24</v>
      </c>
      <c r="F1079" s="2" t="s">
        <v>1874</v>
      </c>
      <c r="G1079" s="2" t="s">
        <v>7400</v>
      </c>
      <c r="H1079" s="2" t="s">
        <v>1059</v>
      </c>
      <c r="I1079" s="4">
        <v>92</v>
      </c>
      <c r="J1079" s="4">
        <v>72</v>
      </c>
      <c r="L1079" s="31">
        <v>8.2799999999999994</v>
      </c>
      <c r="M1079" s="32">
        <v>19.8</v>
      </c>
      <c r="N1079" s="33">
        <v>11.1</v>
      </c>
    </row>
    <row r="1080" spans="1:14" x14ac:dyDescent="0.25">
      <c r="A1080" s="30">
        <v>1</v>
      </c>
      <c r="B1080" s="2" t="s">
        <v>7398</v>
      </c>
      <c r="C1080" s="2" t="s">
        <v>7399</v>
      </c>
      <c r="D1080" s="2" t="s">
        <v>6488</v>
      </c>
      <c r="E1080" s="5">
        <v>2</v>
      </c>
      <c r="F1080" s="2" t="s">
        <v>1982</v>
      </c>
      <c r="G1080" s="2" t="s">
        <v>7400</v>
      </c>
      <c r="H1080" s="2" t="s">
        <v>1060</v>
      </c>
      <c r="I1080" s="4">
        <v>2774</v>
      </c>
      <c r="J1080" s="4">
        <v>4104</v>
      </c>
      <c r="L1080" s="31">
        <v>512.14</v>
      </c>
      <c r="M1080" s="32">
        <v>13.4</v>
      </c>
      <c r="N1080" s="33">
        <v>5.4</v>
      </c>
    </row>
    <row r="1081" spans="1:14" x14ac:dyDescent="0.25">
      <c r="A1081" s="30">
        <v>1</v>
      </c>
      <c r="B1081" s="2" t="s">
        <v>7398</v>
      </c>
      <c r="C1081" s="2" t="s">
        <v>7399</v>
      </c>
      <c r="D1081" s="2" t="s">
        <v>6489</v>
      </c>
      <c r="E1081" s="5">
        <v>6</v>
      </c>
      <c r="F1081" s="2" t="s">
        <v>1879</v>
      </c>
      <c r="G1081" s="2" t="s">
        <v>7401</v>
      </c>
      <c r="H1081" s="2" t="s">
        <v>2102</v>
      </c>
      <c r="I1081" s="4">
        <v>38</v>
      </c>
      <c r="J1081" s="4">
        <v>0</v>
      </c>
      <c r="L1081" s="31">
        <v>12.57</v>
      </c>
      <c r="M1081" s="32">
        <v>3</v>
      </c>
      <c r="N1081" s="33">
        <v>3</v>
      </c>
    </row>
    <row r="1082" spans="1:14" x14ac:dyDescent="0.25">
      <c r="A1082" s="30">
        <v>1</v>
      </c>
      <c r="B1082" s="2" t="s">
        <v>7398</v>
      </c>
      <c r="C1082" s="2" t="s">
        <v>7399</v>
      </c>
      <c r="D1082" s="2" t="s">
        <v>6490</v>
      </c>
      <c r="E1082" s="5">
        <v>4</v>
      </c>
      <c r="F1082" s="2" t="s">
        <v>1914</v>
      </c>
      <c r="G1082" s="2" t="s">
        <v>7400</v>
      </c>
      <c r="H1082" s="2" t="s">
        <v>1061</v>
      </c>
      <c r="I1082" s="4">
        <v>74</v>
      </c>
      <c r="J1082" s="4">
        <v>324</v>
      </c>
      <c r="L1082" s="31">
        <v>32.57</v>
      </c>
      <c r="M1082" s="32">
        <v>12.2</v>
      </c>
      <c r="N1082" s="33">
        <v>2.2999999999999998</v>
      </c>
    </row>
    <row r="1083" spans="1:14" x14ac:dyDescent="0.25">
      <c r="A1083" s="30">
        <v>1</v>
      </c>
      <c r="B1083" s="2" t="s">
        <v>7398</v>
      </c>
      <c r="C1083" s="2" t="s">
        <v>7399</v>
      </c>
      <c r="D1083" s="2" t="s">
        <v>6491</v>
      </c>
      <c r="E1083" s="5">
        <v>4</v>
      </c>
      <c r="F1083" s="2" t="s">
        <v>1980</v>
      </c>
      <c r="G1083" s="2" t="s">
        <v>7400</v>
      </c>
      <c r="H1083" s="2" t="s">
        <v>1062</v>
      </c>
      <c r="I1083" s="4">
        <v>91</v>
      </c>
      <c r="J1083" s="4">
        <v>72</v>
      </c>
      <c r="L1083" s="31">
        <v>6.42</v>
      </c>
      <c r="M1083" s="32">
        <v>25.4</v>
      </c>
      <c r="N1083" s="33">
        <v>14.2</v>
      </c>
    </row>
    <row r="1084" spans="1:14" x14ac:dyDescent="0.25">
      <c r="A1084" s="30">
        <v>1</v>
      </c>
      <c r="B1084" s="2" t="s">
        <v>7398</v>
      </c>
      <c r="C1084" s="2" t="s">
        <v>7399</v>
      </c>
      <c r="D1084" s="2" t="s">
        <v>6492</v>
      </c>
      <c r="E1084" s="5">
        <v>6</v>
      </c>
      <c r="F1084" s="2" t="s">
        <v>1850</v>
      </c>
      <c r="G1084" s="2" t="s">
        <v>7400</v>
      </c>
      <c r="H1084" s="2" t="s">
        <v>7422</v>
      </c>
      <c r="I1084" s="4">
        <v>148</v>
      </c>
      <c r="J1084" s="4">
        <v>1976</v>
      </c>
      <c r="L1084" s="31">
        <v>130.71</v>
      </c>
      <c r="M1084" s="32">
        <v>16.2</v>
      </c>
      <c r="N1084" s="33">
        <v>1.1000000000000001</v>
      </c>
    </row>
    <row r="1085" spans="1:14" x14ac:dyDescent="0.25">
      <c r="A1085" s="30">
        <v>1</v>
      </c>
      <c r="B1085" s="2" t="s">
        <v>7398</v>
      </c>
      <c r="C1085" s="2" t="s">
        <v>7399</v>
      </c>
      <c r="D1085" s="2" t="s">
        <v>6493</v>
      </c>
      <c r="E1085" s="5">
        <v>24</v>
      </c>
      <c r="F1085" s="2" t="s">
        <v>1874</v>
      </c>
      <c r="G1085" s="2" t="s">
        <v>7400</v>
      </c>
      <c r="H1085" s="2" t="s">
        <v>1063</v>
      </c>
      <c r="I1085" s="4">
        <v>311</v>
      </c>
      <c r="J1085" s="4">
        <v>360</v>
      </c>
      <c r="L1085" s="31">
        <v>51.28</v>
      </c>
      <c r="M1085" s="32">
        <v>13.1</v>
      </c>
      <c r="N1085" s="33">
        <v>6.1</v>
      </c>
    </row>
    <row r="1086" spans="1:14" x14ac:dyDescent="0.25">
      <c r="A1086" s="30">
        <v>1</v>
      </c>
      <c r="B1086" s="2" t="s">
        <v>7398</v>
      </c>
      <c r="C1086" s="2" t="s">
        <v>7399</v>
      </c>
      <c r="D1086" s="2" t="s">
        <v>6494</v>
      </c>
      <c r="E1086" s="5">
        <v>4</v>
      </c>
      <c r="F1086" s="2" t="s">
        <v>1980</v>
      </c>
      <c r="G1086" s="2" t="s">
        <v>7401</v>
      </c>
      <c r="H1086" s="2" t="s">
        <v>1064</v>
      </c>
      <c r="I1086" s="4">
        <v>1839</v>
      </c>
      <c r="J1086" s="4">
        <v>800</v>
      </c>
      <c r="L1086" s="31">
        <v>111.71</v>
      </c>
      <c r="M1086" s="32">
        <v>23.6</v>
      </c>
      <c r="N1086" s="33">
        <v>16.5</v>
      </c>
    </row>
    <row r="1087" spans="1:14" x14ac:dyDescent="0.25">
      <c r="A1087" s="30">
        <v>1</v>
      </c>
      <c r="B1087" s="2" t="s">
        <v>7398</v>
      </c>
      <c r="C1087" s="2" t="s">
        <v>7399</v>
      </c>
      <c r="D1087" s="2" t="s">
        <v>6495</v>
      </c>
      <c r="E1087" s="5">
        <v>4</v>
      </c>
      <c r="F1087" s="2" t="s">
        <v>1980</v>
      </c>
      <c r="G1087" s="2" t="s">
        <v>7401</v>
      </c>
      <c r="H1087" s="2" t="s">
        <v>1065</v>
      </c>
      <c r="I1087" s="4">
        <v>114</v>
      </c>
      <c r="J1087" s="4">
        <v>300</v>
      </c>
      <c r="L1087" s="31">
        <v>12.71</v>
      </c>
      <c r="M1087" s="32">
        <v>32.6</v>
      </c>
      <c r="N1087" s="33">
        <v>9</v>
      </c>
    </row>
    <row r="1088" spans="1:14" x14ac:dyDescent="0.25">
      <c r="A1088" s="30">
        <v>1</v>
      </c>
      <c r="B1088" s="2" t="s">
        <v>7398</v>
      </c>
      <c r="C1088" s="2" t="s">
        <v>7399</v>
      </c>
      <c r="D1088" s="2" t="s">
        <v>6496</v>
      </c>
      <c r="E1088" s="5">
        <v>8</v>
      </c>
      <c r="F1088" s="2" t="s">
        <v>1983</v>
      </c>
      <c r="G1088" s="2" t="s">
        <v>7400</v>
      </c>
      <c r="H1088" s="2" t="s">
        <v>1066</v>
      </c>
      <c r="I1088" s="4">
        <v>652</v>
      </c>
      <c r="J1088" s="4">
        <v>150</v>
      </c>
      <c r="L1088" s="31">
        <v>47.71</v>
      </c>
      <c r="M1088" s="32">
        <v>16.8</v>
      </c>
      <c r="N1088" s="33">
        <v>13.7</v>
      </c>
    </row>
    <row r="1089" spans="1:14" x14ac:dyDescent="0.25">
      <c r="A1089" s="30">
        <v>1</v>
      </c>
      <c r="B1089" s="2" t="s">
        <v>7398</v>
      </c>
      <c r="C1089" s="2" t="s">
        <v>7399</v>
      </c>
      <c r="D1089" s="2" t="s">
        <v>6497</v>
      </c>
      <c r="E1089" s="5">
        <v>8</v>
      </c>
      <c r="F1089" s="2" t="s">
        <v>1983</v>
      </c>
      <c r="G1089" s="2" t="s">
        <v>7400</v>
      </c>
      <c r="H1089" s="2" t="s">
        <v>1067</v>
      </c>
      <c r="I1089" s="4">
        <v>160</v>
      </c>
      <c r="J1089" s="4">
        <v>50</v>
      </c>
      <c r="L1089" s="31">
        <v>15.71</v>
      </c>
      <c r="M1089" s="32">
        <v>13.4</v>
      </c>
      <c r="N1089" s="33">
        <v>10.199999999999999</v>
      </c>
    </row>
    <row r="1090" spans="1:14" x14ac:dyDescent="0.25">
      <c r="A1090" s="30">
        <v>1</v>
      </c>
      <c r="B1090" s="2" t="s">
        <v>7398</v>
      </c>
      <c r="C1090" s="2" t="s">
        <v>7399</v>
      </c>
      <c r="D1090" s="2" t="s">
        <v>6498</v>
      </c>
      <c r="E1090" s="5">
        <v>8</v>
      </c>
      <c r="F1090" s="2" t="s">
        <v>1983</v>
      </c>
      <c r="G1090" s="2" t="s">
        <v>7400</v>
      </c>
      <c r="H1090" s="2" t="s">
        <v>1068</v>
      </c>
      <c r="I1090" s="4">
        <v>236</v>
      </c>
      <c r="J1090" s="4">
        <v>50</v>
      </c>
      <c r="L1090" s="31">
        <v>26.28</v>
      </c>
      <c r="M1090" s="32">
        <v>10.9</v>
      </c>
      <c r="N1090" s="33">
        <v>9</v>
      </c>
    </row>
    <row r="1091" spans="1:14" x14ac:dyDescent="0.25">
      <c r="A1091" s="30">
        <v>1</v>
      </c>
      <c r="B1091" s="2" t="s">
        <v>7398</v>
      </c>
      <c r="C1091" s="2" t="s">
        <v>7399</v>
      </c>
      <c r="D1091" s="2" t="s">
        <v>6499</v>
      </c>
      <c r="E1091" s="5">
        <v>8</v>
      </c>
      <c r="F1091" s="2" t="s">
        <v>1983</v>
      </c>
      <c r="G1091" s="2" t="s">
        <v>7400</v>
      </c>
      <c r="H1091" s="2" t="s">
        <v>1069</v>
      </c>
      <c r="I1091" s="4">
        <v>67</v>
      </c>
      <c r="J1091" s="4">
        <v>150</v>
      </c>
      <c r="L1091" s="31">
        <v>8.14</v>
      </c>
      <c r="M1091" s="32">
        <v>26.7</v>
      </c>
      <c r="N1091" s="33">
        <v>8.1999999999999993</v>
      </c>
    </row>
    <row r="1092" spans="1:14" x14ac:dyDescent="0.25">
      <c r="A1092" s="30">
        <v>1</v>
      </c>
      <c r="B1092" s="2" t="s">
        <v>7398</v>
      </c>
      <c r="C1092" s="2" t="s">
        <v>7399</v>
      </c>
      <c r="D1092" s="2" t="s">
        <v>6500</v>
      </c>
      <c r="E1092" s="5">
        <v>8</v>
      </c>
      <c r="F1092" s="2" t="s">
        <v>1983</v>
      </c>
      <c r="G1092" s="2" t="s">
        <v>7400</v>
      </c>
      <c r="H1092" s="2" t="s">
        <v>1070</v>
      </c>
      <c r="I1092" s="4">
        <v>246</v>
      </c>
      <c r="J1092" s="4">
        <v>150</v>
      </c>
      <c r="L1092" s="31">
        <v>8.2799999999999994</v>
      </c>
      <c r="M1092" s="32">
        <v>47.8</v>
      </c>
      <c r="N1092" s="33">
        <v>29.7</v>
      </c>
    </row>
    <row r="1093" spans="1:14" x14ac:dyDescent="0.25">
      <c r="A1093" s="30">
        <v>1</v>
      </c>
      <c r="B1093" s="2" t="s">
        <v>7398</v>
      </c>
      <c r="C1093" s="2" t="s">
        <v>7399</v>
      </c>
      <c r="D1093" s="2" t="s">
        <v>6501</v>
      </c>
      <c r="E1093" s="5">
        <v>8</v>
      </c>
      <c r="F1093" s="2" t="s">
        <v>1983</v>
      </c>
      <c r="G1093" s="2" t="s">
        <v>7400</v>
      </c>
      <c r="H1093" s="2" t="s">
        <v>1071</v>
      </c>
      <c r="I1093" s="4">
        <v>46</v>
      </c>
      <c r="J1093" s="4">
        <v>50</v>
      </c>
      <c r="L1093" s="31">
        <v>9.42</v>
      </c>
      <c r="M1093" s="32">
        <v>10.199999999999999</v>
      </c>
      <c r="N1093" s="33">
        <v>4.9000000000000004</v>
      </c>
    </row>
    <row r="1094" spans="1:14" x14ac:dyDescent="0.25">
      <c r="A1094" s="30">
        <v>1</v>
      </c>
      <c r="B1094" s="2" t="s">
        <v>7398</v>
      </c>
      <c r="C1094" s="2" t="s">
        <v>7399</v>
      </c>
      <c r="D1094" s="2" t="s">
        <v>6502</v>
      </c>
      <c r="E1094" s="5">
        <v>8</v>
      </c>
      <c r="F1094" s="2" t="s">
        <v>1983</v>
      </c>
      <c r="G1094" s="2" t="s">
        <v>7400</v>
      </c>
      <c r="H1094" s="2" t="s">
        <v>1072</v>
      </c>
      <c r="I1094" s="4">
        <v>351</v>
      </c>
      <c r="J1094" s="4">
        <v>200</v>
      </c>
      <c r="L1094" s="31">
        <v>49.57</v>
      </c>
      <c r="M1094" s="32">
        <v>11.1</v>
      </c>
      <c r="N1094" s="33">
        <v>7.1</v>
      </c>
    </row>
    <row r="1095" spans="1:14" x14ac:dyDescent="0.25">
      <c r="A1095" s="30">
        <v>1</v>
      </c>
      <c r="B1095" s="2" t="s">
        <v>7398</v>
      </c>
      <c r="C1095" s="2" t="s">
        <v>7399</v>
      </c>
      <c r="D1095" s="2" t="s">
        <v>6503</v>
      </c>
      <c r="E1095" s="5">
        <v>24</v>
      </c>
      <c r="F1095" s="2" t="s">
        <v>5399</v>
      </c>
      <c r="G1095" s="2" t="s">
        <v>7401</v>
      </c>
      <c r="H1095" s="2" t="s">
        <v>5398</v>
      </c>
      <c r="I1095" s="4">
        <v>316</v>
      </c>
      <c r="J1095" s="4">
        <v>0</v>
      </c>
      <c r="L1095" s="31">
        <v>14.71</v>
      </c>
      <c r="M1095" s="32">
        <v>21.5</v>
      </c>
      <c r="N1095" s="33">
        <v>21.5</v>
      </c>
    </row>
    <row r="1096" spans="1:14" x14ac:dyDescent="0.25">
      <c r="A1096" s="30">
        <v>1</v>
      </c>
      <c r="B1096" s="2" t="s">
        <v>7398</v>
      </c>
      <c r="C1096" s="2" t="s">
        <v>7399</v>
      </c>
      <c r="D1096" s="2" t="s">
        <v>6504</v>
      </c>
      <c r="E1096" s="5">
        <v>24</v>
      </c>
      <c r="F1096" s="2" t="s">
        <v>1874</v>
      </c>
      <c r="G1096" s="2" t="s">
        <v>7400</v>
      </c>
      <c r="H1096" s="2" t="s">
        <v>1073</v>
      </c>
      <c r="I1096" s="4">
        <v>0</v>
      </c>
      <c r="J1096" s="4">
        <v>0</v>
      </c>
      <c r="L1096" s="31">
        <v>0.14000000000000001</v>
      </c>
      <c r="M1096" s="32">
        <v>0</v>
      </c>
      <c r="N1096" s="33">
        <v>0</v>
      </c>
    </row>
    <row r="1097" spans="1:14" x14ac:dyDescent="0.25">
      <c r="A1097" s="30">
        <v>1</v>
      </c>
      <c r="B1097" s="2" t="s">
        <v>7398</v>
      </c>
      <c r="C1097" s="2" t="s">
        <v>7399</v>
      </c>
      <c r="D1097" s="2" t="s">
        <v>6505</v>
      </c>
      <c r="E1097" s="5">
        <v>12</v>
      </c>
      <c r="F1097" s="2" t="s">
        <v>1849</v>
      </c>
      <c r="G1097" s="2" t="s">
        <v>7400</v>
      </c>
      <c r="H1097" s="2" t="s">
        <v>1074</v>
      </c>
      <c r="I1097" s="4">
        <v>0</v>
      </c>
      <c r="J1097" s="4">
        <v>270</v>
      </c>
      <c r="L1097" s="31">
        <v>2.14</v>
      </c>
      <c r="M1097" s="32">
        <v>126.2</v>
      </c>
      <c r="N1097" s="33">
        <v>0</v>
      </c>
    </row>
    <row r="1098" spans="1:14" x14ac:dyDescent="0.25">
      <c r="A1098" s="30">
        <v>1</v>
      </c>
      <c r="B1098" s="2" t="s">
        <v>7398</v>
      </c>
      <c r="C1098" s="2" t="s">
        <v>7399</v>
      </c>
      <c r="D1098" s="2" t="s">
        <v>6506</v>
      </c>
      <c r="E1098" s="5">
        <v>24</v>
      </c>
      <c r="F1098" s="2" t="s">
        <v>1857</v>
      </c>
      <c r="G1098" s="2" t="s">
        <v>7403</v>
      </c>
      <c r="H1098" s="2" t="s">
        <v>5409</v>
      </c>
      <c r="I1098" s="4">
        <v>444</v>
      </c>
      <c r="J1098" s="4">
        <v>0</v>
      </c>
      <c r="L1098" s="31">
        <v>10.28</v>
      </c>
      <c r="M1098" s="32">
        <v>43.2</v>
      </c>
      <c r="N1098" s="33">
        <v>43.2</v>
      </c>
    </row>
    <row r="1099" spans="1:14" x14ac:dyDescent="0.25">
      <c r="A1099" s="30">
        <v>1</v>
      </c>
      <c r="B1099" s="2" t="s">
        <v>7398</v>
      </c>
      <c r="C1099" s="2" t="s">
        <v>7399</v>
      </c>
      <c r="D1099" s="2" t="s">
        <v>6507</v>
      </c>
      <c r="E1099" s="5">
        <v>25</v>
      </c>
      <c r="F1099" s="2" t="s">
        <v>1849</v>
      </c>
      <c r="G1099" s="2" t="s">
        <v>7410</v>
      </c>
      <c r="H1099" s="2" t="s">
        <v>1075</v>
      </c>
      <c r="I1099" s="4">
        <v>4</v>
      </c>
      <c r="J1099" s="4">
        <v>0</v>
      </c>
      <c r="L1099" s="31">
        <v>0</v>
      </c>
      <c r="M1099" s="32">
        <v>0</v>
      </c>
      <c r="N1099" s="33">
        <v>9999</v>
      </c>
    </row>
    <row r="1100" spans="1:14" x14ac:dyDescent="0.25">
      <c r="A1100" s="30">
        <v>1</v>
      </c>
      <c r="B1100" s="2" t="s">
        <v>7398</v>
      </c>
      <c r="C1100" s="2" t="s">
        <v>7399</v>
      </c>
      <c r="D1100" s="2" t="s">
        <v>6508</v>
      </c>
      <c r="E1100" s="5">
        <v>24</v>
      </c>
      <c r="F1100" s="2" t="s">
        <v>1963</v>
      </c>
      <c r="G1100" s="2" t="s">
        <v>7412</v>
      </c>
      <c r="H1100" s="2" t="s">
        <v>1076</v>
      </c>
      <c r="I1100" s="4">
        <v>287</v>
      </c>
      <c r="J1100" s="4">
        <v>0</v>
      </c>
      <c r="L1100" s="31">
        <v>0</v>
      </c>
      <c r="M1100" s="32">
        <v>0</v>
      </c>
      <c r="N1100" s="33">
        <v>9999</v>
      </c>
    </row>
    <row r="1101" spans="1:14" x14ac:dyDescent="0.25">
      <c r="A1101" s="30">
        <v>1</v>
      </c>
      <c r="B1101" s="2" t="s">
        <v>7398</v>
      </c>
      <c r="C1101" s="2" t="s">
        <v>7399</v>
      </c>
      <c r="D1101" s="2" t="s">
        <v>6509</v>
      </c>
      <c r="E1101" s="5">
        <v>4</v>
      </c>
      <c r="F1101" s="2" t="s">
        <v>1984</v>
      </c>
      <c r="G1101" s="2" t="s">
        <v>7413</v>
      </c>
      <c r="H1101" s="2" t="s">
        <v>1077</v>
      </c>
      <c r="I1101" s="4">
        <v>640</v>
      </c>
      <c r="J1101" s="4">
        <v>672</v>
      </c>
      <c r="L1101" s="31">
        <v>90.85</v>
      </c>
      <c r="M1101" s="32">
        <v>14.4</v>
      </c>
      <c r="N1101" s="33">
        <v>7</v>
      </c>
    </row>
    <row r="1102" spans="1:14" x14ac:dyDescent="0.25">
      <c r="A1102" s="30">
        <v>1</v>
      </c>
      <c r="B1102" s="2" t="s">
        <v>7398</v>
      </c>
      <c r="C1102" s="2" t="s">
        <v>7399</v>
      </c>
      <c r="D1102" s="2" t="s">
        <v>6510</v>
      </c>
      <c r="E1102" s="5">
        <v>12</v>
      </c>
      <c r="F1102" s="2" t="s">
        <v>1922</v>
      </c>
      <c r="G1102" s="2" t="s">
        <v>7400</v>
      </c>
      <c r="H1102" s="2" t="s">
        <v>1078</v>
      </c>
      <c r="I1102" s="4">
        <v>302</v>
      </c>
      <c r="J1102" s="4">
        <v>0</v>
      </c>
      <c r="L1102" s="31">
        <v>22.85</v>
      </c>
      <c r="M1102" s="32">
        <v>13.2</v>
      </c>
      <c r="N1102" s="33">
        <v>13.2</v>
      </c>
    </row>
    <row r="1103" spans="1:14" x14ac:dyDescent="0.25">
      <c r="A1103" s="30">
        <v>1</v>
      </c>
      <c r="B1103" s="2" t="s">
        <v>7398</v>
      </c>
      <c r="C1103" s="2" t="s">
        <v>7399</v>
      </c>
      <c r="D1103" s="2" t="s">
        <v>6511</v>
      </c>
      <c r="E1103" s="5">
        <v>12</v>
      </c>
      <c r="F1103" s="2" t="s">
        <v>1859</v>
      </c>
      <c r="G1103" s="2" t="s">
        <v>7400</v>
      </c>
      <c r="H1103" s="2" t="s">
        <v>1079</v>
      </c>
      <c r="I1103" s="4">
        <v>513</v>
      </c>
      <c r="J1103" s="4">
        <v>0</v>
      </c>
      <c r="L1103" s="31">
        <v>2.85</v>
      </c>
      <c r="M1103" s="32">
        <v>180</v>
      </c>
      <c r="N1103" s="33">
        <v>180</v>
      </c>
    </row>
    <row r="1104" spans="1:14" x14ac:dyDescent="0.25">
      <c r="A1104" s="30">
        <v>1</v>
      </c>
      <c r="B1104" s="2" t="s">
        <v>7398</v>
      </c>
      <c r="C1104" s="2" t="s">
        <v>7399</v>
      </c>
      <c r="D1104" s="2" t="s">
        <v>6512</v>
      </c>
      <c r="E1104" s="5">
        <v>4</v>
      </c>
      <c r="F1104" s="2" t="s">
        <v>1984</v>
      </c>
      <c r="G1104" s="2" t="s">
        <v>7413</v>
      </c>
      <c r="H1104" s="2" t="s">
        <v>1080</v>
      </c>
      <c r="I1104" s="4">
        <v>1317</v>
      </c>
      <c r="J1104" s="4">
        <v>784</v>
      </c>
      <c r="L1104" s="31">
        <v>120.28</v>
      </c>
      <c r="M1104" s="32">
        <v>17.5</v>
      </c>
      <c r="N1104" s="33">
        <v>10.9</v>
      </c>
    </row>
    <row r="1105" spans="1:14" x14ac:dyDescent="0.25">
      <c r="A1105" s="30">
        <v>1</v>
      </c>
      <c r="B1105" s="2" t="s">
        <v>7398</v>
      </c>
      <c r="C1105" s="2" t="s">
        <v>7399</v>
      </c>
      <c r="D1105" s="2" t="s">
        <v>6513</v>
      </c>
      <c r="E1105" s="5">
        <v>4</v>
      </c>
      <c r="F1105" s="2" t="s">
        <v>1984</v>
      </c>
      <c r="G1105" s="2" t="s">
        <v>7413</v>
      </c>
      <c r="H1105" s="2" t="s">
        <v>1081</v>
      </c>
      <c r="I1105" s="4">
        <v>2575</v>
      </c>
      <c r="J1105" s="4">
        <v>2464</v>
      </c>
      <c r="L1105" s="31">
        <v>278.14</v>
      </c>
      <c r="M1105" s="32">
        <v>18.100000000000001</v>
      </c>
      <c r="N1105" s="33">
        <v>9.3000000000000007</v>
      </c>
    </row>
    <row r="1106" spans="1:14" x14ac:dyDescent="0.25">
      <c r="A1106" s="30">
        <v>1</v>
      </c>
      <c r="B1106" s="2" t="s">
        <v>7398</v>
      </c>
      <c r="C1106" s="2" t="s">
        <v>7399</v>
      </c>
      <c r="D1106" s="2" t="s">
        <v>6514</v>
      </c>
      <c r="E1106" s="5">
        <v>4</v>
      </c>
      <c r="F1106" s="2" t="s">
        <v>1984</v>
      </c>
      <c r="G1106" s="2" t="s">
        <v>7413</v>
      </c>
      <c r="H1106" s="2" t="s">
        <v>1082</v>
      </c>
      <c r="I1106" s="4">
        <v>1755</v>
      </c>
      <c r="J1106" s="4">
        <v>1904</v>
      </c>
      <c r="L1106" s="31">
        <v>202.28</v>
      </c>
      <c r="M1106" s="32">
        <v>18.100000000000001</v>
      </c>
      <c r="N1106" s="33">
        <v>8.6999999999999993</v>
      </c>
    </row>
    <row r="1107" spans="1:14" x14ac:dyDescent="0.25">
      <c r="A1107" s="30">
        <v>1</v>
      </c>
      <c r="B1107" s="2" t="s">
        <v>7398</v>
      </c>
      <c r="C1107" s="2" t="s">
        <v>7399</v>
      </c>
      <c r="D1107" s="2" t="s">
        <v>6515</v>
      </c>
      <c r="E1107" s="5">
        <v>12</v>
      </c>
      <c r="F1107" s="2" t="s">
        <v>1985</v>
      </c>
      <c r="G1107" s="2" t="s">
        <v>7412</v>
      </c>
      <c r="H1107" s="2" t="s">
        <v>1083</v>
      </c>
      <c r="I1107" s="4">
        <v>121</v>
      </c>
      <c r="J1107" s="4">
        <v>540</v>
      </c>
      <c r="L1107" s="31">
        <v>22.57</v>
      </c>
      <c r="M1107" s="32">
        <v>29.3</v>
      </c>
      <c r="N1107" s="33">
        <v>5.4</v>
      </c>
    </row>
    <row r="1108" spans="1:14" x14ac:dyDescent="0.25">
      <c r="A1108" s="30">
        <v>1</v>
      </c>
      <c r="B1108" s="2" t="s">
        <v>7398</v>
      </c>
      <c r="C1108" s="2" t="s">
        <v>7399</v>
      </c>
      <c r="D1108" s="2" t="s">
        <v>6516</v>
      </c>
      <c r="E1108" s="5">
        <v>6</v>
      </c>
      <c r="F1108" s="2" t="s">
        <v>1931</v>
      </c>
      <c r="G1108" s="2" t="s">
        <v>7400</v>
      </c>
      <c r="H1108" s="2" t="s">
        <v>1084</v>
      </c>
      <c r="I1108" s="4">
        <v>735</v>
      </c>
      <c r="J1108" s="4">
        <v>0</v>
      </c>
      <c r="L1108" s="31">
        <v>2.71</v>
      </c>
      <c r="M1108" s="32">
        <v>271.2</v>
      </c>
      <c r="N1108" s="33">
        <v>271.2</v>
      </c>
    </row>
    <row r="1109" spans="1:14" x14ac:dyDescent="0.25">
      <c r="A1109" s="30">
        <v>1</v>
      </c>
      <c r="B1109" s="2" t="s">
        <v>7398</v>
      </c>
      <c r="C1109" s="2" t="s">
        <v>7399</v>
      </c>
      <c r="D1109" s="2" t="s">
        <v>6517</v>
      </c>
      <c r="E1109" s="5">
        <v>6</v>
      </c>
      <c r="F1109" s="2" t="s">
        <v>1931</v>
      </c>
      <c r="G1109" s="2" t="s">
        <v>7400</v>
      </c>
      <c r="H1109" s="2" t="s">
        <v>1085</v>
      </c>
      <c r="I1109" s="4">
        <v>287</v>
      </c>
      <c r="J1109" s="4">
        <v>0</v>
      </c>
      <c r="L1109" s="31">
        <v>2.2799999999999998</v>
      </c>
      <c r="M1109" s="32">
        <v>125.9</v>
      </c>
      <c r="N1109" s="33">
        <v>125.9</v>
      </c>
    </row>
    <row r="1110" spans="1:14" x14ac:dyDescent="0.25">
      <c r="A1110" s="30">
        <v>1</v>
      </c>
      <c r="B1110" s="2" t="s">
        <v>7398</v>
      </c>
      <c r="C1110" s="2" t="s">
        <v>7399</v>
      </c>
      <c r="D1110" s="2" t="s">
        <v>6518</v>
      </c>
      <c r="E1110" s="5">
        <v>6</v>
      </c>
      <c r="F1110" s="2" t="s">
        <v>1931</v>
      </c>
      <c r="G1110" s="2" t="s">
        <v>7400</v>
      </c>
      <c r="H1110" s="2" t="s">
        <v>1086</v>
      </c>
      <c r="I1110" s="4">
        <v>303</v>
      </c>
      <c r="J1110" s="4">
        <v>0</v>
      </c>
      <c r="L1110" s="31">
        <v>0.56999999999999995</v>
      </c>
      <c r="M1110" s="32">
        <v>531.6</v>
      </c>
      <c r="N1110" s="33">
        <v>531.6</v>
      </c>
    </row>
    <row r="1111" spans="1:14" x14ac:dyDescent="0.25">
      <c r="A1111" s="30">
        <v>1</v>
      </c>
      <c r="B1111" s="2" t="s">
        <v>7398</v>
      </c>
      <c r="C1111" s="2" t="s">
        <v>7399</v>
      </c>
      <c r="D1111" s="2" t="s">
        <v>6519</v>
      </c>
      <c r="E1111" s="5">
        <v>6</v>
      </c>
      <c r="F1111" s="2" t="s">
        <v>1931</v>
      </c>
      <c r="G1111" s="2" t="s">
        <v>7400</v>
      </c>
      <c r="H1111" s="2" t="s">
        <v>1087</v>
      </c>
      <c r="I1111" s="4">
        <v>421</v>
      </c>
      <c r="J1111" s="4">
        <v>0</v>
      </c>
      <c r="L1111" s="31">
        <v>0.56999999999999995</v>
      </c>
      <c r="M1111" s="32">
        <v>738.6</v>
      </c>
      <c r="N1111" s="33">
        <v>738.6</v>
      </c>
    </row>
    <row r="1112" spans="1:14" x14ac:dyDescent="0.25">
      <c r="A1112" s="30">
        <v>1</v>
      </c>
      <c r="B1112" s="2" t="s">
        <v>7398</v>
      </c>
      <c r="C1112" s="2" t="s">
        <v>7399</v>
      </c>
      <c r="D1112" s="2" t="s">
        <v>6520</v>
      </c>
      <c r="E1112" s="5">
        <v>6</v>
      </c>
      <c r="F1112" s="2" t="s">
        <v>1931</v>
      </c>
      <c r="G1112" s="2" t="s">
        <v>7400</v>
      </c>
      <c r="H1112" s="2" t="s">
        <v>1088</v>
      </c>
      <c r="I1112" s="4">
        <v>14</v>
      </c>
      <c r="J1112" s="4">
        <v>0</v>
      </c>
      <c r="L1112" s="31">
        <v>1.1399999999999999</v>
      </c>
      <c r="M1112" s="32">
        <v>12.3</v>
      </c>
      <c r="N1112" s="33">
        <v>12.3</v>
      </c>
    </row>
    <row r="1113" spans="1:14" x14ac:dyDescent="0.25">
      <c r="A1113" s="30">
        <v>1</v>
      </c>
      <c r="B1113" s="2" t="s">
        <v>7398</v>
      </c>
      <c r="C1113" s="2" t="s">
        <v>7399</v>
      </c>
      <c r="D1113" s="2" t="s">
        <v>6521</v>
      </c>
      <c r="E1113" s="5">
        <v>12</v>
      </c>
      <c r="F1113" s="2" t="s">
        <v>1986</v>
      </c>
      <c r="G1113" s="2" t="s">
        <v>7405</v>
      </c>
      <c r="H1113" s="2" t="s">
        <v>1089</v>
      </c>
      <c r="I1113" s="4">
        <v>638</v>
      </c>
      <c r="J1113" s="4">
        <v>2640</v>
      </c>
      <c r="L1113" s="31">
        <v>5.14</v>
      </c>
      <c r="M1113" s="32">
        <v>637.70000000000005</v>
      </c>
      <c r="N1113" s="33">
        <v>124.1</v>
      </c>
    </row>
    <row r="1114" spans="1:14" x14ac:dyDescent="0.25">
      <c r="A1114" s="30">
        <v>1</v>
      </c>
      <c r="B1114" s="2" t="s">
        <v>7398</v>
      </c>
      <c r="C1114" s="2" t="s">
        <v>7399</v>
      </c>
      <c r="D1114" s="2" t="s">
        <v>6522</v>
      </c>
      <c r="E1114" s="5">
        <v>12</v>
      </c>
      <c r="F1114" s="2" t="s">
        <v>1986</v>
      </c>
      <c r="G1114" s="2" t="s">
        <v>7405</v>
      </c>
      <c r="H1114" s="2" t="s">
        <v>1090</v>
      </c>
      <c r="I1114" s="4">
        <v>0</v>
      </c>
      <c r="J1114" s="4">
        <v>330</v>
      </c>
      <c r="L1114" s="31">
        <v>0</v>
      </c>
      <c r="M1114" s="32">
        <v>0</v>
      </c>
      <c r="N1114" s="33">
        <v>9999</v>
      </c>
    </row>
    <row r="1115" spans="1:14" x14ac:dyDescent="0.25">
      <c r="A1115" s="30">
        <v>1</v>
      </c>
      <c r="B1115" s="2" t="s">
        <v>7398</v>
      </c>
      <c r="C1115" s="2" t="s">
        <v>7399</v>
      </c>
      <c r="D1115" s="2" t="s">
        <v>6523</v>
      </c>
      <c r="E1115" s="5">
        <v>12</v>
      </c>
      <c r="F1115" s="2" t="s">
        <v>1986</v>
      </c>
      <c r="G1115" s="2" t="s">
        <v>7405</v>
      </c>
      <c r="H1115" s="2" t="s">
        <v>1091</v>
      </c>
      <c r="I1115" s="4">
        <v>0</v>
      </c>
      <c r="J1115" s="4">
        <v>330</v>
      </c>
      <c r="L1115" s="31">
        <v>0</v>
      </c>
      <c r="M1115" s="32">
        <v>0</v>
      </c>
      <c r="N1115" s="33">
        <v>9999</v>
      </c>
    </row>
    <row r="1116" spans="1:14" x14ac:dyDescent="0.25">
      <c r="A1116" s="30">
        <v>1</v>
      </c>
      <c r="B1116" s="2" t="s">
        <v>7398</v>
      </c>
      <c r="C1116" s="2" t="s">
        <v>7399</v>
      </c>
      <c r="D1116" s="2" t="s">
        <v>6524</v>
      </c>
      <c r="E1116" s="5">
        <v>12</v>
      </c>
      <c r="F1116" s="2" t="s">
        <v>1916</v>
      </c>
      <c r="G1116" s="2" t="s">
        <v>7400</v>
      </c>
      <c r="H1116" s="2" t="s">
        <v>7423</v>
      </c>
      <c r="I1116" s="4">
        <v>0</v>
      </c>
      <c r="J1116" s="4">
        <v>5532</v>
      </c>
      <c r="L1116" s="31">
        <v>0</v>
      </c>
      <c r="M1116" s="32">
        <v>0</v>
      </c>
      <c r="N1116" s="33">
        <v>9999</v>
      </c>
    </row>
    <row r="1117" spans="1:14" x14ac:dyDescent="0.25">
      <c r="A1117" s="30">
        <v>1</v>
      </c>
      <c r="B1117" s="2" t="s">
        <v>7398</v>
      </c>
      <c r="C1117" s="2" t="s">
        <v>7399</v>
      </c>
      <c r="D1117" s="2" t="s">
        <v>6525</v>
      </c>
      <c r="E1117" s="5">
        <v>12</v>
      </c>
      <c r="F1117" s="2" t="s">
        <v>1916</v>
      </c>
      <c r="G1117" s="2" t="s">
        <v>7400</v>
      </c>
      <c r="H1117" s="2" t="s">
        <v>7424</v>
      </c>
      <c r="I1117" s="4">
        <v>508</v>
      </c>
      <c r="J1117" s="4">
        <v>1304</v>
      </c>
      <c r="L1117" s="31">
        <v>15.28</v>
      </c>
      <c r="M1117" s="32">
        <v>118.6</v>
      </c>
      <c r="N1117" s="33">
        <v>33.200000000000003</v>
      </c>
    </row>
    <row r="1118" spans="1:14" x14ac:dyDescent="0.25">
      <c r="A1118" s="30">
        <v>1</v>
      </c>
      <c r="B1118" s="2" t="s">
        <v>7398</v>
      </c>
      <c r="C1118" s="2" t="s">
        <v>7399</v>
      </c>
      <c r="D1118" s="2" t="s">
        <v>6526</v>
      </c>
      <c r="E1118" s="5">
        <v>12</v>
      </c>
      <c r="F1118" s="2" t="s">
        <v>1916</v>
      </c>
      <c r="G1118" s="2" t="s">
        <v>7400</v>
      </c>
      <c r="H1118" s="2" t="s">
        <v>7425</v>
      </c>
      <c r="I1118" s="4">
        <v>674</v>
      </c>
      <c r="J1118" s="4">
        <v>1301</v>
      </c>
      <c r="L1118" s="31">
        <v>13.85</v>
      </c>
      <c r="M1118" s="32">
        <v>142.6</v>
      </c>
      <c r="N1118" s="33">
        <v>48.7</v>
      </c>
    </row>
    <row r="1119" spans="1:14" x14ac:dyDescent="0.25">
      <c r="A1119" s="30">
        <v>1</v>
      </c>
      <c r="B1119" s="2" t="s">
        <v>7398</v>
      </c>
      <c r="C1119" s="2" t="s">
        <v>7399</v>
      </c>
      <c r="D1119" s="2" t="s">
        <v>5329</v>
      </c>
      <c r="E1119" s="5">
        <v>6</v>
      </c>
      <c r="F1119" s="2" t="s">
        <v>1902</v>
      </c>
      <c r="G1119" s="2" t="s">
        <v>7409</v>
      </c>
      <c r="H1119" s="2" t="s">
        <v>1093</v>
      </c>
      <c r="I1119" s="4">
        <v>179</v>
      </c>
      <c r="J1119" s="4">
        <v>1040</v>
      </c>
      <c r="L1119" s="31">
        <v>4.42</v>
      </c>
      <c r="M1119" s="32">
        <v>275.8</v>
      </c>
      <c r="N1119" s="33">
        <v>40.5</v>
      </c>
    </row>
    <row r="1120" spans="1:14" x14ac:dyDescent="0.25">
      <c r="A1120" s="30">
        <v>1</v>
      </c>
      <c r="B1120" s="2" t="s">
        <v>7398</v>
      </c>
      <c r="C1120" s="2" t="s">
        <v>7399</v>
      </c>
      <c r="D1120" s="2" t="s">
        <v>5331</v>
      </c>
      <c r="E1120" s="5">
        <v>6</v>
      </c>
      <c r="F1120" s="2" t="s">
        <v>1902</v>
      </c>
      <c r="G1120" s="2" t="s">
        <v>7409</v>
      </c>
      <c r="H1120" s="2" t="s">
        <v>1094</v>
      </c>
      <c r="I1120" s="4">
        <v>932</v>
      </c>
      <c r="J1120" s="4">
        <v>0</v>
      </c>
      <c r="L1120" s="31">
        <v>4.42</v>
      </c>
      <c r="M1120" s="32">
        <v>210.9</v>
      </c>
      <c r="N1120" s="33">
        <v>210.9</v>
      </c>
    </row>
    <row r="1121" spans="1:14" x14ac:dyDescent="0.25">
      <c r="A1121" s="30">
        <v>1</v>
      </c>
      <c r="B1121" s="2" t="s">
        <v>7398</v>
      </c>
      <c r="C1121" s="2" t="s">
        <v>7399</v>
      </c>
      <c r="D1121" s="2" t="s">
        <v>5333</v>
      </c>
      <c r="E1121" s="5">
        <v>6</v>
      </c>
      <c r="F1121" s="2" t="s">
        <v>1902</v>
      </c>
      <c r="G1121" s="2" t="s">
        <v>7409</v>
      </c>
      <c r="H1121" s="2" t="s">
        <v>1095</v>
      </c>
      <c r="I1121" s="4">
        <v>357</v>
      </c>
      <c r="J1121" s="4">
        <v>520</v>
      </c>
      <c r="L1121" s="31">
        <v>2.42</v>
      </c>
      <c r="M1121" s="32">
        <v>362.4</v>
      </c>
      <c r="N1121" s="33">
        <v>147.5</v>
      </c>
    </row>
    <row r="1122" spans="1:14" x14ac:dyDescent="0.25">
      <c r="A1122" s="30">
        <v>1</v>
      </c>
      <c r="B1122" s="2" t="s">
        <v>7398</v>
      </c>
      <c r="C1122" s="2" t="s">
        <v>7399</v>
      </c>
      <c r="D1122" s="2" t="s">
        <v>5335</v>
      </c>
      <c r="E1122" s="5">
        <v>12</v>
      </c>
      <c r="F1122" s="2" t="s">
        <v>1985</v>
      </c>
      <c r="G1122" s="2" t="s">
        <v>7409</v>
      </c>
      <c r="H1122" s="2" t="s">
        <v>1093</v>
      </c>
      <c r="I1122" s="4">
        <v>0</v>
      </c>
      <c r="J1122" s="4">
        <v>390</v>
      </c>
      <c r="L1122" s="31">
        <v>0</v>
      </c>
      <c r="M1122" s="32">
        <v>0</v>
      </c>
      <c r="N1122" s="33">
        <v>9999</v>
      </c>
    </row>
    <row r="1123" spans="1:14" x14ac:dyDescent="0.25">
      <c r="A1123" s="30">
        <v>1</v>
      </c>
      <c r="B1123" s="2" t="s">
        <v>7398</v>
      </c>
      <c r="C1123" s="2" t="s">
        <v>7399</v>
      </c>
      <c r="D1123" s="2" t="s">
        <v>6527</v>
      </c>
      <c r="E1123" s="5">
        <v>12</v>
      </c>
      <c r="F1123" s="2" t="s">
        <v>1987</v>
      </c>
      <c r="G1123" s="2" t="s">
        <v>7400</v>
      </c>
      <c r="H1123" s="2" t="s">
        <v>7426</v>
      </c>
      <c r="I1123" s="4">
        <v>314</v>
      </c>
      <c r="J1123" s="4">
        <v>1872</v>
      </c>
      <c r="L1123" s="31">
        <v>37.42</v>
      </c>
      <c r="M1123" s="32">
        <v>58.4</v>
      </c>
      <c r="N1123" s="33">
        <v>8.4</v>
      </c>
    </row>
    <row r="1124" spans="1:14" x14ac:dyDescent="0.25">
      <c r="A1124" s="30">
        <v>1</v>
      </c>
      <c r="B1124" s="2" t="s">
        <v>7398</v>
      </c>
      <c r="C1124" s="2" t="s">
        <v>7399</v>
      </c>
      <c r="D1124" s="2" t="s">
        <v>6528</v>
      </c>
      <c r="E1124" s="5">
        <v>12</v>
      </c>
      <c r="F1124" s="2" t="s">
        <v>1987</v>
      </c>
      <c r="G1124" s="2" t="s">
        <v>7400</v>
      </c>
      <c r="H1124" s="2" t="s">
        <v>7427</v>
      </c>
      <c r="I1124" s="4">
        <v>265</v>
      </c>
      <c r="J1124" s="4">
        <v>432</v>
      </c>
      <c r="L1124" s="31">
        <v>10.71</v>
      </c>
      <c r="M1124" s="32">
        <v>65.099999999999994</v>
      </c>
      <c r="N1124" s="33">
        <v>24.7</v>
      </c>
    </row>
    <row r="1125" spans="1:14" x14ac:dyDescent="0.25">
      <c r="A1125" s="30">
        <v>1</v>
      </c>
      <c r="B1125" s="2" t="s">
        <v>7398</v>
      </c>
      <c r="C1125" s="2" t="s">
        <v>7399</v>
      </c>
      <c r="D1125" s="2" t="s">
        <v>6529</v>
      </c>
      <c r="E1125" s="5">
        <v>12</v>
      </c>
      <c r="F1125" s="2" t="s">
        <v>1916</v>
      </c>
      <c r="G1125" s="2" t="s">
        <v>7400</v>
      </c>
      <c r="H1125" s="2" t="s">
        <v>7428</v>
      </c>
      <c r="I1125" s="4">
        <v>1157</v>
      </c>
      <c r="J1125" s="4">
        <v>6240</v>
      </c>
      <c r="L1125" s="31">
        <v>144.85</v>
      </c>
      <c r="M1125" s="32">
        <v>51.1</v>
      </c>
      <c r="N1125" s="33">
        <v>8</v>
      </c>
    </row>
    <row r="1126" spans="1:14" x14ac:dyDescent="0.25">
      <c r="A1126" s="30">
        <v>1</v>
      </c>
      <c r="B1126" s="2" t="s">
        <v>7398</v>
      </c>
      <c r="C1126" s="2" t="s">
        <v>7399</v>
      </c>
      <c r="D1126" s="2" t="s">
        <v>6530</v>
      </c>
      <c r="E1126" s="5">
        <v>12</v>
      </c>
      <c r="F1126" s="2" t="s">
        <v>1916</v>
      </c>
      <c r="G1126" s="2" t="s">
        <v>7400</v>
      </c>
      <c r="H1126" s="2" t="s">
        <v>7429</v>
      </c>
      <c r="I1126" s="4">
        <v>2292</v>
      </c>
      <c r="J1126" s="4">
        <v>1248</v>
      </c>
      <c r="L1126" s="31">
        <v>75.709999999999994</v>
      </c>
      <c r="M1126" s="32">
        <v>46.8</v>
      </c>
      <c r="N1126" s="33">
        <v>30.3</v>
      </c>
    </row>
    <row r="1127" spans="1:14" x14ac:dyDescent="0.25">
      <c r="A1127" s="30">
        <v>1</v>
      </c>
      <c r="B1127" s="2" t="s">
        <v>7398</v>
      </c>
      <c r="C1127" s="2" t="s">
        <v>7399</v>
      </c>
      <c r="D1127" s="2" t="s">
        <v>6531</v>
      </c>
      <c r="E1127" s="5">
        <v>12</v>
      </c>
      <c r="F1127" s="2" t="s">
        <v>1916</v>
      </c>
      <c r="G1127" s="2" t="s">
        <v>7400</v>
      </c>
      <c r="H1127" s="2" t="s">
        <v>7430</v>
      </c>
      <c r="I1127" s="4">
        <v>382</v>
      </c>
      <c r="J1127" s="4">
        <v>2184</v>
      </c>
      <c r="L1127" s="31">
        <v>42.71</v>
      </c>
      <c r="M1127" s="32">
        <v>60.1</v>
      </c>
      <c r="N1127" s="33">
        <v>8.9</v>
      </c>
    </row>
    <row r="1128" spans="1:14" x14ac:dyDescent="0.25">
      <c r="A1128" s="30">
        <v>1</v>
      </c>
      <c r="B1128" s="2" t="s">
        <v>7398</v>
      </c>
      <c r="C1128" s="2" t="s">
        <v>7399</v>
      </c>
      <c r="D1128" s="2" t="s">
        <v>6532</v>
      </c>
      <c r="E1128" s="5">
        <v>12</v>
      </c>
      <c r="F1128" s="2" t="s">
        <v>1916</v>
      </c>
      <c r="G1128" s="2" t="s">
        <v>7400</v>
      </c>
      <c r="H1128" s="2" t="s">
        <v>7431</v>
      </c>
      <c r="I1128" s="4">
        <v>879</v>
      </c>
      <c r="J1128" s="4">
        <v>2808</v>
      </c>
      <c r="L1128" s="31">
        <v>75.14</v>
      </c>
      <c r="M1128" s="32">
        <v>49.1</v>
      </c>
      <c r="N1128" s="33">
        <v>11.7</v>
      </c>
    </row>
    <row r="1129" spans="1:14" x14ac:dyDescent="0.25">
      <c r="A1129" s="30">
        <v>1</v>
      </c>
      <c r="B1129" s="2" t="s">
        <v>7398</v>
      </c>
      <c r="C1129" s="2" t="s">
        <v>7399</v>
      </c>
      <c r="D1129" s="2" t="s">
        <v>6533</v>
      </c>
      <c r="E1129" s="5">
        <v>12</v>
      </c>
      <c r="F1129" s="2" t="s">
        <v>1987</v>
      </c>
      <c r="G1129" s="2" t="s">
        <v>7400</v>
      </c>
      <c r="H1129" s="2" t="s">
        <v>7432</v>
      </c>
      <c r="I1129" s="4">
        <v>173</v>
      </c>
      <c r="J1129" s="4">
        <v>384</v>
      </c>
      <c r="L1129" s="31">
        <v>15.57</v>
      </c>
      <c r="M1129" s="32">
        <v>35.799999999999997</v>
      </c>
      <c r="N1129" s="33">
        <v>11.1</v>
      </c>
    </row>
    <row r="1130" spans="1:14" x14ac:dyDescent="0.25">
      <c r="A1130" s="30">
        <v>1</v>
      </c>
      <c r="B1130" s="2" t="s">
        <v>7398</v>
      </c>
      <c r="C1130" s="2" t="s">
        <v>7399</v>
      </c>
      <c r="D1130" s="2" t="s">
        <v>5337</v>
      </c>
      <c r="E1130" s="5">
        <v>12</v>
      </c>
      <c r="F1130" s="2" t="s">
        <v>1985</v>
      </c>
      <c r="G1130" s="2" t="s">
        <v>7409</v>
      </c>
      <c r="H1130" s="2" t="s">
        <v>1094</v>
      </c>
      <c r="I1130" s="4">
        <v>0</v>
      </c>
      <c r="J1130" s="4">
        <v>520</v>
      </c>
      <c r="L1130" s="31">
        <v>0</v>
      </c>
      <c r="M1130" s="32">
        <v>0</v>
      </c>
      <c r="N1130" s="33">
        <v>9999</v>
      </c>
    </row>
    <row r="1131" spans="1:14" x14ac:dyDescent="0.25">
      <c r="A1131" s="30">
        <v>1</v>
      </c>
      <c r="B1131" s="2" t="s">
        <v>7398</v>
      </c>
      <c r="C1131" s="2" t="s">
        <v>7399</v>
      </c>
      <c r="D1131" s="2" t="s">
        <v>5338</v>
      </c>
      <c r="E1131" s="5">
        <v>12</v>
      </c>
      <c r="F1131" s="2" t="s">
        <v>1985</v>
      </c>
      <c r="G1131" s="2" t="s">
        <v>7409</v>
      </c>
      <c r="H1131" s="2" t="s">
        <v>1095</v>
      </c>
      <c r="I1131" s="4">
        <v>0</v>
      </c>
      <c r="J1131" s="4">
        <v>260</v>
      </c>
      <c r="L1131" s="31">
        <v>1</v>
      </c>
      <c r="M1131" s="32">
        <v>260</v>
      </c>
      <c r="N1131" s="33">
        <v>0</v>
      </c>
    </row>
    <row r="1132" spans="1:14" x14ac:dyDescent="0.25">
      <c r="A1132" s="30">
        <v>1</v>
      </c>
      <c r="B1132" s="2" t="s">
        <v>7398</v>
      </c>
      <c r="C1132" s="2" t="s">
        <v>7399</v>
      </c>
      <c r="D1132" s="2" t="s">
        <v>6534</v>
      </c>
      <c r="E1132" s="5">
        <v>20</v>
      </c>
      <c r="F1132" s="2" t="s">
        <v>1849</v>
      </c>
      <c r="G1132" s="2" t="s">
        <v>7409</v>
      </c>
      <c r="H1132" s="2" t="s">
        <v>1103</v>
      </c>
      <c r="I1132" s="4">
        <v>73</v>
      </c>
      <c r="J1132" s="4">
        <v>64</v>
      </c>
      <c r="L1132" s="31">
        <v>5.57</v>
      </c>
      <c r="M1132" s="32">
        <v>24.6</v>
      </c>
      <c r="N1132" s="33">
        <v>13.1</v>
      </c>
    </row>
    <row r="1133" spans="1:14" x14ac:dyDescent="0.25">
      <c r="A1133" s="30">
        <v>1</v>
      </c>
      <c r="B1133" s="2" t="s">
        <v>7398</v>
      </c>
      <c r="C1133" s="2" t="s">
        <v>7399</v>
      </c>
      <c r="D1133" s="2" t="s">
        <v>6535</v>
      </c>
      <c r="E1133" s="5">
        <v>20</v>
      </c>
      <c r="F1133" s="2" t="s">
        <v>1849</v>
      </c>
      <c r="G1133" s="2" t="s">
        <v>7409</v>
      </c>
      <c r="H1133" s="2" t="s">
        <v>1104</v>
      </c>
      <c r="I1133" s="4">
        <v>53</v>
      </c>
      <c r="J1133" s="4">
        <v>232</v>
      </c>
      <c r="L1133" s="31">
        <v>14.14</v>
      </c>
      <c r="M1133" s="32">
        <v>20.2</v>
      </c>
      <c r="N1133" s="33">
        <v>3.7</v>
      </c>
    </row>
    <row r="1134" spans="1:14" x14ac:dyDescent="0.25">
      <c r="A1134" s="30">
        <v>1</v>
      </c>
      <c r="B1134" s="2" t="s">
        <v>7398</v>
      </c>
      <c r="C1134" s="2" t="s">
        <v>7399</v>
      </c>
      <c r="D1134" s="2" t="s">
        <v>6536</v>
      </c>
      <c r="E1134" s="5">
        <v>20</v>
      </c>
      <c r="F1134" s="2" t="s">
        <v>1849</v>
      </c>
      <c r="G1134" s="2" t="s">
        <v>7409</v>
      </c>
      <c r="H1134" s="2" t="s">
        <v>1105</v>
      </c>
      <c r="I1134" s="4">
        <v>119</v>
      </c>
      <c r="J1134" s="4">
        <v>120</v>
      </c>
      <c r="L1134" s="31">
        <v>7.42</v>
      </c>
      <c r="M1134" s="32">
        <v>32.200000000000003</v>
      </c>
      <c r="N1134" s="33">
        <v>16</v>
      </c>
    </row>
    <row r="1135" spans="1:14" x14ac:dyDescent="0.25">
      <c r="A1135" s="30">
        <v>1</v>
      </c>
      <c r="B1135" s="2" t="s">
        <v>7398</v>
      </c>
      <c r="C1135" s="2" t="s">
        <v>7399</v>
      </c>
      <c r="D1135" s="2" t="s">
        <v>6537</v>
      </c>
      <c r="E1135" s="5">
        <v>20</v>
      </c>
      <c r="F1135" s="2" t="s">
        <v>1866</v>
      </c>
      <c r="G1135" s="2" t="s">
        <v>7410</v>
      </c>
      <c r="H1135" s="2" t="s">
        <v>1106</v>
      </c>
      <c r="I1135" s="4">
        <v>0</v>
      </c>
      <c r="J1135" s="4">
        <v>0</v>
      </c>
      <c r="L1135" s="31">
        <v>0.14000000000000001</v>
      </c>
      <c r="M1135" s="32">
        <v>0</v>
      </c>
      <c r="N1135" s="33">
        <v>0</v>
      </c>
    </row>
    <row r="1136" spans="1:14" x14ac:dyDescent="0.25">
      <c r="A1136" s="30">
        <v>1</v>
      </c>
      <c r="B1136" s="2" t="s">
        <v>7398</v>
      </c>
      <c r="C1136" s="2" t="s">
        <v>7399</v>
      </c>
      <c r="D1136" s="2" t="s">
        <v>6538</v>
      </c>
      <c r="E1136" s="5">
        <v>20</v>
      </c>
      <c r="F1136" s="2" t="s">
        <v>1866</v>
      </c>
      <c r="G1136" s="2" t="s">
        <v>7409</v>
      </c>
      <c r="H1136" s="2" t="s">
        <v>1107</v>
      </c>
      <c r="I1136" s="4">
        <v>59</v>
      </c>
      <c r="J1136" s="4">
        <v>135</v>
      </c>
      <c r="L1136" s="31">
        <v>26.42</v>
      </c>
      <c r="M1136" s="32">
        <v>7.3</v>
      </c>
      <c r="N1136" s="33">
        <v>2.2000000000000002</v>
      </c>
    </row>
    <row r="1137" spans="1:14" x14ac:dyDescent="0.25">
      <c r="A1137" s="30">
        <v>1</v>
      </c>
      <c r="B1137" s="2" t="s">
        <v>7398</v>
      </c>
      <c r="C1137" s="2" t="s">
        <v>7399</v>
      </c>
      <c r="D1137" s="2" t="s">
        <v>6539</v>
      </c>
      <c r="E1137" s="5">
        <v>20</v>
      </c>
      <c r="F1137" s="2" t="s">
        <v>1866</v>
      </c>
      <c r="G1137" s="2" t="s">
        <v>7409</v>
      </c>
      <c r="H1137" s="2" t="s">
        <v>1108</v>
      </c>
      <c r="I1137" s="4">
        <v>90</v>
      </c>
      <c r="J1137" s="4">
        <v>253</v>
      </c>
      <c r="L1137" s="31">
        <v>37.42</v>
      </c>
      <c r="M1137" s="32">
        <v>9.1999999999999993</v>
      </c>
      <c r="N1137" s="33">
        <v>2.4</v>
      </c>
    </row>
    <row r="1138" spans="1:14" x14ac:dyDescent="0.25">
      <c r="A1138" s="30">
        <v>1</v>
      </c>
      <c r="B1138" s="2" t="s">
        <v>7398</v>
      </c>
      <c r="C1138" s="2" t="s">
        <v>7399</v>
      </c>
      <c r="D1138" s="2" t="s">
        <v>6540</v>
      </c>
      <c r="E1138" s="5">
        <v>20</v>
      </c>
      <c r="F1138" s="2" t="s">
        <v>1866</v>
      </c>
      <c r="G1138" s="2" t="s">
        <v>7409</v>
      </c>
      <c r="H1138" s="2" t="s">
        <v>1109</v>
      </c>
      <c r="I1138" s="4">
        <v>67</v>
      </c>
      <c r="J1138" s="4">
        <v>150</v>
      </c>
      <c r="L1138" s="31">
        <v>20.57</v>
      </c>
      <c r="M1138" s="32">
        <v>10.5</v>
      </c>
      <c r="N1138" s="33">
        <v>3.3</v>
      </c>
    </row>
    <row r="1139" spans="1:14" x14ac:dyDescent="0.25">
      <c r="A1139" s="30">
        <v>1</v>
      </c>
      <c r="B1139" s="2" t="s">
        <v>7398</v>
      </c>
      <c r="C1139" s="2" t="s">
        <v>7399</v>
      </c>
      <c r="D1139" s="2" t="s">
        <v>6541</v>
      </c>
      <c r="E1139" s="5">
        <v>20</v>
      </c>
      <c r="F1139" s="2" t="s">
        <v>1866</v>
      </c>
      <c r="G1139" s="2" t="s">
        <v>7409</v>
      </c>
      <c r="H1139" s="2" t="s">
        <v>1110</v>
      </c>
      <c r="I1139" s="4">
        <v>110</v>
      </c>
      <c r="J1139" s="4">
        <v>287</v>
      </c>
      <c r="L1139" s="31">
        <v>17</v>
      </c>
      <c r="M1139" s="32">
        <v>23.4</v>
      </c>
      <c r="N1139" s="33">
        <v>6.5</v>
      </c>
    </row>
    <row r="1140" spans="1:14" x14ac:dyDescent="0.25">
      <c r="A1140" s="30">
        <v>1</v>
      </c>
      <c r="B1140" s="2" t="s">
        <v>7398</v>
      </c>
      <c r="C1140" s="2" t="s">
        <v>7399</v>
      </c>
      <c r="D1140" s="2" t="s">
        <v>6542</v>
      </c>
      <c r="E1140" s="5">
        <v>8</v>
      </c>
      <c r="F1140" s="2" t="s">
        <v>1868</v>
      </c>
      <c r="G1140" s="2" t="s">
        <v>7433</v>
      </c>
      <c r="H1140" s="2" t="s">
        <v>1111</v>
      </c>
      <c r="I1140" s="4">
        <v>93</v>
      </c>
      <c r="J1140" s="4">
        <v>216</v>
      </c>
      <c r="L1140" s="31">
        <v>44</v>
      </c>
      <c r="M1140" s="32">
        <v>7</v>
      </c>
      <c r="N1140" s="33">
        <v>2.1</v>
      </c>
    </row>
    <row r="1141" spans="1:14" x14ac:dyDescent="0.25">
      <c r="A1141" s="30">
        <v>1</v>
      </c>
      <c r="B1141" s="2" t="s">
        <v>7398</v>
      </c>
      <c r="C1141" s="2" t="s">
        <v>7399</v>
      </c>
      <c r="D1141" s="2" t="s">
        <v>6543</v>
      </c>
      <c r="E1141" s="5">
        <v>6</v>
      </c>
      <c r="F1141" s="2" t="s">
        <v>1869</v>
      </c>
      <c r="G1141" s="2" t="s">
        <v>7405</v>
      </c>
      <c r="H1141" s="2" t="s">
        <v>1112</v>
      </c>
      <c r="I1141" s="4">
        <v>73</v>
      </c>
      <c r="J1141" s="4">
        <v>238</v>
      </c>
      <c r="L1141" s="31">
        <v>44.85</v>
      </c>
      <c r="M1141" s="32">
        <v>6.9</v>
      </c>
      <c r="N1141" s="33">
        <v>1.6</v>
      </c>
    </row>
    <row r="1142" spans="1:14" x14ac:dyDescent="0.25">
      <c r="A1142" s="30">
        <v>1</v>
      </c>
      <c r="B1142" s="2" t="s">
        <v>7398</v>
      </c>
      <c r="C1142" s="2" t="s">
        <v>7399</v>
      </c>
      <c r="D1142" s="2" t="s">
        <v>6544</v>
      </c>
      <c r="E1142" s="5">
        <v>8</v>
      </c>
      <c r="F1142" s="2" t="s">
        <v>1868</v>
      </c>
      <c r="G1142" s="2" t="s">
        <v>7433</v>
      </c>
      <c r="H1142" s="2" t="s">
        <v>1113</v>
      </c>
      <c r="I1142" s="4">
        <v>26</v>
      </c>
      <c r="J1142" s="4">
        <v>220</v>
      </c>
      <c r="L1142" s="31">
        <v>60.42</v>
      </c>
      <c r="M1142" s="32">
        <v>4.0999999999999996</v>
      </c>
      <c r="N1142" s="33">
        <v>0.4</v>
      </c>
    </row>
    <row r="1143" spans="1:14" x14ac:dyDescent="0.25">
      <c r="A1143" s="30">
        <v>1</v>
      </c>
      <c r="B1143" s="2" t="s">
        <v>7398</v>
      </c>
      <c r="C1143" s="2" t="s">
        <v>7399</v>
      </c>
      <c r="D1143" s="2" t="s">
        <v>6545</v>
      </c>
      <c r="E1143" s="5">
        <v>8</v>
      </c>
      <c r="F1143" s="2" t="s">
        <v>1868</v>
      </c>
      <c r="G1143" s="2" t="s">
        <v>7433</v>
      </c>
      <c r="H1143" s="2" t="s">
        <v>1114</v>
      </c>
      <c r="I1143" s="4">
        <v>125</v>
      </c>
      <c r="J1143" s="4">
        <v>80</v>
      </c>
      <c r="L1143" s="31">
        <v>36.71</v>
      </c>
      <c r="M1143" s="32">
        <v>5.6</v>
      </c>
      <c r="N1143" s="33">
        <v>3.4</v>
      </c>
    </row>
    <row r="1144" spans="1:14" x14ac:dyDescent="0.25">
      <c r="A1144" s="30">
        <v>1</v>
      </c>
      <c r="B1144" s="2" t="s">
        <v>7398</v>
      </c>
      <c r="C1144" s="2" t="s">
        <v>7399</v>
      </c>
      <c r="D1144" s="2" t="s">
        <v>6546</v>
      </c>
      <c r="E1144" s="5">
        <v>12</v>
      </c>
      <c r="F1144" s="2" t="s">
        <v>1859</v>
      </c>
      <c r="G1144" s="2" t="s">
        <v>7409</v>
      </c>
      <c r="H1144" s="2" t="s">
        <v>1115</v>
      </c>
      <c r="I1144" s="4">
        <v>1059</v>
      </c>
      <c r="J1144" s="4">
        <v>4320</v>
      </c>
      <c r="L1144" s="31">
        <v>172.85</v>
      </c>
      <c r="M1144" s="32">
        <v>31.1</v>
      </c>
      <c r="N1144" s="33">
        <v>6.1</v>
      </c>
    </row>
    <row r="1145" spans="1:14" x14ac:dyDescent="0.25">
      <c r="A1145" s="30">
        <v>1</v>
      </c>
      <c r="B1145" s="2" t="s">
        <v>7398</v>
      </c>
      <c r="C1145" s="2" t="s">
        <v>7399</v>
      </c>
      <c r="D1145" s="2" t="s">
        <v>6547</v>
      </c>
      <c r="E1145" s="5">
        <v>12</v>
      </c>
      <c r="F1145" s="2" t="s">
        <v>1849</v>
      </c>
      <c r="G1145" s="2" t="s">
        <v>7434</v>
      </c>
      <c r="H1145" s="2" t="s">
        <v>1116</v>
      </c>
      <c r="I1145" s="4">
        <v>12</v>
      </c>
      <c r="J1145" s="4">
        <v>252</v>
      </c>
      <c r="L1145" s="31">
        <v>36.42</v>
      </c>
      <c r="M1145" s="32">
        <v>7.2</v>
      </c>
      <c r="N1145" s="33">
        <v>0.3</v>
      </c>
    </row>
    <row r="1146" spans="1:14" x14ac:dyDescent="0.25">
      <c r="A1146" s="30">
        <v>1</v>
      </c>
      <c r="B1146" s="2" t="s">
        <v>7398</v>
      </c>
      <c r="C1146" s="2" t="s">
        <v>7399</v>
      </c>
      <c r="D1146" s="2" t="s">
        <v>6548</v>
      </c>
      <c r="E1146" s="5">
        <v>12</v>
      </c>
      <c r="F1146" s="2" t="s">
        <v>1951</v>
      </c>
      <c r="G1146" s="2" t="s">
        <v>7434</v>
      </c>
      <c r="H1146" s="2" t="s">
        <v>1117</v>
      </c>
      <c r="I1146" s="4">
        <v>0</v>
      </c>
      <c r="J1146" s="4">
        <v>42</v>
      </c>
      <c r="L1146" s="31">
        <v>3.42</v>
      </c>
      <c r="M1146" s="32">
        <v>12.3</v>
      </c>
      <c r="N1146" s="33">
        <v>0</v>
      </c>
    </row>
    <row r="1147" spans="1:14" x14ac:dyDescent="0.25">
      <c r="A1147" s="30">
        <v>1</v>
      </c>
      <c r="B1147" s="2" t="s">
        <v>7398</v>
      </c>
      <c r="C1147" s="2" t="s">
        <v>7399</v>
      </c>
      <c r="D1147" s="2" t="s">
        <v>6549</v>
      </c>
      <c r="E1147" s="5">
        <v>6</v>
      </c>
      <c r="F1147" s="2" t="s">
        <v>1855</v>
      </c>
      <c r="G1147" s="2" t="s">
        <v>7403</v>
      </c>
      <c r="H1147" s="2" t="s">
        <v>7435</v>
      </c>
      <c r="I1147" s="4">
        <v>0</v>
      </c>
      <c r="J1147" s="4">
        <v>19250</v>
      </c>
      <c r="L1147" s="31">
        <v>542</v>
      </c>
      <c r="M1147" s="32">
        <v>35.5</v>
      </c>
      <c r="N1147" s="33">
        <v>0</v>
      </c>
    </row>
    <row r="1148" spans="1:14" x14ac:dyDescent="0.25">
      <c r="A1148" s="30">
        <v>1</v>
      </c>
      <c r="B1148" s="2" t="s">
        <v>7398</v>
      </c>
      <c r="C1148" s="2" t="s">
        <v>7399</v>
      </c>
      <c r="D1148" s="2" t="s">
        <v>6550</v>
      </c>
      <c r="E1148" s="5">
        <v>12</v>
      </c>
      <c r="F1148" s="2" t="s">
        <v>1849</v>
      </c>
      <c r="G1148" s="2" t="s">
        <v>7409</v>
      </c>
      <c r="H1148" s="2" t="s">
        <v>1118</v>
      </c>
      <c r="I1148" s="4">
        <v>0</v>
      </c>
      <c r="J1148" s="4">
        <v>0</v>
      </c>
      <c r="L1148" s="31">
        <v>0</v>
      </c>
      <c r="M1148" s="32">
        <v>0</v>
      </c>
      <c r="N1148" s="33">
        <v>9999</v>
      </c>
    </row>
    <row r="1149" spans="1:14" x14ac:dyDescent="0.25">
      <c r="A1149" s="30">
        <v>1</v>
      </c>
      <c r="B1149" s="2" t="s">
        <v>7398</v>
      </c>
      <c r="C1149" s="2" t="s">
        <v>7399</v>
      </c>
      <c r="D1149" s="2" t="s">
        <v>6551</v>
      </c>
      <c r="E1149" s="5">
        <v>12</v>
      </c>
      <c r="F1149" s="2" t="s">
        <v>1849</v>
      </c>
      <c r="G1149" s="2" t="s">
        <v>7409</v>
      </c>
      <c r="H1149" s="2" t="s">
        <v>1119</v>
      </c>
      <c r="I1149" s="4">
        <v>0</v>
      </c>
      <c r="J1149" s="4">
        <v>0</v>
      </c>
      <c r="L1149" s="31">
        <v>0</v>
      </c>
      <c r="M1149" s="32">
        <v>0</v>
      </c>
      <c r="N1149" s="33">
        <v>9999</v>
      </c>
    </row>
    <row r="1150" spans="1:14" x14ac:dyDescent="0.25">
      <c r="A1150" s="30">
        <v>1</v>
      </c>
      <c r="B1150" s="2" t="s">
        <v>7398</v>
      </c>
      <c r="C1150" s="2" t="s">
        <v>7399</v>
      </c>
      <c r="D1150" s="2" t="s">
        <v>6552</v>
      </c>
      <c r="E1150" s="5">
        <v>12</v>
      </c>
      <c r="F1150" s="2" t="s">
        <v>1899</v>
      </c>
      <c r="G1150" s="2" t="s">
        <v>7409</v>
      </c>
      <c r="H1150" s="2" t="s">
        <v>1120</v>
      </c>
      <c r="I1150" s="4">
        <v>239</v>
      </c>
      <c r="J1150" s="4">
        <v>0</v>
      </c>
      <c r="L1150" s="31">
        <v>8.2799999999999994</v>
      </c>
      <c r="M1150" s="32">
        <v>28.9</v>
      </c>
      <c r="N1150" s="33">
        <v>28.9</v>
      </c>
    </row>
    <row r="1151" spans="1:14" x14ac:dyDescent="0.25">
      <c r="A1151" s="30">
        <v>1</v>
      </c>
      <c r="B1151" s="2" t="s">
        <v>7398</v>
      </c>
      <c r="C1151" s="2" t="s">
        <v>7399</v>
      </c>
      <c r="D1151" s="2" t="s">
        <v>6553</v>
      </c>
      <c r="E1151" s="5">
        <v>12</v>
      </c>
      <c r="F1151" s="2" t="s">
        <v>1849</v>
      </c>
      <c r="G1151" s="2" t="s">
        <v>7409</v>
      </c>
      <c r="H1151" s="2" t="s">
        <v>1121</v>
      </c>
      <c r="I1151" s="4">
        <v>96</v>
      </c>
      <c r="J1151" s="4">
        <v>0</v>
      </c>
      <c r="L1151" s="31">
        <v>3</v>
      </c>
      <c r="M1151" s="32">
        <v>32</v>
      </c>
      <c r="N1151" s="33">
        <v>32</v>
      </c>
    </row>
    <row r="1152" spans="1:14" x14ac:dyDescent="0.25">
      <c r="A1152" s="30">
        <v>1</v>
      </c>
      <c r="B1152" s="2" t="s">
        <v>7398</v>
      </c>
      <c r="C1152" s="2" t="s">
        <v>7399</v>
      </c>
      <c r="D1152" s="2" t="s">
        <v>6554</v>
      </c>
      <c r="E1152" s="5">
        <v>12</v>
      </c>
      <c r="F1152" s="2" t="s">
        <v>1923</v>
      </c>
      <c r="G1152" s="2" t="s">
        <v>7409</v>
      </c>
      <c r="H1152" s="2" t="s">
        <v>1122</v>
      </c>
      <c r="I1152" s="4">
        <v>80</v>
      </c>
      <c r="J1152" s="4">
        <v>0</v>
      </c>
      <c r="L1152" s="31">
        <v>1.42</v>
      </c>
      <c r="M1152" s="32">
        <v>56.3</v>
      </c>
      <c r="N1152" s="33">
        <v>56.3</v>
      </c>
    </row>
    <row r="1153" spans="1:14" x14ac:dyDescent="0.25">
      <c r="A1153" s="30">
        <v>1</v>
      </c>
      <c r="B1153" s="2" t="s">
        <v>7398</v>
      </c>
      <c r="C1153" s="2" t="s">
        <v>7399</v>
      </c>
      <c r="D1153" s="2" t="s">
        <v>6555</v>
      </c>
      <c r="E1153" s="5">
        <v>6</v>
      </c>
      <c r="F1153" s="2" t="s">
        <v>1985</v>
      </c>
      <c r="G1153" s="2" t="s">
        <v>7409</v>
      </c>
      <c r="H1153" s="2" t="s">
        <v>1123</v>
      </c>
      <c r="I1153" s="4">
        <v>481</v>
      </c>
      <c r="J1153" s="4">
        <v>0</v>
      </c>
      <c r="L1153" s="31">
        <v>14.71</v>
      </c>
      <c r="M1153" s="32">
        <v>32.700000000000003</v>
      </c>
      <c r="N1153" s="33">
        <v>32.700000000000003</v>
      </c>
    </row>
    <row r="1154" spans="1:14" x14ac:dyDescent="0.25">
      <c r="A1154" s="30">
        <v>1</v>
      </c>
      <c r="B1154" s="2" t="s">
        <v>7398</v>
      </c>
      <c r="C1154" s="2" t="s">
        <v>7399</v>
      </c>
      <c r="D1154" s="2" t="s">
        <v>6556</v>
      </c>
      <c r="E1154" s="5">
        <v>6</v>
      </c>
      <c r="F1154" s="2" t="s">
        <v>1985</v>
      </c>
      <c r="G1154" s="2" t="s">
        <v>7409</v>
      </c>
      <c r="H1154" s="2" t="s">
        <v>1124</v>
      </c>
      <c r="I1154" s="4">
        <v>827</v>
      </c>
      <c r="J1154" s="4">
        <v>0</v>
      </c>
      <c r="L1154" s="31">
        <v>4.42</v>
      </c>
      <c r="M1154" s="32">
        <v>187.1</v>
      </c>
      <c r="N1154" s="33">
        <v>187.1</v>
      </c>
    </row>
    <row r="1155" spans="1:14" x14ac:dyDescent="0.25">
      <c r="A1155" s="30">
        <v>1</v>
      </c>
      <c r="B1155" s="2" t="s">
        <v>7398</v>
      </c>
      <c r="C1155" s="2" t="s">
        <v>7399</v>
      </c>
      <c r="D1155" s="2" t="s">
        <v>6557</v>
      </c>
      <c r="E1155" s="5">
        <v>6</v>
      </c>
      <c r="F1155" s="2" t="s">
        <v>1985</v>
      </c>
      <c r="G1155" s="2" t="s">
        <v>7409</v>
      </c>
      <c r="H1155" s="2" t="s">
        <v>1125</v>
      </c>
      <c r="I1155" s="4">
        <v>31</v>
      </c>
      <c r="J1155" s="4">
        <v>0</v>
      </c>
      <c r="L1155" s="31">
        <v>7</v>
      </c>
      <c r="M1155" s="32">
        <v>4.4000000000000004</v>
      </c>
      <c r="N1155" s="33">
        <v>4.4000000000000004</v>
      </c>
    </row>
    <row r="1156" spans="1:14" x14ac:dyDescent="0.25">
      <c r="A1156" s="30">
        <v>1</v>
      </c>
      <c r="B1156" s="2" t="s">
        <v>7398</v>
      </c>
      <c r="C1156" s="2" t="s">
        <v>7399</v>
      </c>
      <c r="D1156" s="2" t="s">
        <v>6558</v>
      </c>
      <c r="E1156" s="5">
        <v>6</v>
      </c>
      <c r="F1156" s="2" t="s">
        <v>1873</v>
      </c>
      <c r="G1156" s="2" t="s">
        <v>7409</v>
      </c>
      <c r="H1156" s="2" t="s">
        <v>1126</v>
      </c>
      <c r="I1156" s="4">
        <v>0</v>
      </c>
      <c r="J1156" s="4">
        <v>2100</v>
      </c>
      <c r="L1156" s="31">
        <v>0</v>
      </c>
      <c r="M1156" s="32">
        <v>0</v>
      </c>
      <c r="N1156" s="33">
        <v>9999</v>
      </c>
    </row>
    <row r="1157" spans="1:14" x14ac:dyDescent="0.25">
      <c r="A1157" s="30">
        <v>1</v>
      </c>
      <c r="B1157" s="2" t="s">
        <v>7398</v>
      </c>
      <c r="C1157" s="2" t="s">
        <v>7399</v>
      </c>
      <c r="D1157" s="2" t="s">
        <v>6559</v>
      </c>
      <c r="E1157" s="5">
        <v>6</v>
      </c>
      <c r="F1157" s="2" t="s">
        <v>1873</v>
      </c>
      <c r="G1157" s="2" t="s">
        <v>7409</v>
      </c>
      <c r="H1157" s="2" t="s">
        <v>1127</v>
      </c>
      <c r="I1157" s="4">
        <v>0</v>
      </c>
      <c r="J1157" s="4">
        <v>1200</v>
      </c>
      <c r="L1157" s="31">
        <v>0</v>
      </c>
      <c r="M1157" s="32">
        <v>0</v>
      </c>
      <c r="N1157" s="33">
        <v>9999</v>
      </c>
    </row>
    <row r="1158" spans="1:14" x14ac:dyDescent="0.25">
      <c r="A1158" s="30">
        <v>1</v>
      </c>
      <c r="B1158" s="2" t="s">
        <v>7398</v>
      </c>
      <c r="C1158" s="2" t="s">
        <v>7399</v>
      </c>
      <c r="D1158" s="2" t="s">
        <v>6560</v>
      </c>
      <c r="E1158" s="5">
        <v>6</v>
      </c>
      <c r="F1158" s="2" t="s">
        <v>1873</v>
      </c>
      <c r="G1158" s="2" t="s">
        <v>7409</v>
      </c>
      <c r="H1158" s="2" t="s">
        <v>1128</v>
      </c>
      <c r="I1158" s="4">
        <v>0</v>
      </c>
      <c r="J1158" s="4">
        <v>1020</v>
      </c>
      <c r="L1158" s="31">
        <v>3.57</v>
      </c>
      <c r="M1158" s="32">
        <v>285.7</v>
      </c>
      <c r="N1158" s="33">
        <v>0</v>
      </c>
    </row>
    <row r="1159" spans="1:14" x14ac:dyDescent="0.25">
      <c r="A1159" s="30">
        <v>1</v>
      </c>
      <c r="B1159" s="2" t="s">
        <v>7398</v>
      </c>
      <c r="C1159" s="2" t="s">
        <v>7399</v>
      </c>
      <c r="D1159" s="2" t="s">
        <v>6561</v>
      </c>
      <c r="E1159" s="5">
        <v>72</v>
      </c>
      <c r="F1159" s="2" t="s">
        <v>1962</v>
      </c>
      <c r="G1159" s="2" t="s">
        <v>7404</v>
      </c>
      <c r="H1159" s="2" t="s">
        <v>5273</v>
      </c>
      <c r="I1159" s="4">
        <v>237</v>
      </c>
      <c r="J1159" s="4">
        <v>840</v>
      </c>
      <c r="L1159" s="31">
        <v>22.57</v>
      </c>
      <c r="M1159" s="32">
        <v>47.7</v>
      </c>
      <c r="N1159" s="33">
        <v>10.5</v>
      </c>
    </row>
    <row r="1160" spans="1:14" x14ac:dyDescent="0.25">
      <c r="A1160" s="30">
        <v>1</v>
      </c>
      <c r="B1160" s="2" t="s">
        <v>7398</v>
      </c>
      <c r="C1160" s="2" t="s">
        <v>7399</v>
      </c>
      <c r="D1160" s="2" t="s">
        <v>6562</v>
      </c>
      <c r="E1160" s="5">
        <v>72</v>
      </c>
      <c r="F1160" s="2" t="s">
        <v>1962</v>
      </c>
      <c r="G1160" s="2" t="s">
        <v>7404</v>
      </c>
      <c r="H1160" s="2" t="s">
        <v>5274</v>
      </c>
      <c r="I1160" s="4">
        <v>1150</v>
      </c>
      <c r="J1160" s="4">
        <v>0</v>
      </c>
      <c r="L1160" s="31">
        <v>26.57</v>
      </c>
      <c r="M1160" s="32">
        <v>43.3</v>
      </c>
      <c r="N1160" s="33">
        <v>43.3</v>
      </c>
    </row>
    <row r="1161" spans="1:14" x14ac:dyDescent="0.25">
      <c r="A1161" s="30">
        <v>1</v>
      </c>
      <c r="B1161" s="2" t="s">
        <v>7398</v>
      </c>
      <c r="C1161" s="2" t="s">
        <v>7399</v>
      </c>
      <c r="D1161" s="2" t="s">
        <v>6563</v>
      </c>
      <c r="E1161" s="5">
        <v>72</v>
      </c>
      <c r="F1161" s="2" t="s">
        <v>1962</v>
      </c>
      <c r="G1161" s="2" t="s">
        <v>7404</v>
      </c>
      <c r="H1161" s="2" t="s">
        <v>5275</v>
      </c>
      <c r="I1161" s="4">
        <v>15</v>
      </c>
      <c r="J1161" s="4">
        <v>1600</v>
      </c>
      <c r="L1161" s="31">
        <v>32.85</v>
      </c>
      <c r="M1161" s="32">
        <v>49.2</v>
      </c>
      <c r="N1161" s="33">
        <v>0.5</v>
      </c>
    </row>
    <row r="1162" spans="1:14" x14ac:dyDescent="0.25">
      <c r="A1162" s="30">
        <v>1</v>
      </c>
      <c r="B1162" s="2" t="s">
        <v>7398</v>
      </c>
      <c r="C1162" s="2" t="s">
        <v>7399</v>
      </c>
      <c r="D1162" s="2" t="s">
        <v>6564</v>
      </c>
      <c r="E1162" s="5">
        <v>12</v>
      </c>
      <c r="F1162" s="2" t="s">
        <v>5367</v>
      </c>
      <c r="G1162" s="2" t="s">
        <v>7410</v>
      </c>
      <c r="H1162" s="2" t="s">
        <v>5365</v>
      </c>
      <c r="I1162" s="4">
        <v>0</v>
      </c>
      <c r="J1162" s="4">
        <v>0</v>
      </c>
      <c r="L1162" s="31">
        <v>0</v>
      </c>
      <c r="M1162" s="32">
        <v>0</v>
      </c>
      <c r="N1162" s="33">
        <v>9999</v>
      </c>
    </row>
    <row r="1163" spans="1:14" x14ac:dyDescent="0.25">
      <c r="A1163" s="30">
        <v>1</v>
      </c>
      <c r="B1163" s="2" t="s">
        <v>7398</v>
      </c>
      <c r="C1163" s="2" t="s">
        <v>7399</v>
      </c>
      <c r="D1163" s="2" t="s">
        <v>6565</v>
      </c>
      <c r="E1163" s="5">
        <v>12</v>
      </c>
      <c r="F1163" s="2" t="s">
        <v>5367</v>
      </c>
      <c r="G1163" s="2" t="s">
        <v>7410</v>
      </c>
      <c r="H1163" s="2" t="s">
        <v>5366</v>
      </c>
      <c r="I1163" s="4">
        <v>0</v>
      </c>
      <c r="J1163" s="4">
        <v>0</v>
      </c>
      <c r="L1163" s="31">
        <v>0</v>
      </c>
      <c r="M1163" s="32">
        <v>0</v>
      </c>
      <c r="N1163" s="33">
        <v>9999</v>
      </c>
    </row>
    <row r="1164" spans="1:14" x14ac:dyDescent="0.25">
      <c r="A1164" s="30">
        <v>1</v>
      </c>
      <c r="B1164" s="2" t="s">
        <v>7398</v>
      </c>
      <c r="C1164" s="2" t="s">
        <v>7399</v>
      </c>
      <c r="D1164" s="2" t="s">
        <v>6566</v>
      </c>
      <c r="E1164" s="5">
        <v>20</v>
      </c>
      <c r="F1164" s="2" t="s">
        <v>1930</v>
      </c>
      <c r="G1164" s="2" t="s">
        <v>7410</v>
      </c>
      <c r="H1164" s="2" t="s">
        <v>1129</v>
      </c>
      <c r="I1164" s="4">
        <v>227</v>
      </c>
      <c r="J1164" s="4">
        <v>240</v>
      </c>
      <c r="L1164" s="31">
        <v>12</v>
      </c>
      <c r="M1164" s="32">
        <v>38.9</v>
      </c>
      <c r="N1164" s="33">
        <v>18.899999999999999</v>
      </c>
    </row>
    <row r="1165" spans="1:14" x14ac:dyDescent="0.25">
      <c r="A1165" s="30">
        <v>1</v>
      </c>
      <c r="B1165" s="2" t="s">
        <v>7398</v>
      </c>
      <c r="C1165" s="2" t="s">
        <v>7399</v>
      </c>
      <c r="D1165" s="2" t="s">
        <v>6567</v>
      </c>
      <c r="E1165" s="5">
        <v>20</v>
      </c>
      <c r="F1165" s="2" t="s">
        <v>1930</v>
      </c>
      <c r="G1165" s="2" t="s">
        <v>7410</v>
      </c>
      <c r="H1165" s="2" t="s">
        <v>1130</v>
      </c>
      <c r="I1165" s="4">
        <v>303</v>
      </c>
      <c r="J1165" s="4">
        <v>400</v>
      </c>
      <c r="L1165" s="31">
        <v>15.71</v>
      </c>
      <c r="M1165" s="32">
        <v>44.7</v>
      </c>
      <c r="N1165" s="33">
        <v>19.3</v>
      </c>
    </row>
    <row r="1166" spans="1:14" x14ac:dyDescent="0.25">
      <c r="A1166" s="30">
        <v>1</v>
      </c>
      <c r="B1166" s="2" t="s">
        <v>7398</v>
      </c>
      <c r="C1166" s="2" t="s">
        <v>7399</v>
      </c>
      <c r="D1166" s="2" t="s">
        <v>6568</v>
      </c>
      <c r="E1166" s="5">
        <v>20</v>
      </c>
      <c r="F1166" s="2" t="s">
        <v>1930</v>
      </c>
      <c r="G1166" s="2" t="s">
        <v>7410</v>
      </c>
      <c r="H1166" s="2" t="s">
        <v>1131</v>
      </c>
      <c r="I1166" s="4">
        <v>66</v>
      </c>
      <c r="J1166" s="4">
        <v>160</v>
      </c>
      <c r="L1166" s="31">
        <v>10.28</v>
      </c>
      <c r="M1166" s="32">
        <v>22</v>
      </c>
      <c r="N1166" s="33">
        <v>6.4</v>
      </c>
    </row>
    <row r="1167" spans="1:14" x14ac:dyDescent="0.25">
      <c r="A1167" s="30">
        <v>1</v>
      </c>
      <c r="B1167" s="2" t="s">
        <v>7398</v>
      </c>
      <c r="C1167" s="2" t="s">
        <v>7399</v>
      </c>
      <c r="D1167" s="2" t="s">
        <v>6569</v>
      </c>
      <c r="E1167" s="5">
        <v>6</v>
      </c>
      <c r="F1167" s="2" t="s">
        <v>1874</v>
      </c>
      <c r="G1167" s="2" t="s">
        <v>7409</v>
      </c>
      <c r="H1167" s="2" t="s">
        <v>5352</v>
      </c>
      <c r="I1167" s="4">
        <v>0</v>
      </c>
      <c r="J1167" s="4">
        <v>8117</v>
      </c>
      <c r="L1167" s="31">
        <v>171.14</v>
      </c>
      <c r="M1167" s="32">
        <v>47.4</v>
      </c>
      <c r="N1167" s="33">
        <v>0</v>
      </c>
    </row>
    <row r="1168" spans="1:14" x14ac:dyDescent="0.25">
      <c r="A1168" s="30">
        <v>1</v>
      </c>
      <c r="B1168" s="2" t="s">
        <v>7398</v>
      </c>
      <c r="C1168" s="2" t="s">
        <v>7399</v>
      </c>
      <c r="D1168" s="2" t="s">
        <v>6570</v>
      </c>
      <c r="E1168" s="5">
        <v>12</v>
      </c>
      <c r="F1168" s="2" t="s">
        <v>1924</v>
      </c>
      <c r="G1168" s="2" t="s">
        <v>7409</v>
      </c>
      <c r="H1168" s="2" t="s">
        <v>1132</v>
      </c>
      <c r="I1168" s="4">
        <v>233</v>
      </c>
      <c r="J1168" s="4">
        <v>3744</v>
      </c>
      <c r="L1168" s="31">
        <v>73.709999999999994</v>
      </c>
      <c r="M1168" s="32">
        <v>54</v>
      </c>
      <c r="N1168" s="33">
        <v>3.2</v>
      </c>
    </row>
    <row r="1169" spans="1:14" x14ac:dyDescent="0.25">
      <c r="A1169" s="30">
        <v>1</v>
      </c>
      <c r="B1169" s="2" t="s">
        <v>7398</v>
      </c>
      <c r="C1169" s="2" t="s">
        <v>7399</v>
      </c>
      <c r="D1169" s="2" t="s">
        <v>6571</v>
      </c>
      <c r="E1169" s="5">
        <v>6</v>
      </c>
      <c r="F1169" s="2" t="s">
        <v>1868</v>
      </c>
      <c r="G1169" s="2" t="s">
        <v>7409</v>
      </c>
      <c r="H1169" s="2" t="s">
        <v>1133</v>
      </c>
      <c r="I1169" s="4">
        <v>0</v>
      </c>
      <c r="J1169" s="4">
        <v>0</v>
      </c>
      <c r="L1169" s="31">
        <v>0</v>
      </c>
      <c r="M1169" s="32">
        <v>0</v>
      </c>
      <c r="N1169" s="33">
        <v>9999</v>
      </c>
    </row>
    <row r="1170" spans="1:14" x14ac:dyDescent="0.25">
      <c r="A1170" s="30">
        <v>1</v>
      </c>
      <c r="B1170" s="2" t="s">
        <v>7398</v>
      </c>
      <c r="C1170" s="2" t="s">
        <v>7399</v>
      </c>
      <c r="D1170" s="2" t="s">
        <v>6572</v>
      </c>
      <c r="E1170" s="5">
        <v>90</v>
      </c>
      <c r="F1170" s="2" t="s">
        <v>1988</v>
      </c>
      <c r="G1170" s="2" t="s">
        <v>7412</v>
      </c>
      <c r="H1170" s="2" t="s">
        <v>1134</v>
      </c>
      <c r="I1170" s="4">
        <v>90</v>
      </c>
      <c r="J1170" s="4">
        <v>0</v>
      </c>
      <c r="L1170" s="31">
        <v>0.42</v>
      </c>
      <c r="M1170" s="32">
        <v>214.3</v>
      </c>
      <c r="N1170" s="33">
        <v>214.3</v>
      </c>
    </row>
    <row r="1171" spans="1:14" x14ac:dyDescent="0.25">
      <c r="A1171" s="30">
        <v>1</v>
      </c>
      <c r="B1171" s="2" t="s">
        <v>7398</v>
      </c>
      <c r="C1171" s="2" t="s">
        <v>7399</v>
      </c>
      <c r="D1171" s="2" t="s">
        <v>6573</v>
      </c>
      <c r="E1171" s="5">
        <v>12</v>
      </c>
      <c r="F1171" s="2" t="s">
        <v>1847</v>
      </c>
      <c r="G1171" s="2" t="s">
        <v>7409</v>
      </c>
      <c r="H1171" s="2" t="s">
        <v>1135</v>
      </c>
      <c r="I1171" s="4">
        <v>3173</v>
      </c>
      <c r="J1171" s="4">
        <v>3480</v>
      </c>
      <c r="L1171" s="31">
        <v>122</v>
      </c>
      <c r="M1171" s="32">
        <v>54.5</v>
      </c>
      <c r="N1171" s="33">
        <v>26</v>
      </c>
    </row>
    <row r="1172" spans="1:14" x14ac:dyDescent="0.25">
      <c r="A1172" s="30">
        <v>1</v>
      </c>
      <c r="B1172" s="2" t="s">
        <v>7398</v>
      </c>
      <c r="C1172" s="2" t="s">
        <v>7399</v>
      </c>
      <c r="D1172" s="2" t="s">
        <v>6574</v>
      </c>
      <c r="E1172" s="5">
        <v>12</v>
      </c>
      <c r="F1172" s="2" t="s">
        <v>1847</v>
      </c>
      <c r="G1172" s="2" t="s">
        <v>7409</v>
      </c>
      <c r="H1172" s="2" t="s">
        <v>1136</v>
      </c>
      <c r="I1172" s="4">
        <v>4995</v>
      </c>
      <c r="J1172" s="4">
        <v>4960</v>
      </c>
      <c r="L1172" s="31">
        <v>221.71</v>
      </c>
      <c r="M1172" s="32">
        <v>44.9</v>
      </c>
      <c r="N1172" s="33">
        <v>22.5</v>
      </c>
    </row>
    <row r="1173" spans="1:14" x14ac:dyDescent="0.25">
      <c r="A1173" s="30">
        <v>1</v>
      </c>
      <c r="B1173" s="2" t="s">
        <v>7398</v>
      </c>
      <c r="C1173" s="2" t="s">
        <v>7399</v>
      </c>
      <c r="D1173" s="2" t="s">
        <v>6575</v>
      </c>
      <c r="E1173" s="5">
        <v>24</v>
      </c>
      <c r="F1173" s="2" t="s">
        <v>1863</v>
      </c>
      <c r="G1173" s="2" t="s">
        <v>7409</v>
      </c>
      <c r="H1173" s="2" t="s">
        <v>1137</v>
      </c>
      <c r="I1173" s="4">
        <v>5871</v>
      </c>
      <c r="J1173" s="4">
        <v>5165</v>
      </c>
      <c r="L1173" s="31">
        <v>421</v>
      </c>
      <c r="M1173" s="32">
        <v>26.2</v>
      </c>
      <c r="N1173" s="33">
        <v>13.9</v>
      </c>
    </row>
    <row r="1174" spans="1:14" x14ac:dyDescent="0.25">
      <c r="A1174" s="30">
        <v>1</v>
      </c>
      <c r="B1174" s="2" t="s">
        <v>7398</v>
      </c>
      <c r="C1174" s="2" t="s">
        <v>7399</v>
      </c>
      <c r="D1174" s="2" t="s">
        <v>6576</v>
      </c>
      <c r="E1174" s="5">
        <v>24</v>
      </c>
      <c r="F1174" s="2" t="s">
        <v>1863</v>
      </c>
      <c r="G1174" s="2" t="s">
        <v>7409</v>
      </c>
      <c r="H1174" s="2" t="s">
        <v>1138</v>
      </c>
      <c r="I1174" s="4">
        <v>6406</v>
      </c>
      <c r="J1174" s="4">
        <v>1381</v>
      </c>
      <c r="L1174" s="31">
        <v>327.71</v>
      </c>
      <c r="M1174" s="32">
        <v>23.8</v>
      </c>
      <c r="N1174" s="33">
        <v>19.5</v>
      </c>
    </row>
    <row r="1175" spans="1:14" x14ac:dyDescent="0.25">
      <c r="A1175" s="30">
        <v>1</v>
      </c>
      <c r="B1175" s="2" t="s">
        <v>7398</v>
      </c>
      <c r="C1175" s="2" t="s">
        <v>7399</v>
      </c>
      <c r="D1175" s="2" t="s">
        <v>6577</v>
      </c>
      <c r="E1175" s="5">
        <v>24</v>
      </c>
      <c r="F1175" s="2" t="s">
        <v>1847</v>
      </c>
      <c r="G1175" s="2" t="s">
        <v>7410</v>
      </c>
      <c r="H1175" s="2" t="s">
        <v>1139</v>
      </c>
      <c r="I1175" s="4">
        <v>1</v>
      </c>
      <c r="J1175" s="4">
        <v>2646</v>
      </c>
      <c r="L1175" s="31">
        <v>22.28</v>
      </c>
      <c r="M1175" s="32">
        <v>118.8</v>
      </c>
      <c r="N1175" s="33">
        <v>0</v>
      </c>
    </row>
    <row r="1176" spans="1:14" x14ac:dyDescent="0.25">
      <c r="A1176" s="30">
        <v>1</v>
      </c>
      <c r="B1176" s="2" t="s">
        <v>7398</v>
      </c>
      <c r="C1176" s="2" t="s">
        <v>7399</v>
      </c>
      <c r="D1176" s="2" t="s">
        <v>6578</v>
      </c>
      <c r="E1176" s="5">
        <v>24</v>
      </c>
      <c r="F1176" s="2" t="s">
        <v>1988</v>
      </c>
      <c r="G1176" s="2" t="s">
        <v>7409</v>
      </c>
      <c r="H1176" s="2" t="s">
        <v>1140</v>
      </c>
      <c r="I1176" s="4">
        <v>13</v>
      </c>
      <c r="J1176" s="4">
        <v>1944</v>
      </c>
      <c r="L1176" s="31">
        <v>78</v>
      </c>
      <c r="M1176" s="32">
        <v>25.1</v>
      </c>
      <c r="N1176" s="33">
        <v>0.2</v>
      </c>
    </row>
    <row r="1177" spans="1:14" x14ac:dyDescent="0.25">
      <c r="A1177" s="30">
        <v>1</v>
      </c>
      <c r="B1177" s="2" t="s">
        <v>7398</v>
      </c>
      <c r="C1177" s="2" t="s">
        <v>7399</v>
      </c>
      <c r="D1177" s="2" t="s">
        <v>6579</v>
      </c>
      <c r="E1177" s="5">
        <v>24</v>
      </c>
      <c r="F1177" s="2" t="s">
        <v>1847</v>
      </c>
      <c r="G1177" s="2" t="s">
        <v>7410</v>
      </c>
      <c r="H1177" s="2" t="s">
        <v>1141</v>
      </c>
      <c r="I1177" s="4">
        <v>49</v>
      </c>
      <c r="J1177" s="4">
        <v>1134</v>
      </c>
      <c r="L1177" s="31">
        <v>12.28</v>
      </c>
      <c r="M1177" s="32">
        <v>96.3</v>
      </c>
      <c r="N1177" s="33">
        <v>4</v>
      </c>
    </row>
    <row r="1178" spans="1:14" x14ac:dyDescent="0.25">
      <c r="A1178" s="30">
        <v>1</v>
      </c>
      <c r="B1178" s="2" t="s">
        <v>7398</v>
      </c>
      <c r="C1178" s="2" t="s">
        <v>7399</v>
      </c>
      <c r="D1178" s="2" t="s">
        <v>6580</v>
      </c>
      <c r="E1178" s="5">
        <v>24</v>
      </c>
      <c r="F1178" s="2" t="s">
        <v>1847</v>
      </c>
      <c r="G1178" s="2" t="s">
        <v>7410</v>
      </c>
      <c r="H1178" s="2" t="s">
        <v>1142</v>
      </c>
      <c r="I1178" s="4">
        <v>154</v>
      </c>
      <c r="J1178" s="4">
        <v>0</v>
      </c>
      <c r="L1178" s="31">
        <v>16.28</v>
      </c>
      <c r="M1178" s="32">
        <v>9.5</v>
      </c>
      <c r="N1178" s="33">
        <v>9.5</v>
      </c>
    </row>
    <row r="1179" spans="1:14" x14ac:dyDescent="0.25">
      <c r="A1179" s="30">
        <v>1</v>
      </c>
      <c r="B1179" s="2" t="s">
        <v>7398</v>
      </c>
      <c r="C1179" s="2" t="s">
        <v>7399</v>
      </c>
      <c r="D1179" s="2" t="s">
        <v>6581</v>
      </c>
      <c r="E1179" s="5">
        <v>24</v>
      </c>
      <c r="F1179" s="2" t="s">
        <v>1847</v>
      </c>
      <c r="G1179" s="2" t="s">
        <v>7410</v>
      </c>
      <c r="H1179" s="2" t="s">
        <v>1143</v>
      </c>
      <c r="I1179" s="4">
        <v>73</v>
      </c>
      <c r="J1179" s="4">
        <v>540</v>
      </c>
      <c r="L1179" s="31">
        <v>16.71</v>
      </c>
      <c r="M1179" s="32">
        <v>36.700000000000003</v>
      </c>
      <c r="N1179" s="33">
        <v>4.4000000000000004</v>
      </c>
    </row>
    <row r="1180" spans="1:14" x14ac:dyDescent="0.25">
      <c r="A1180" s="30">
        <v>1</v>
      </c>
      <c r="B1180" s="2" t="s">
        <v>7398</v>
      </c>
      <c r="C1180" s="2" t="s">
        <v>7399</v>
      </c>
      <c r="D1180" s="2" t="s">
        <v>6582</v>
      </c>
      <c r="E1180" s="5">
        <v>12</v>
      </c>
      <c r="F1180" s="2" t="s">
        <v>1902</v>
      </c>
      <c r="G1180" s="2" t="s">
        <v>7409</v>
      </c>
      <c r="H1180" s="2" t="s">
        <v>1144</v>
      </c>
      <c r="I1180" s="4">
        <v>0</v>
      </c>
      <c r="J1180" s="4">
        <v>728</v>
      </c>
      <c r="L1180" s="31">
        <v>14.85</v>
      </c>
      <c r="M1180" s="32">
        <v>49</v>
      </c>
      <c r="N1180" s="33">
        <v>0</v>
      </c>
    </row>
    <row r="1181" spans="1:14" x14ac:dyDescent="0.25">
      <c r="A1181" s="30">
        <v>1</v>
      </c>
      <c r="B1181" s="2" t="s">
        <v>7398</v>
      </c>
      <c r="C1181" s="2" t="s">
        <v>7399</v>
      </c>
      <c r="D1181" s="2" t="s">
        <v>6583</v>
      </c>
      <c r="E1181" s="5">
        <v>54</v>
      </c>
      <c r="F1181" s="2" t="s">
        <v>1847</v>
      </c>
      <c r="G1181" s="2" t="s">
        <v>7409</v>
      </c>
      <c r="H1181" s="2" t="s">
        <v>1145</v>
      </c>
      <c r="I1181" s="4">
        <v>299</v>
      </c>
      <c r="J1181" s="4">
        <v>411</v>
      </c>
      <c r="L1181" s="31">
        <v>26.28</v>
      </c>
      <c r="M1181" s="32">
        <v>27</v>
      </c>
      <c r="N1181" s="33">
        <v>11.4</v>
      </c>
    </row>
    <row r="1182" spans="1:14" x14ac:dyDescent="0.25">
      <c r="A1182" s="30">
        <v>1</v>
      </c>
      <c r="B1182" s="2" t="s">
        <v>7398</v>
      </c>
      <c r="C1182" s="2" t="s">
        <v>7399</v>
      </c>
      <c r="D1182" s="2" t="s">
        <v>6584</v>
      </c>
      <c r="E1182" s="5">
        <v>24</v>
      </c>
      <c r="F1182" s="2" t="s">
        <v>1988</v>
      </c>
      <c r="G1182" s="2" t="s">
        <v>7409</v>
      </c>
      <c r="H1182" s="2" t="s">
        <v>1146</v>
      </c>
      <c r="I1182" s="4">
        <v>2646</v>
      </c>
      <c r="J1182" s="4">
        <v>0</v>
      </c>
      <c r="L1182" s="31">
        <v>9.42</v>
      </c>
      <c r="M1182" s="32">
        <v>280.89999999999998</v>
      </c>
      <c r="N1182" s="33">
        <v>280.89999999999998</v>
      </c>
    </row>
    <row r="1183" spans="1:14" x14ac:dyDescent="0.25">
      <c r="A1183" s="30">
        <v>1</v>
      </c>
      <c r="B1183" s="2" t="s">
        <v>7398</v>
      </c>
      <c r="C1183" s="2" t="s">
        <v>7399</v>
      </c>
      <c r="D1183" s="2" t="s">
        <v>6585</v>
      </c>
      <c r="E1183" s="5">
        <v>12</v>
      </c>
      <c r="F1183" s="2" t="s">
        <v>1902</v>
      </c>
      <c r="G1183" s="2" t="s">
        <v>7409</v>
      </c>
      <c r="H1183" s="2" t="s">
        <v>1147</v>
      </c>
      <c r="I1183" s="4">
        <v>1313</v>
      </c>
      <c r="J1183" s="4">
        <v>4132</v>
      </c>
      <c r="L1183" s="31">
        <v>127</v>
      </c>
      <c r="M1183" s="32">
        <v>42.9</v>
      </c>
      <c r="N1183" s="33">
        <v>10.3</v>
      </c>
    </row>
    <row r="1184" spans="1:14" x14ac:dyDescent="0.25">
      <c r="A1184" s="30">
        <v>1</v>
      </c>
      <c r="B1184" s="2" t="s">
        <v>7398</v>
      </c>
      <c r="C1184" s="2" t="s">
        <v>7399</v>
      </c>
      <c r="D1184" s="2" t="s">
        <v>6586</v>
      </c>
      <c r="E1184" s="5">
        <v>1</v>
      </c>
      <c r="F1184" s="2" t="s">
        <v>1902</v>
      </c>
      <c r="G1184" s="2" t="s">
        <v>7409</v>
      </c>
      <c r="H1184" s="2" t="s">
        <v>1148</v>
      </c>
      <c r="I1184" s="4">
        <v>0</v>
      </c>
      <c r="J1184" s="4">
        <v>0</v>
      </c>
      <c r="L1184" s="31">
        <v>0</v>
      </c>
      <c r="M1184" s="32">
        <v>0</v>
      </c>
      <c r="N1184" s="33">
        <v>9999</v>
      </c>
    </row>
    <row r="1185" spans="1:14" x14ac:dyDescent="0.25">
      <c r="A1185" s="30">
        <v>1</v>
      </c>
      <c r="B1185" s="2" t="s">
        <v>7398</v>
      </c>
      <c r="C1185" s="2" t="s">
        <v>7399</v>
      </c>
      <c r="D1185" s="2" t="s">
        <v>6587</v>
      </c>
      <c r="E1185" s="5">
        <v>24</v>
      </c>
      <c r="F1185" s="2" t="s">
        <v>1989</v>
      </c>
      <c r="G1185" s="2" t="s">
        <v>7409</v>
      </c>
      <c r="H1185" s="2" t="s">
        <v>1149</v>
      </c>
      <c r="I1185" s="4">
        <v>173</v>
      </c>
      <c r="J1185" s="4">
        <v>80</v>
      </c>
      <c r="L1185" s="31">
        <v>16.71</v>
      </c>
      <c r="M1185" s="32">
        <v>15.1</v>
      </c>
      <c r="N1185" s="33">
        <v>10.4</v>
      </c>
    </row>
    <row r="1186" spans="1:14" x14ac:dyDescent="0.25">
      <c r="A1186" s="30">
        <v>1</v>
      </c>
      <c r="B1186" s="2" t="s">
        <v>7398</v>
      </c>
      <c r="C1186" s="2" t="s">
        <v>7399</v>
      </c>
      <c r="D1186" s="2" t="s">
        <v>6588</v>
      </c>
      <c r="E1186" s="5">
        <v>12</v>
      </c>
      <c r="F1186" s="2" t="s">
        <v>1990</v>
      </c>
      <c r="G1186" s="2" t="s">
        <v>7409</v>
      </c>
      <c r="H1186" s="2" t="s">
        <v>1150</v>
      </c>
      <c r="I1186" s="4">
        <v>705</v>
      </c>
      <c r="J1186" s="4">
        <v>1008</v>
      </c>
      <c r="L1186" s="31">
        <v>140.13999999999999</v>
      </c>
      <c r="M1186" s="32">
        <v>12.2</v>
      </c>
      <c r="N1186" s="33">
        <v>5</v>
      </c>
    </row>
    <row r="1187" spans="1:14" x14ac:dyDescent="0.25">
      <c r="A1187" s="30">
        <v>1</v>
      </c>
      <c r="B1187" s="2" t="s">
        <v>7398</v>
      </c>
      <c r="C1187" s="2" t="s">
        <v>7399</v>
      </c>
      <c r="D1187" s="2" t="s">
        <v>6589</v>
      </c>
      <c r="E1187" s="5">
        <v>12</v>
      </c>
      <c r="F1187" s="2" t="s">
        <v>1873</v>
      </c>
      <c r="G1187" s="2" t="s">
        <v>7409</v>
      </c>
      <c r="H1187" s="2" t="s">
        <v>1151</v>
      </c>
      <c r="I1187" s="4">
        <v>0</v>
      </c>
      <c r="J1187" s="4">
        <v>0</v>
      </c>
      <c r="L1187" s="31">
        <v>0</v>
      </c>
      <c r="M1187" s="32">
        <v>0</v>
      </c>
      <c r="N1187" s="33">
        <v>9999</v>
      </c>
    </row>
    <row r="1188" spans="1:14" x14ac:dyDescent="0.25">
      <c r="A1188" s="30">
        <v>1</v>
      </c>
      <c r="B1188" s="2" t="s">
        <v>7398</v>
      </c>
      <c r="C1188" s="2" t="s">
        <v>7399</v>
      </c>
      <c r="D1188" s="2" t="s">
        <v>6590</v>
      </c>
      <c r="E1188" s="5">
        <v>20</v>
      </c>
      <c r="F1188" s="2" t="s">
        <v>1863</v>
      </c>
      <c r="G1188" s="2" t="s">
        <v>7409</v>
      </c>
      <c r="H1188" s="2" t="s">
        <v>1135</v>
      </c>
      <c r="I1188" s="4">
        <v>5</v>
      </c>
      <c r="J1188" s="4">
        <v>2000</v>
      </c>
      <c r="L1188" s="31">
        <v>82.28</v>
      </c>
      <c r="M1188" s="32">
        <v>24.4</v>
      </c>
      <c r="N1188" s="33">
        <v>0.1</v>
      </c>
    </row>
    <row r="1189" spans="1:14" x14ac:dyDescent="0.25">
      <c r="A1189" s="30">
        <v>1</v>
      </c>
      <c r="B1189" s="2" t="s">
        <v>7398</v>
      </c>
      <c r="C1189" s="2" t="s">
        <v>7399</v>
      </c>
      <c r="D1189" s="2" t="s">
        <v>6591</v>
      </c>
      <c r="E1189" s="5">
        <v>12</v>
      </c>
      <c r="F1189" s="2" t="s">
        <v>1839</v>
      </c>
      <c r="G1189" s="2" t="s">
        <v>7409</v>
      </c>
      <c r="H1189" s="2" t="s">
        <v>1152</v>
      </c>
      <c r="I1189" s="4">
        <v>444</v>
      </c>
      <c r="J1189" s="4">
        <v>504</v>
      </c>
      <c r="L1189" s="31">
        <v>94.42</v>
      </c>
      <c r="M1189" s="32">
        <v>10</v>
      </c>
      <c r="N1189" s="33">
        <v>4.7</v>
      </c>
    </row>
    <row r="1190" spans="1:14" x14ac:dyDescent="0.25">
      <c r="A1190" s="30">
        <v>1</v>
      </c>
      <c r="B1190" s="2" t="s">
        <v>7398</v>
      </c>
      <c r="C1190" s="2" t="s">
        <v>7399</v>
      </c>
      <c r="D1190" s="2" t="s">
        <v>6592</v>
      </c>
      <c r="E1190" s="5">
        <v>12</v>
      </c>
      <c r="F1190" s="2" t="s">
        <v>1873</v>
      </c>
      <c r="G1190" s="2" t="s">
        <v>7409</v>
      </c>
      <c r="H1190" s="2" t="s">
        <v>1153</v>
      </c>
      <c r="I1190" s="4">
        <v>0</v>
      </c>
      <c r="J1190" s="4">
        <v>0</v>
      </c>
      <c r="L1190" s="31">
        <v>0</v>
      </c>
      <c r="M1190" s="32">
        <v>0</v>
      </c>
      <c r="N1190" s="33">
        <v>9999</v>
      </c>
    </row>
    <row r="1191" spans="1:14" x14ac:dyDescent="0.25">
      <c r="A1191" s="30">
        <v>1</v>
      </c>
      <c r="B1191" s="2" t="s">
        <v>7398</v>
      </c>
      <c r="C1191" s="2" t="s">
        <v>7399</v>
      </c>
      <c r="D1191" s="2" t="s">
        <v>6593</v>
      </c>
      <c r="E1191" s="5">
        <v>10</v>
      </c>
      <c r="F1191" s="2" t="s">
        <v>1868</v>
      </c>
      <c r="G1191" s="2" t="s">
        <v>7409</v>
      </c>
      <c r="H1191" s="2" t="s">
        <v>1154</v>
      </c>
      <c r="I1191" s="4">
        <v>159</v>
      </c>
      <c r="J1191" s="4">
        <v>754</v>
      </c>
      <c r="L1191" s="31">
        <v>84.28</v>
      </c>
      <c r="M1191" s="32">
        <v>10.8</v>
      </c>
      <c r="N1191" s="33">
        <v>1.9</v>
      </c>
    </row>
    <row r="1192" spans="1:14" x14ac:dyDescent="0.25">
      <c r="A1192" s="30">
        <v>1</v>
      </c>
      <c r="B1192" s="2" t="s">
        <v>7398</v>
      </c>
      <c r="C1192" s="2" t="s">
        <v>7399</v>
      </c>
      <c r="D1192" s="2" t="s">
        <v>6594</v>
      </c>
      <c r="E1192" s="5">
        <v>12</v>
      </c>
      <c r="F1192" s="2" t="s">
        <v>1847</v>
      </c>
      <c r="G1192" s="2" t="s">
        <v>7409</v>
      </c>
      <c r="H1192" s="2" t="s">
        <v>1155</v>
      </c>
      <c r="I1192" s="4">
        <v>7064</v>
      </c>
      <c r="J1192" s="4">
        <v>11300</v>
      </c>
      <c r="L1192" s="31">
        <v>872.57</v>
      </c>
      <c r="M1192" s="32">
        <v>21</v>
      </c>
      <c r="N1192" s="33">
        <v>8.1</v>
      </c>
    </row>
    <row r="1193" spans="1:14" x14ac:dyDescent="0.25">
      <c r="A1193" s="30">
        <v>1</v>
      </c>
      <c r="B1193" s="2" t="s">
        <v>7398</v>
      </c>
      <c r="C1193" s="2" t="s">
        <v>7399</v>
      </c>
      <c r="D1193" s="2" t="s">
        <v>6595</v>
      </c>
      <c r="E1193" s="5">
        <v>12</v>
      </c>
      <c r="F1193" s="2" t="s">
        <v>1902</v>
      </c>
      <c r="G1193" s="2" t="s">
        <v>7409</v>
      </c>
      <c r="H1193" s="2" t="s">
        <v>5364</v>
      </c>
      <c r="I1193" s="4">
        <v>0</v>
      </c>
      <c r="J1193" s="4">
        <v>1197</v>
      </c>
      <c r="L1193" s="31">
        <v>17.71</v>
      </c>
      <c r="M1193" s="32">
        <v>67.599999999999994</v>
      </c>
      <c r="N1193" s="33">
        <v>0</v>
      </c>
    </row>
    <row r="1194" spans="1:14" x14ac:dyDescent="0.25">
      <c r="A1194" s="30">
        <v>1</v>
      </c>
      <c r="B1194" s="2" t="s">
        <v>7398</v>
      </c>
      <c r="C1194" s="2" t="s">
        <v>7399</v>
      </c>
      <c r="D1194" s="2" t="s">
        <v>6596</v>
      </c>
      <c r="E1194" s="5">
        <v>20</v>
      </c>
      <c r="F1194" s="2" t="s">
        <v>1863</v>
      </c>
      <c r="G1194" s="2" t="s">
        <v>7409</v>
      </c>
      <c r="H1194" s="2" t="s">
        <v>1156</v>
      </c>
      <c r="I1194" s="4">
        <v>3330</v>
      </c>
      <c r="J1194" s="4">
        <v>810</v>
      </c>
      <c r="L1194" s="31">
        <v>205.42</v>
      </c>
      <c r="M1194" s="32">
        <v>20.2</v>
      </c>
      <c r="N1194" s="33">
        <v>16.2</v>
      </c>
    </row>
    <row r="1195" spans="1:14" x14ac:dyDescent="0.25">
      <c r="A1195" s="30">
        <v>1</v>
      </c>
      <c r="B1195" s="2" t="s">
        <v>7398</v>
      </c>
      <c r="C1195" s="2" t="s">
        <v>7399</v>
      </c>
      <c r="D1195" s="2" t="s">
        <v>6597</v>
      </c>
      <c r="E1195" s="5">
        <v>12</v>
      </c>
      <c r="F1195" s="2" t="s">
        <v>1847</v>
      </c>
      <c r="G1195" s="2" t="s">
        <v>7409</v>
      </c>
      <c r="H1195" s="2" t="s">
        <v>1157</v>
      </c>
      <c r="I1195" s="4">
        <v>599</v>
      </c>
      <c r="J1195" s="4">
        <v>1176</v>
      </c>
      <c r="L1195" s="31">
        <v>68.42</v>
      </c>
      <c r="M1195" s="32">
        <v>25.9</v>
      </c>
      <c r="N1195" s="33">
        <v>8.8000000000000007</v>
      </c>
    </row>
    <row r="1196" spans="1:14" x14ac:dyDescent="0.25">
      <c r="A1196" s="30">
        <v>1</v>
      </c>
      <c r="B1196" s="2" t="s">
        <v>7398</v>
      </c>
      <c r="C1196" s="2" t="s">
        <v>7399</v>
      </c>
      <c r="D1196" s="2" t="s">
        <v>6598</v>
      </c>
      <c r="E1196" s="5">
        <v>12</v>
      </c>
      <c r="F1196" s="2" t="s">
        <v>1847</v>
      </c>
      <c r="G1196" s="2" t="s">
        <v>7409</v>
      </c>
      <c r="H1196" s="2" t="s">
        <v>1158</v>
      </c>
      <c r="I1196" s="4">
        <v>3848</v>
      </c>
      <c r="J1196" s="4">
        <v>3312</v>
      </c>
      <c r="L1196" s="31">
        <v>295</v>
      </c>
      <c r="M1196" s="32">
        <v>24.3</v>
      </c>
      <c r="N1196" s="33">
        <v>13</v>
      </c>
    </row>
    <row r="1197" spans="1:14" x14ac:dyDescent="0.25">
      <c r="A1197" s="30">
        <v>1</v>
      </c>
      <c r="B1197" s="2" t="s">
        <v>7398</v>
      </c>
      <c r="C1197" s="2" t="s">
        <v>7399</v>
      </c>
      <c r="D1197" s="2" t="s">
        <v>6599</v>
      </c>
      <c r="E1197" s="5">
        <v>12</v>
      </c>
      <c r="F1197" s="2" t="s">
        <v>1936</v>
      </c>
      <c r="G1197" s="2" t="s">
        <v>7409</v>
      </c>
      <c r="H1197" s="2" t="s">
        <v>1159</v>
      </c>
      <c r="I1197" s="4">
        <v>333</v>
      </c>
      <c r="J1197" s="4">
        <v>810</v>
      </c>
      <c r="L1197" s="31">
        <v>84</v>
      </c>
      <c r="M1197" s="32">
        <v>13.6</v>
      </c>
      <c r="N1197" s="33">
        <v>4</v>
      </c>
    </row>
    <row r="1198" spans="1:14" x14ac:dyDescent="0.25">
      <c r="A1198" s="30">
        <v>1</v>
      </c>
      <c r="B1198" s="2" t="s">
        <v>7398</v>
      </c>
      <c r="C1198" s="2" t="s">
        <v>7399</v>
      </c>
      <c r="D1198" s="2" t="s">
        <v>6600</v>
      </c>
      <c r="E1198" s="5">
        <v>12</v>
      </c>
      <c r="F1198" s="2" t="s">
        <v>1839</v>
      </c>
      <c r="G1198" s="2" t="s">
        <v>7409</v>
      </c>
      <c r="H1198" s="2" t="s">
        <v>1160</v>
      </c>
      <c r="I1198" s="4">
        <v>3123</v>
      </c>
      <c r="J1198" s="4">
        <v>2592</v>
      </c>
      <c r="L1198" s="31">
        <v>454.14</v>
      </c>
      <c r="M1198" s="32">
        <v>12.6</v>
      </c>
      <c r="N1198" s="33">
        <v>6.9</v>
      </c>
    </row>
    <row r="1199" spans="1:14" x14ac:dyDescent="0.25">
      <c r="A1199" s="30">
        <v>1</v>
      </c>
      <c r="B1199" s="2" t="s">
        <v>7398</v>
      </c>
      <c r="C1199" s="2" t="s">
        <v>7399</v>
      </c>
      <c r="D1199" s="2" t="s">
        <v>6601</v>
      </c>
      <c r="E1199" s="5">
        <v>12</v>
      </c>
      <c r="F1199" s="2" t="s">
        <v>1839</v>
      </c>
      <c r="G1199" s="2" t="s">
        <v>7409</v>
      </c>
      <c r="H1199" s="2" t="s">
        <v>1161</v>
      </c>
      <c r="I1199" s="4">
        <v>1134</v>
      </c>
      <c r="J1199" s="4">
        <v>1080</v>
      </c>
      <c r="L1199" s="31">
        <v>154.13999999999999</v>
      </c>
      <c r="M1199" s="32">
        <v>14.4</v>
      </c>
      <c r="N1199" s="33">
        <v>7.4</v>
      </c>
    </row>
    <row r="1200" spans="1:14" x14ac:dyDescent="0.25">
      <c r="A1200" s="30">
        <v>1</v>
      </c>
      <c r="B1200" s="2" t="s">
        <v>7398</v>
      </c>
      <c r="C1200" s="2" t="s">
        <v>7399</v>
      </c>
      <c r="D1200" s="2" t="s">
        <v>6602</v>
      </c>
      <c r="E1200" s="5">
        <v>12</v>
      </c>
      <c r="F1200" s="2" t="s">
        <v>1902</v>
      </c>
      <c r="G1200" s="2" t="s">
        <v>7409</v>
      </c>
      <c r="H1200" s="2" t="s">
        <v>1162</v>
      </c>
      <c r="I1200" s="4">
        <v>0</v>
      </c>
      <c r="J1200" s="4">
        <v>5230</v>
      </c>
      <c r="L1200" s="31">
        <v>97.71</v>
      </c>
      <c r="M1200" s="32">
        <v>53.5</v>
      </c>
      <c r="N1200" s="33">
        <v>0</v>
      </c>
    </row>
    <row r="1201" spans="1:14" x14ac:dyDescent="0.25">
      <c r="A1201" s="30">
        <v>1</v>
      </c>
      <c r="B1201" s="2" t="s">
        <v>7398</v>
      </c>
      <c r="C1201" s="2" t="s">
        <v>7399</v>
      </c>
      <c r="D1201" s="2" t="s">
        <v>6603</v>
      </c>
      <c r="E1201" s="5">
        <v>32</v>
      </c>
      <c r="F1201" s="2" t="s">
        <v>1936</v>
      </c>
      <c r="G1201" s="2" t="s">
        <v>7412</v>
      </c>
      <c r="H1201" s="2" t="s">
        <v>1163</v>
      </c>
      <c r="I1201" s="4">
        <v>0</v>
      </c>
      <c r="J1201" s="4">
        <v>12960</v>
      </c>
      <c r="L1201" s="31">
        <v>761</v>
      </c>
      <c r="M1201" s="32">
        <v>17</v>
      </c>
      <c r="N1201" s="33">
        <v>0</v>
      </c>
    </row>
    <row r="1202" spans="1:14" x14ac:dyDescent="0.25">
      <c r="A1202" s="30">
        <v>1</v>
      </c>
      <c r="B1202" s="2" t="s">
        <v>7398</v>
      </c>
      <c r="C1202" s="2" t="s">
        <v>7399</v>
      </c>
      <c r="D1202" s="2" t="s">
        <v>6604</v>
      </c>
      <c r="E1202" s="5">
        <v>16</v>
      </c>
      <c r="F1202" s="2" t="s">
        <v>1866</v>
      </c>
      <c r="G1202" s="2" t="s">
        <v>7412</v>
      </c>
      <c r="H1202" s="2" t="s">
        <v>1164</v>
      </c>
      <c r="I1202" s="4">
        <v>15019</v>
      </c>
      <c r="J1202" s="4">
        <v>49680</v>
      </c>
      <c r="L1202" s="31">
        <v>3742.42</v>
      </c>
      <c r="M1202" s="32">
        <v>17.3</v>
      </c>
      <c r="N1202" s="33">
        <v>4</v>
      </c>
    </row>
    <row r="1203" spans="1:14" x14ac:dyDescent="0.25">
      <c r="A1203" s="30">
        <v>1</v>
      </c>
      <c r="B1203" s="2" t="s">
        <v>7398</v>
      </c>
      <c r="C1203" s="2" t="s">
        <v>7399</v>
      </c>
      <c r="D1203" s="2" t="s">
        <v>6605</v>
      </c>
      <c r="E1203" s="5">
        <v>6</v>
      </c>
      <c r="F1203" s="2" t="s">
        <v>1881</v>
      </c>
      <c r="G1203" s="2" t="s">
        <v>7410</v>
      </c>
      <c r="H1203" s="2" t="s">
        <v>1165</v>
      </c>
      <c r="I1203" s="4">
        <v>283</v>
      </c>
      <c r="J1203" s="4">
        <v>1920</v>
      </c>
      <c r="L1203" s="31">
        <v>87.42</v>
      </c>
      <c r="M1203" s="32">
        <v>25.2</v>
      </c>
      <c r="N1203" s="33">
        <v>3.2</v>
      </c>
    </row>
    <row r="1204" spans="1:14" x14ac:dyDescent="0.25">
      <c r="A1204" s="30">
        <v>1</v>
      </c>
      <c r="B1204" s="2" t="s">
        <v>7398</v>
      </c>
      <c r="C1204" s="2" t="s">
        <v>7399</v>
      </c>
      <c r="D1204" s="2" t="s">
        <v>6606</v>
      </c>
      <c r="E1204" s="5">
        <v>1</v>
      </c>
      <c r="F1204" s="2" t="s">
        <v>1981</v>
      </c>
      <c r="G1204" s="2" t="s">
        <v>7410</v>
      </c>
      <c r="H1204" s="2" t="s">
        <v>1166</v>
      </c>
      <c r="I1204" s="4">
        <v>5518</v>
      </c>
      <c r="J1204" s="4">
        <v>8424</v>
      </c>
      <c r="L1204" s="31">
        <v>835.28</v>
      </c>
      <c r="M1204" s="32">
        <v>16.7</v>
      </c>
      <c r="N1204" s="33">
        <v>6.6</v>
      </c>
    </row>
    <row r="1205" spans="1:14" x14ac:dyDescent="0.25">
      <c r="A1205" s="30">
        <v>1</v>
      </c>
      <c r="B1205" s="2" t="s">
        <v>7398</v>
      </c>
      <c r="C1205" s="2" t="s">
        <v>7399</v>
      </c>
      <c r="D1205" s="2" t="s">
        <v>6607</v>
      </c>
      <c r="E1205" s="5">
        <v>16</v>
      </c>
      <c r="F1205" s="2" t="s">
        <v>1991</v>
      </c>
      <c r="G1205" s="2" t="s">
        <v>7410</v>
      </c>
      <c r="H1205" s="2" t="s">
        <v>1167</v>
      </c>
      <c r="I1205" s="4">
        <v>11249</v>
      </c>
      <c r="J1205" s="4">
        <v>17712</v>
      </c>
      <c r="L1205" s="31">
        <v>1127.42</v>
      </c>
      <c r="M1205" s="32">
        <v>25.7</v>
      </c>
      <c r="N1205" s="33">
        <v>10</v>
      </c>
    </row>
    <row r="1206" spans="1:14" x14ac:dyDescent="0.25">
      <c r="A1206" s="30">
        <v>1</v>
      </c>
      <c r="B1206" s="2" t="s">
        <v>7398</v>
      </c>
      <c r="C1206" s="2" t="s">
        <v>7399</v>
      </c>
      <c r="D1206" s="2" t="s">
        <v>6608</v>
      </c>
      <c r="E1206" s="5">
        <v>12</v>
      </c>
      <c r="F1206" s="2" t="s">
        <v>1875</v>
      </c>
      <c r="G1206" s="2" t="s">
        <v>7409</v>
      </c>
      <c r="H1206" s="2" t="s">
        <v>1168</v>
      </c>
      <c r="I1206" s="4">
        <v>1878</v>
      </c>
      <c r="J1206" s="4">
        <v>2850</v>
      </c>
      <c r="L1206" s="31">
        <v>140</v>
      </c>
      <c r="M1206" s="32">
        <v>33.799999999999997</v>
      </c>
      <c r="N1206" s="33">
        <v>13.4</v>
      </c>
    </row>
    <row r="1207" spans="1:14" x14ac:dyDescent="0.25">
      <c r="A1207" s="30">
        <v>1</v>
      </c>
      <c r="B1207" s="2" t="s">
        <v>7398</v>
      </c>
      <c r="C1207" s="2" t="s">
        <v>7399</v>
      </c>
      <c r="D1207" s="2" t="s">
        <v>6609</v>
      </c>
      <c r="E1207" s="5">
        <v>480</v>
      </c>
      <c r="F1207" s="2" t="s">
        <v>1866</v>
      </c>
      <c r="G1207" s="2" t="s">
        <v>7409</v>
      </c>
      <c r="H1207" s="2" t="s">
        <v>1169</v>
      </c>
      <c r="I1207" s="4">
        <v>84</v>
      </c>
      <c r="J1207" s="4">
        <v>0</v>
      </c>
      <c r="L1207" s="31">
        <v>20</v>
      </c>
      <c r="M1207" s="32">
        <v>4.2</v>
      </c>
      <c r="N1207" s="33">
        <v>4.2</v>
      </c>
    </row>
    <row r="1208" spans="1:14" x14ac:dyDescent="0.25">
      <c r="A1208" s="30">
        <v>1</v>
      </c>
      <c r="B1208" s="2" t="s">
        <v>7398</v>
      </c>
      <c r="C1208" s="2" t="s">
        <v>7399</v>
      </c>
      <c r="D1208" s="2" t="s">
        <v>6610</v>
      </c>
      <c r="E1208" s="5">
        <v>10</v>
      </c>
      <c r="F1208" s="2" t="s">
        <v>1992</v>
      </c>
      <c r="G1208" s="2" t="s">
        <v>7409</v>
      </c>
      <c r="H1208" s="2" t="s">
        <v>1170</v>
      </c>
      <c r="I1208" s="4">
        <v>497</v>
      </c>
      <c r="J1208" s="4">
        <v>2940</v>
      </c>
      <c r="L1208" s="31">
        <v>199.28</v>
      </c>
      <c r="M1208" s="32">
        <v>17.2</v>
      </c>
      <c r="N1208" s="33">
        <v>2.5</v>
      </c>
    </row>
    <row r="1209" spans="1:14" x14ac:dyDescent="0.25">
      <c r="A1209" s="30">
        <v>1</v>
      </c>
      <c r="B1209" s="2" t="s">
        <v>7398</v>
      </c>
      <c r="C1209" s="2" t="s">
        <v>7399</v>
      </c>
      <c r="D1209" s="2" t="s">
        <v>6611</v>
      </c>
      <c r="E1209" s="5">
        <v>12</v>
      </c>
      <c r="F1209" s="2" t="s">
        <v>1993</v>
      </c>
      <c r="G1209" s="2" t="s">
        <v>7409</v>
      </c>
      <c r="H1209" s="2" t="s">
        <v>1171</v>
      </c>
      <c r="I1209" s="4">
        <v>0</v>
      </c>
      <c r="J1209" s="4">
        <v>0</v>
      </c>
      <c r="L1209" s="31">
        <v>0</v>
      </c>
      <c r="M1209" s="32">
        <v>0</v>
      </c>
      <c r="N1209" s="33">
        <v>9999</v>
      </c>
    </row>
    <row r="1210" spans="1:14" x14ac:dyDescent="0.25">
      <c r="A1210" s="30">
        <v>1</v>
      </c>
      <c r="B1210" s="2" t="s">
        <v>7398</v>
      </c>
      <c r="C1210" s="2" t="s">
        <v>7399</v>
      </c>
      <c r="D1210" s="2" t="s">
        <v>6612</v>
      </c>
      <c r="E1210" s="5">
        <v>10</v>
      </c>
      <c r="F1210" s="2" t="s">
        <v>1922</v>
      </c>
      <c r="G1210" s="2" t="s">
        <v>7412</v>
      </c>
      <c r="H1210" s="2" t="s">
        <v>1172</v>
      </c>
      <c r="I1210" s="4">
        <v>315</v>
      </c>
      <c r="J1210" s="4">
        <v>0</v>
      </c>
      <c r="L1210" s="31">
        <v>3</v>
      </c>
      <c r="M1210" s="32">
        <v>105</v>
      </c>
      <c r="N1210" s="33">
        <v>105</v>
      </c>
    </row>
    <row r="1211" spans="1:14" x14ac:dyDescent="0.25">
      <c r="A1211" s="30">
        <v>1</v>
      </c>
      <c r="B1211" s="2" t="s">
        <v>7398</v>
      </c>
      <c r="C1211" s="2" t="s">
        <v>7399</v>
      </c>
      <c r="D1211" s="2" t="s">
        <v>6613</v>
      </c>
      <c r="E1211" s="5">
        <v>12</v>
      </c>
      <c r="F1211" s="2" t="s">
        <v>1866</v>
      </c>
      <c r="G1211" s="2" t="s">
        <v>7409</v>
      </c>
      <c r="H1211" s="2" t="s">
        <v>1173</v>
      </c>
      <c r="I1211" s="4">
        <v>1</v>
      </c>
      <c r="J1211" s="4">
        <v>7200</v>
      </c>
      <c r="L1211" s="31">
        <v>351.71</v>
      </c>
      <c r="M1211" s="32">
        <v>20.5</v>
      </c>
      <c r="N1211" s="33">
        <v>0</v>
      </c>
    </row>
    <row r="1212" spans="1:14" x14ac:dyDescent="0.25">
      <c r="A1212" s="30">
        <v>1</v>
      </c>
      <c r="B1212" s="2" t="s">
        <v>7398</v>
      </c>
      <c r="C1212" s="2" t="s">
        <v>7399</v>
      </c>
      <c r="D1212" s="2" t="s">
        <v>6614</v>
      </c>
      <c r="E1212" s="5">
        <v>14</v>
      </c>
      <c r="F1212" s="2" t="s">
        <v>1869</v>
      </c>
      <c r="G1212" s="2" t="s">
        <v>7412</v>
      </c>
      <c r="H1212" s="2" t="s">
        <v>1174</v>
      </c>
      <c r="I1212" s="4">
        <v>668</v>
      </c>
      <c r="J1212" s="4">
        <v>0</v>
      </c>
      <c r="L1212" s="31">
        <v>8.42</v>
      </c>
      <c r="M1212" s="32">
        <v>79.3</v>
      </c>
      <c r="N1212" s="33">
        <v>79.3</v>
      </c>
    </row>
    <row r="1213" spans="1:14" x14ac:dyDescent="0.25">
      <c r="A1213" s="30">
        <v>1</v>
      </c>
      <c r="B1213" s="2" t="s">
        <v>7398</v>
      </c>
      <c r="C1213" s="2" t="s">
        <v>7399</v>
      </c>
      <c r="D1213" s="2" t="s">
        <v>6615</v>
      </c>
      <c r="E1213" s="5">
        <v>32</v>
      </c>
      <c r="F1213" s="2" t="s">
        <v>1839</v>
      </c>
      <c r="G1213" s="2" t="s">
        <v>7409</v>
      </c>
      <c r="H1213" s="2" t="s">
        <v>1175</v>
      </c>
      <c r="I1213" s="4">
        <v>0</v>
      </c>
      <c r="J1213" s="4">
        <v>4032</v>
      </c>
      <c r="L1213" s="31">
        <v>225.57</v>
      </c>
      <c r="M1213" s="32">
        <v>17.899999999999999</v>
      </c>
      <c r="N1213" s="33">
        <v>0</v>
      </c>
    </row>
    <row r="1214" spans="1:14" x14ac:dyDescent="0.25">
      <c r="A1214" s="30">
        <v>1</v>
      </c>
      <c r="B1214" s="2" t="s">
        <v>7398</v>
      </c>
      <c r="C1214" s="2" t="s">
        <v>7399</v>
      </c>
      <c r="D1214" s="2" t="s">
        <v>6616</v>
      </c>
      <c r="E1214" s="5">
        <v>32</v>
      </c>
      <c r="F1214" s="2" t="s">
        <v>1936</v>
      </c>
      <c r="G1214" s="2" t="s">
        <v>7409</v>
      </c>
      <c r="H1214" s="2" t="s">
        <v>1176</v>
      </c>
      <c r="I1214" s="4">
        <v>249</v>
      </c>
      <c r="J1214" s="4">
        <v>2160</v>
      </c>
      <c r="L1214" s="31">
        <v>149.57</v>
      </c>
      <c r="M1214" s="32">
        <v>16.100000000000001</v>
      </c>
      <c r="N1214" s="33">
        <v>1.7</v>
      </c>
    </row>
    <row r="1215" spans="1:14" x14ac:dyDescent="0.25">
      <c r="A1215" s="30">
        <v>1</v>
      </c>
      <c r="B1215" s="2" t="s">
        <v>7398</v>
      </c>
      <c r="C1215" s="2" t="s">
        <v>7399</v>
      </c>
      <c r="D1215" s="2" t="s">
        <v>6617</v>
      </c>
      <c r="E1215" s="5">
        <v>16</v>
      </c>
      <c r="F1215" s="2" t="s">
        <v>1866</v>
      </c>
      <c r="G1215" s="2" t="s">
        <v>7409</v>
      </c>
      <c r="H1215" s="2" t="s">
        <v>1177</v>
      </c>
      <c r="I1215" s="4">
        <v>1973</v>
      </c>
      <c r="J1215" s="4">
        <v>9072</v>
      </c>
      <c r="L1215" s="31">
        <v>621.14</v>
      </c>
      <c r="M1215" s="32">
        <v>17.8</v>
      </c>
      <c r="N1215" s="33">
        <v>3.2</v>
      </c>
    </row>
    <row r="1216" spans="1:14" x14ac:dyDescent="0.25">
      <c r="A1216" s="30">
        <v>1</v>
      </c>
      <c r="B1216" s="2" t="s">
        <v>7398</v>
      </c>
      <c r="C1216" s="2" t="s">
        <v>7399</v>
      </c>
      <c r="D1216" s="2" t="s">
        <v>6618</v>
      </c>
      <c r="E1216" s="5">
        <v>10</v>
      </c>
      <c r="F1216" s="2" t="s">
        <v>1994</v>
      </c>
      <c r="G1216" s="2" t="s">
        <v>7409</v>
      </c>
      <c r="H1216" s="2" t="s">
        <v>1178</v>
      </c>
      <c r="I1216" s="4">
        <v>0</v>
      </c>
      <c r="J1216" s="4">
        <v>0</v>
      </c>
      <c r="L1216" s="31">
        <v>0</v>
      </c>
      <c r="M1216" s="32">
        <v>0</v>
      </c>
      <c r="N1216" s="33">
        <v>9999</v>
      </c>
    </row>
    <row r="1217" spans="1:14" x14ac:dyDescent="0.25">
      <c r="A1217" s="30">
        <v>1</v>
      </c>
      <c r="B1217" s="2" t="s">
        <v>7398</v>
      </c>
      <c r="C1217" s="2" t="s">
        <v>7399</v>
      </c>
      <c r="D1217" s="2" t="s">
        <v>6619</v>
      </c>
      <c r="E1217" s="5">
        <v>64</v>
      </c>
      <c r="F1217" s="2" t="s">
        <v>1866</v>
      </c>
      <c r="G1217" s="2" t="s">
        <v>7412</v>
      </c>
      <c r="H1217" s="2" t="s">
        <v>1179</v>
      </c>
      <c r="I1217" s="4">
        <v>461</v>
      </c>
      <c r="J1217" s="4">
        <v>0</v>
      </c>
      <c r="L1217" s="31">
        <v>51.28</v>
      </c>
      <c r="M1217" s="32">
        <v>9</v>
      </c>
      <c r="N1217" s="33">
        <v>9</v>
      </c>
    </row>
    <row r="1218" spans="1:14" x14ac:dyDescent="0.25">
      <c r="A1218" s="30">
        <v>1</v>
      </c>
      <c r="B1218" s="2" t="s">
        <v>7398</v>
      </c>
      <c r="C1218" s="2" t="s">
        <v>7399</v>
      </c>
      <c r="D1218" s="2" t="s">
        <v>6620</v>
      </c>
      <c r="E1218" s="5">
        <v>24</v>
      </c>
      <c r="F1218" s="2" t="s">
        <v>1993</v>
      </c>
      <c r="G1218" s="2" t="s">
        <v>7410</v>
      </c>
      <c r="H1218" s="2" t="s">
        <v>1180</v>
      </c>
      <c r="I1218" s="4">
        <v>159</v>
      </c>
      <c r="J1218" s="4">
        <v>0</v>
      </c>
      <c r="L1218" s="31">
        <v>13</v>
      </c>
      <c r="M1218" s="32">
        <v>12.2</v>
      </c>
      <c r="N1218" s="33">
        <v>12.2</v>
      </c>
    </row>
    <row r="1219" spans="1:14" x14ac:dyDescent="0.25">
      <c r="A1219" s="30">
        <v>1</v>
      </c>
      <c r="B1219" s="2" t="s">
        <v>7398</v>
      </c>
      <c r="C1219" s="2" t="s">
        <v>7399</v>
      </c>
      <c r="D1219" s="2" t="s">
        <v>6621</v>
      </c>
      <c r="E1219" s="5">
        <v>24</v>
      </c>
      <c r="F1219" s="2" t="s">
        <v>1993</v>
      </c>
      <c r="G1219" s="2" t="s">
        <v>7410</v>
      </c>
      <c r="H1219" s="2" t="s">
        <v>1181</v>
      </c>
      <c r="I1219" s="4">
        <v>179</v>
      </c>
      <c r="J1219" s="4">
        <v>0</v>
      </c>
      <c r="L1219" s="31">
        <v>14.28</v>
      </c>
      <c r="M1219" s="32">
        <v>12.5</v>
      </c>
      <c r="N1219" s="33">
        <v>12.5</v>
      </c>
    </row>
    <row r="1220" spans="1:14" x14ac:dyDescent="0.25">
      <c r="A1220" s="30">
        <v>1</v>
      </c>
      <c r="B1220" s="2" t="s">
        <v>7398</v>
      </c>
      <c r="C1220" s="2" t="s">
        <v>7399</v>
      </c>
      <c r="D1220" s="2" t="s">
        <v>6622</v>
      </c>
      <c r="E1220" s="5">
        <v>24</v>
      </c>
      <c r="F1220" s="2" t="s">
        <v>1993</v>
      </c>
      <c r="G1220" s="2" t="s">
        <v>7410</v>
      </c>
      <c r="H1220" s="2" t="s">
        <v>1182</v>
      </c>
      <c r="I1220" s="4">
        <v>388</v>
      </c>
      <c r="J1220" s="4">
        <v>0</v>
      </c>
      <c r="L1220" s="31">
        <v>9.85</v>
      </c>
      <c r="M1220" s="32">
        <v>39.4</v>
      </c>
      <c r="N1220" s="33">
        <v>39.4</v>
      </c>
    </row>
    <row r="1221" spans="1:14" x14ac:dyDescent="0.25">
      <c r="A1221" s="30">
        <v>1</v>
      </c>
      <c r="B1221" s="2" t="s">
        <v>7398</v>
      </c>
      <c r="C1221" s="2" t="s">
        <v>7399</v>
      </c>
      <c r="D1221" s="2" t="s">
        <v>6623</v>
      </c>
      <c r="E1221" s="5">
        <v>16</v>
      </c>
      <c r="F1221" s="2" t="s">
        <v>1866</v>
      </c>
      <c r="G1221" s="2" t="s">
        <v>7409</v>
      </c>
      <c r="H1221" s="2" t="s">
        <v>1183</v>
      </c>
      <c r="I1221" s="4">
        <v>1382</v>
      </c>
      <c r="J1221" s="4">
        <v>6768</v>
      </c>
      <c r="L1221" s="31">
        <v>457.71</v>
      </c>
      <c r="M1221" s="32">
        <v>17.8</v>
      </c>
      <c r="N1221" s="33">
        <v>3</v>
      </c>
    </row>
    <row r="1222" spans="1:14" x14ac:dyDescent="0.25">
      <c r="A1222" s="30">
        <v>1</v>
      </c>
      <c r="B1222" s="2" t="s">
        <v>7398</v>
      </c>
      <c r="C1222" s="2" t="s">
        <v>7399</v>
      </c>
      <c r="D1222" s="2" t="s">
        <v>6624</v>
      </c>
      <c r="E1222" s="5">
        <v>6</v>
      </c>
      <c r="F1222" s="2" t="s">
        <v>1874</v>
      </c>
      <c r="G1222" s="2" t="s">
        <v>7409</v>
      </c>
      <c r="H1222" s="2" t="s">
        <v>5353</v>
      </c>
      <c r="I1222" s="4">
        <v>541</v>
      </c>
      <c r="J1222" s="4">
        <v>7633</v>
      </c>
      <c r="L1222" s="31">
        <v>188.28</v>
      </c>
      <c r="M1222" s="32">
        <v>43.4</v>
      </c>
      <c r="N1222" s="33">
        <v>2.9</v>
      </c>
    </row>
    <row r="1223" spans="1:14" x14ac:dyDescent="0.25">
      <c r="A1223" s="30">
        <v>1</v>
      </c>
      <c r="B1223" s="2" t="s">
        <v>7398</v>
      </c>
      <c r="C1223" s="2" t="s">
        <v>7399</v>
      </c>
      <c r="D1223" s="2" t="s">
        <v>6625</v>
      </c>
      <c r="E1223" s="5">
        <v>4</v>
      </c>
      <c r="F1223" s="2" t="s">
        <v>1907</v>
      </c>
      <c r="G1223" s="2" t="s">
        <v>7409</v>
      </c>
      <c r="H1223" s="2" t="s">
        <v>1184</v>
      </c>
      <c r="I1223" s="4">
        <v>9135</v>
      </c>
      <c r="J1223" s="4">
        <v>0</v>
      </c>
      <c r="L1223" s="31">
        <v>516.71</v>
      </c>
      <c r="M1223" s="32">
        <v>17.7</v>
      </c>
      <c r="N1223" s="33">
        <v>17.7</v>
      </c>
    </row>
    <row r="1224" spans="1:14" x14ac:dyDescent="0.25">
      <c r="A1224" s="30">
        <v>1</v>
      </c>
      <c r="B1224" s="2" t="s">
        <v>7398</v>
      </c>
      <c r="C1224" s="2" t="s">
        <v>7399</v>
      </c>
      <c r="D1224" s="2" t="s">
        <v>6626</v>
      </c>
      <c r="E1224" s="5">
        <v>12</v>
      </c>
      <c r="F1224" s="2" t="s">
        <v>1918</v>
      </c>
      <c r="G1224" s="2" t="s">
        <v>7409</v>
      </c>
      <c r="H1224" s="2" t="s">
        <v>1185</v>
      </c>
      <c r="I1224" s="4">
        <v>1003</v>
      </c>
      <c r="J1224" s="4">
        <v>0</v>
      </c>
      <c r="L1224" s="31">
        <v>2</v>
      </c>
      <c r="M1224" s="32">
        <v>501.5</v>
      </c>
      <c r="N1224" s="33">
        <v>501.5</v>
      </c>
    </row>
    <row r="1225" spans="1:14" x14ac:dyDescent="0.25">
      <c r="A1225" s="30">
        <v>1</v>
      </c>
      <c r="B1225" s="2" t="s">
        <v>7398</v>
      </c>
      <c r="C1225" s="2" t="s">
        <v>7399</v>
      </c>
      <c r="D1225" s="2" t="s">
        <v>6627</v>
      </c>
      <c r="E1225" s="5">
        <v>4</v>
      </c>
      <c r="F1225" s="2" t="s">
        <v>1907</v>
      </c>
      <c r="G1225" s="2" t="s">
        <v>7409</v>
      </c>
      <c r="H1225" s="2" t="s">
        <v>1186</v>
      </c>
      <c r="I1225" s="4">
        <v>901</v>
      </c>
      <c r="J1225" s="4">
        <v>1200</v>
      </c>
      <c r="L1225" s="31">
        <v>30.28</v>
      </c>
      <c r="M1225" s="32">
        <v>69.400000000000006</v>
      </c>
      <c r="N1225" s="33">
        <v>29.8</v>
      </c>
    </row>
    <row r="1226" spans="1:14" x14ac:dyDescent="0.25">
      <c r="A1226" s="30">
        <v>1</v>
      </c>
      <c r="B1226" s="2" t="s">
        <v>7398</v>
      </c>
      <c r="C1226" s="2" t="s">
        <v>7399</v>
      </c>
      <c r="D1226" s="2" t="s">
        <v>6628</v>
      </c>
      <c r="E1226" s="5">
        <v>1</v>
      </c>
      <c r="F1226" s="2" t="s">
        <v>1995</v>
      </c>
      <c r="G1226" s="2" t="s">
        <v>7404</v>
      </c>
      <c r="H1226" s="2" t="s">
        <v>966</v>
      </c>
      <c r="I1226" s="4">
        <v>0</v>
      </c>
      <c r="J1226" s="4">
        <v>0</v>
      </c>
      <c r="L1226" s="31">
        <v>12.71</v>
      </c>
      <c r="M1226" s="32">
        <v>0</v>
      </c>
      <c r="N1226" s="33">
        <v>0</v>
      </c>
    </row>
    <row r="1227" spans="1:14" x14ac:dyDescent="0.25">
      <c r="A1227" s="30">
        <v>1</v>
      </c>
      <c r="B1227" s="2" t="s">
        <v>7398</v>
      </c>
      <c r="C1227" s="2" t="s">
        <v>7399</v>
      </c>
      <c r="D1227" s="2" t="s">
        <v>6629</v>
      </c>
      <c r="E1227" s="5">
        <v>24</v>
      </c>
      <c r="F1227" s="2" t="s">
        <v>1953</v>
      </c>
      <c r="G1227" s="2" t="s">
        <v>7409</v>
      </c>
      <c r="H1227" s="2" t="s">
        <v>1187</v>
      </c>
      <c r="I1227" s="4">
        <v>1438</v>
      </c>
      <c r="J1227" s="4">
        <v>0</v>
      </c>
      <c r="L1227" s="31">
        <v>28.42</v>
      </c>
      <c r="M1227" s="32">
        <v>50.6</v>
      </c>
      <c r="N1227" s="33">
        <v>50.6</v>
      </c>
    </row>
    <row r="1228" spans="1:14" x14ac:dyDescent="0.25">
      <c r="A1228" s="30">
        <v>1</v>
      </c>
      <c r="B1228" s="2" t="s">
        <v>7398</v>
      </c>
      <c r="C1228" s="2" t="s">
        <v>7399</v>
      </c>
      <c r="D1228" s="2" t="s">
        <v>6630</v>
      </c>
      <c r="E1228" s="5">
        <v>24</v>
      </c>
      <c r="F1228" s="2" t="s">
        <v>1953</v>
      </c>
      <c r="G1228" s="2" t="s">
        <v>7409</v>
      </c>
      <c r="H1228" s="2" t="s">
        <v>1188</v>
      </c>
      <c r="I1228" s="4">
        <v>658</v>
      </c>
      <c r="J1228" s="4">
        <v>1680</v>
      </c>
      <c r="L1228" s="31">
        <v>45.14</v>
      </c>
      <c r="M1228" s="32">
        <v>51.8</v>
      </c>
      <c r="N1228" s="33">
        <v>14.6</v>
      </c>
    </row>
    <row r="1229" spans="1:14" x14ac:dyDescent="0.25">
      <c r="A1229" s="30">
        <v>1</v>
      </c>
      <c r="B1229" s="2" t="s">
        <v>7398</v>
      </c>
      <c r="C1229" s="2" t="s">
        <v>7399</v>
      </c>
      <c r="D1229" s="2" t="s">
        <v>6631</v>
      </c>
      <c r="E1229" s="5">
        <v>24</v>
      </c>
      <c r="F1229" s="2" t="s">
        <v>1953</v>
      </c>
      <c r="G1229" s="2" t="s">
        <v>7433</v>
      </c>
      <c r="H1229" s="2" t="s">
        <v>1189</v>
      </c>
      <c r="I1229" s="4">
        <v>2688</v>
      </c>
      <c r="J1229" s="4">
        <v>12103</v>
      </c>
      <c r="L1229" s="31">
        <v>41.42</v>
      </c>
      <c r="M1229" s="32">
        <v>357.1</v>
      </c>
      <c r="N1229" s="33">
        <v>64.900000000000006</v>
      </c>
    </row>
    <row r="1230" spans="1:14" x14ac:dyDescent="0.25">
      <c r="A1230" s="30">
        <v>1</v>
      </c>
      <c r="B1230" s="2" t="s">
        <v>7398</v>
      </c>
      <c r="C1230" s="2" t="s">
        <v>7399</v>
      </c>
      <c r="D1230" s="2" t="s">
        <v>6632</v>
      </c>
      <c r="E1230" s="5">
        <v>12</v>
      </c>
      <c r="F1230" s="2" t="s">
        <v>1918</v>
      </c>
      <c r="G1230" s="2" t="s">
        <v>7410</v>
      </c>
      <c r="H1230" s="2" t="s">
        <v>1190</v>
      </c>
      <c r="I1230" s="4">
        <v>195</v>
      </c>
      <c r="J1230" s="4">
        <v>336</v>
      </c>
      <c r="L1230" s="31">
        <v>31.14</v>
      </c>
      <c r="M1230" s="32">
        <v>17.100000000000001</v>
      </c>
      <c r="N1230" s="33">
        <v>6.3</v>
      </c>
    </row>
    <row r="1231" spans="1:14" x14ac:dyDescent="0.25">
      <c r="A1231" s="30">
        <v>1</v>
      </c>
      <c r="B1231" s="2" t="s">
        <v>7398</v>
      </c>
      <c r="C1231" s="2" t="s">
        <v>7399</v>
      </c>
      <c r="D1231" s="2" t="s">
        <v>6633</v>
      </c>
      <c r="E1231" s="5">
        <v>24</v>
      </c>
      <c r="F1231" s="2" t="s">
        <v>1953</v>
      </c>
      <c r="G1231" s="2" t="s">
        <v>7409</v>
      </c>
      <c r="H1231" s="2" t="s">
        <v>1191</v>
      </c>
      <c r="I1231" s="4">
        <v>2381</v>
      </c>
      <c r="J1231" s="4">
        <v>3140</v>
      </c>
      <c r="L1231" s="31">
        <v>104.57</v>
      </c>
      <c r="M1231" s="32">
        <v>52.8</v>
      </c>
      <c r="N1231" s="33">
        <v>22.8</v>
      </c>
    </row>
    <row r="1232" spans="1:14" x14ac:dyDescent="0.25">
      <c r="A1232" s="30">
        <v>1</v>
      </c>
      <c r="B1232" s="2" t="s">
        <v>7398</v>
      </c>
      <c r="C1232" s="2" t="s">
        <v>7399</v>
      </c>
      <c r="D1232" s="2" t="s">
        <v>6634</v>
      </c>
      <c r="E1232" s="5">
        <v>24</v>
      </c>
      <c r="F1232" s="2" t="s">
        <v>1953</v>
      </c>
      <c r="G1232" s="2" t="s">
        <v>7433</v>
      </c>
      <c r="H1232" s="2" t="s">
        <v>1192</v>
      </c>
      <c r="I1232" s="4">
        <v>579</v>
      </c>
      <c r="J1232" s="4">
        <v>3675</v>
      </c>
      <c r="L1232" s="31">
        <v>44.28</v>
      </c>
      <c r="M1232" s="32">
        <v>96.1</v>
      </c>
      <c r="N1232" s="33">
        <v>13.1</v>
      </c>
    </row>
    <row r="1233" spans="1:14" x14ac:dyDescent="0.25">
      <c r="A1233" s="30">
        <v>1</v>
      </c>
      <c r="B1233" s="2" t="s">
        <v>7398</v>
      </c>
      <c r="C1233" s="2" t="s">
        <v>7399</v>
      </c>
      <c r="D1233" s="2" t="s">
        <v>6635</v>
      </c>
      <c r="E1233" s="5">
        <v>24</v>
      </c>
      <c r="F1233" s="2" t="s">
        <v>1953</v>
      </c>
      <c r="G1233" s="2" t="s">
        <v>7409</v>
      </c>
      <c r="H1233" s="2" t="s">
        <v>1193</v>
      </c>
      <c r="I1233" s="4">
        <v>6045</v>
      </c>
      <c r="J1233" s="4">
        <v>5168</v>
      </c>
      <c r="L1233" s="31">
        <v>115.57</v>
      </c>
      <c r="M1233" s="32">
        <v>97</v>
      </c>
      <c r="N1233" s="33">
        <v>52.3</v>
      </c>
    </row>
    <row r="1234" spans="1:14" x14ac:dyDescent="0.25">
      <c r="A1234" s="30">
        <v>1</v>
      </c>
      <c r="B1234" s="2" t="s">
        <v>7398</v>
      </c>
      <c r="C1234" s="2" t="s">
        <v>7399</v>
      </c>
      <c r="D1234" s="2" t="s">
        <v>6636</v>
      </c>
      <c r="E1234" s="5">
        <v>24</v>
      </c>
      <c r="F1234" s="2" t="s">
        <v>1953</v>
      </c>
      <c r="G1234" s="2" t="s">
        <v>7409</v>
      </c>
      <c r="H1234" s="2" t="s">
        <v>1194</v>
      </c>
      <c r="I1234" s="4">
        <v>2204</v>
      </c>
      <c r="J1234" s="4">
        <v>0</v>
      </c>
      <c r="L1234" s="31">
        <v>26.14</v>
      </c>
      <c r="M1234" s="32">
        <v>84.3</v>
      </c>
      <c r="N1234" s="33">
        <v>84.3</v>
      </c>
    </row>
    <row r="1235" spans="1:14" x14ac:dyDescent="0.25">
      <c r="A1235" s="30">
        <v>1</v>
      </c>
      <c r="B1235" s="2" t="s">
        <v>7398</v>
      </c>
      <c r="C1235" s="2" t="s">
        <v>7399</v>
      </c>
      <c r="D1235" s="2" t="s">
        <v>6637</v>
      </c>
      <c r="E1235" s="5">
        <v>24</v>
      </c>
      <c r="F1235" s="2" t="s">
        <v>1953</v>
      </c>
      <c r="G1235" s="2" t="s">
        <v>7409</v>
      </c>
      <c r="H1235" s="2" t="s">
        <v>1195</v>
      </c>
      <c r="I1235" s="4">
        <v>3898</v>
      </c>
      <c r="J1235" s="4">
        <v>8505</v>
      </c>
      <c r="L1235" s="31">
        <v>244.28</v>
      </c>
      <c r="M1235" s="32">
        <v>50.8</v>
      </c>
      <c r="N1235" s="33">
        <v>16</v>
      </c>
    </row>
    <row r="1236" spans="1:14" x14ac:dyDescent="0.25">
      <c r="A1236" s="30">
        <v>1</v>
      </c>
      <c r="B1236" s="2" t="s">
        <v>7398</v>
      </c>
      <c r="C1236" s="2" t="s">
        <v>7399</v>
      </c>
      <c r="D1236" s="2" t="s">
        <v>6638</v>
      </c>
      <c r="E1236" s="5">
        <v>12</v>
      </c>
      <c r="F1236" s="2" t="s">
        <v>1910</v>
      </c>
      <c r="G1236" s="2" t="s">
        <v>7409</v>
      </c>
      <c r="H1236" s="2" t="s">
        <v>1196</v>
      </c>
      <c r="I1236" s="4">
        <v>5466</v>
      </c>
      <c r="J1236" s="4">
        <v>6048</v>
      </c>
      <c r="L1236" s="31">
        <v>313</v>
      </c>
      <c r="M1236" s="32">
        <v>36.799999999999997</v>
      </c>
      <c r="N1236" s="33">
        <v>17.5</v>
      </c>
    </row>
    <row r="1237" spans="1:14" x14ac:dyDescent="0.25">
      <c r="A1237" s="30">
        <v>1</v>
      </c>
      <c r="B1237" s="2" t="s">
        <v>7398</v>
      </c>
      <c r="C1237" s="2" t="s">
        <v>7399</v>
      </c>
      <c r="D1237" s="2" t="s">
        <v>6639</v>
      </c>
      <c r="E1237" s="5">
        <v>6</v>
      </c>
      <c r="F1237" s="2" t="s">
        <v>1896</v>
      </c>
      <c r="G1237" s="2" t="s">
        <v>7409</v>
      </c>
      <c r="H1237" s="2" t="s">
        <v>1196</v>
      </c>
      <c r="I1237" s="4">
        <v>1059</v>
      </c>
      <c r="J1237" s="4">
        <v>5670</v>
      </c>
      <c r="L1237" s="31">
        <v>214.42</v>
      </c>
      <c r="M1237" s="32">
        <v>31.4</v>
      </c>
      <c r="N1237" s="33">
        <v>4.9000000000000004</v>
      </c>
    </row>
    <row r="1238" spans="1:14" x14ac:dyDescent="0.25">
      <c r="A1238" s="30">
        <v>1</v>
      </c>
      <c r="B1238" s="2" t="s">
        <v>7398</v>
      </c>
      <c r="C1238" s="2" t="s">
        <v>7399</v>
      </c>
      <c r="D1238" s="2" t="s">
        <v>6640</v>
      </c>
      <c r="E1238" s="5">
        <v>4</v>
      </c>
      <c r="F1238" s="2" t="s">
        <v>1907</v>
      </c>
      <c r="G1238" s="2" t="s">
        <v>7409</v>
      </c>
      <c r="H1238" s="2" t="s">
        <v>1197</v>
      </c>
      <c r="I1238" s="4">
        <v>140</v>
      </c>
      <c r="J1238" s="4">
        <v>1600</v>
      </c>
      <c r="L1238" s="31">
        <v>44.28</v>
      </c>
      <c r="M1238" s="32">
        <v>39.299999999999997</v>
      </c>
      <c r="N1238" s="33">
        <v>3.2</v>
      </c>
    </row>
    <row r="1239" spans="1:14" x14ac:dyDescent="0.25">
      <c r="A1239" s="30">
        <v>1</v>
      </c>
      <c r="B1239" s="2" t="s">
        <v>7398</v>
      </c>
      <c r="C1239" s="2" t="s">
        <v>7399</v>
      </c>
      <c r="D1239" s="2" t="s">
        <v>6641</v>
      </c>
      <c r="E1239" s="5">
        <v>96</v>
      </c>
      <c r="F1239" s="2" t="s">
        <v>1996</v>
      </c>
      <c r="G1239" s="2" t="s">
        <v>7410</v>
      </c>
      <c r="H1239" s="2" t="s">
        <v>1198</v>
      </c>
      <c r="I1239" s="4">
        <v>1</v>
      </c>
      <c r="J1239" s="4">
        <v>0</v>
      </c>
      <c r="L1239" s="31">
        <v>0.14000000000000001</v>
      </c>
      <c r="M1239" s="32">
        <v>7.1</v>
      </c>
      <c r="N1239" s="33">
        <v>7.1</v>
      </c>
    </row>
    <row r="1240" spans="1:14" x14ac:dyDescent="0.25">
      <c r="A1240" s="30">
        <v>1</v>
      </c>
      <c r="B1240" s="2" t="s">
        <v>7398</v>
      </c>
      <c r="C1240" s="2" t="s">
        <v>7399</v>
      </c>
      <c r="D1240" s="2" t="s">
        <v>6642</v>
      </c>
      <c r="E1240" s="5">
        <v>100</v>
      </c>
      <c r="F1240" s="2" t="s">
        <v>1907</v>
      </c>
      <c r="G1240" s="2" t="s">
        <v>7409</v>
      </c>
      <c r="H1240" s="2" t="s">
        <v>1199</v>
      </c>
      <c r="I1240" s="4">
        <v>21</v>
      </c>
      <c r="J1240" s="4">
        <v>0</v>
      </c>
      <c r="L1240" s="31">
        <v>2.42</v>
      </c>
      <c r="M1240" s="32">
        <v>8.6999999999999993</v>
      </c>
      <c r="N1240" s="33">
        <v>8.6999999999999993</v>
      </c>
    </row>
    <row r="1241" spans="1:14" x14ac:dyDescent="0.25">
      <c r="A1241" s="30">
        <v>1</v>
      </c>
      <c r="B1241" s="2" t="s">
        <v>7398</v>
      </c>
      <c r="C1241" s="2" t="s">
        <v>7399</v>
      </c>
      <c r="D1241" s="2" t="s">
        <v>6643</v>
      </c>
      <c r="E1241" s="5">
        <v>96</v>
      </c>
      <c r="F1241" s="2" t="s">
        <v>1953</v>
      </c>
      <c r="G1241" s="2" t="s">
        <v>7410</v>
      </c>
      <c r="H1241" s="2" t="s">
        <v>1200</v>
      </c>
      <c r="I1241" s="4">
        <v>0</v>
      </c>
      <c r="J1241" s="4">
        <v>0</v>
      </c>
      <c r="L1241" s="31">
        <v>0</v>
      </c>
      <c r="M1241" s="32">
        <v>0</v>
      </c>
      <c r="N1241" s="33">
        <v>9999</v>
      </c>
    </row>
    <row r="1242" spans="1:14" x14ac:dyDescent="0.25">
      <c r="A1242" s="30">
        <v>1</v>
      </c>
      <c r="B1242" s="2" t="s">
        <v>7398</v>
      </c>
      <c r="C1242" s="2" t="s">
        <v>7399</v>
      </c>
      <c r="D1242" s="2" t="s">
        <v>6644</v>
      </c>
      <c r="E1242" s="5">
        <v>6</v>
      </c>
      <c r="F1242" s="2" t="s">
        <v>1910</v>
      </c>
      <c r="G1242" s="2" t="s">
        <v>7409</v>
      </c>
      <c r="H1242" s="2" t="s">
        <v>1201</v>
      </c>
      <c r="I1242" s="4">
        <v>6086</v>
      </c>
      <c r="J1242" s="4">
        <v>5864</v>
      </c>
      <c r="L1242" s="31">
        <v>275.42</v>
      </c>
      <c r="M1242" s="32">
        <v>43.4</v>
      </c>
      <c r="N1242" s="33">
        <v>22.1</v>
      </c>
    </row>
    <row r="1243" spans="1:14" x14ac:dyDescent="0.25">
      <c r="A1243" s="30">
        <v>1</v>
      </c>
      <c r="B1243" s="2" t="s">
        <v>7398</v>
      </c>
      <c r="C1243" s="2" t="s">
        <v>7399</v>
      </c>
      <c r="D1243" s="2" t="s">
        <v>6645</v>
      </c>
      <c r="E1243" s="5">
        <v>12</v>
      </c>
      <c r="F1243" s="2" t="s">
        <v>1874</v>
      </c>
      <c r="G1243" s="2" t="s">
        <v>7409</v>
      </c>
      <c r="H1243" s="2" t="s">
        <v>1202</v>
      </c>
      <c r="I1243" s="4">
        <v>2460</v>
      </c>
      <c r="J1243" s="4">
        <v>3940</v>
      </c>
      <c r="L1243" s="31">
        <v>188</v>
      </c>
      <c r="M1243" s="32">
        <v>34</v>
      </c>
      <c r="N1243" s="33">
        <v>13.1</v>
      </c>
    </row>
    <row r="1244" spans="1:14" x14ac:dyDescent="0.25">
      <c r="A1244" s="30">
        <v>1</v>
      </c>
      <c r="B1244" s="2" t="s">
        <v>7398</v>
      </c>
      <c r="C1244" s="2" t="s">
        <v>7399</v>
      </c>
      <c r="D1244" s="2" t="s">
        <v>6646</v>
      </c>
      <c r="E1244" s="5">
        <v>200</v>
      </c>
      <c r="F1244" s="2" t="s">
        <v>1907</v>
      </c>
      <c r="G1244" s="2" t="s">
        <v>7409</v>
      </c>
      <c r="H1244" s="2" t="s">
        <v>1203</v>
      </c>
      <c r="I1244" s="4">
        <v>20</v>
      </c>
      <c r="J1244" s="4">
        <v>0</v>
      </c>
      <c r="L1244" s="31">
        <v>1.28</v>
      </c>
      <c r="M1244" s="32">
        <v>15.6</v>
      </c>
      <c r="N1244" s="33">
        <v>15.6</v>
      </c>
    </row>
    <row r="1245" spans="1:14" x14ac:dyDescent="0.25">
      <c r="A1245" s="30">
        <v>1</v>
      </c>
      <c r="B1245" s="2" t="s">
        <v>7398</v>
      </c>
      <c r="C1245" s="2" t="s">
        <v>7399</v>
      </c>
      <c r="D1245" s="2" t="s">
        <v>6647</v>
      </c>
      <c r="E1245" s="5">
        <v>12</v>
      </c>
      <c r="F1245" s="2" t="s">
        <v>1874</v>
      </c>
      <c r="G1245" s="2" t="s">
        <v>7409</v>
      </c>
      <c r="H1245" s="2" t="s">
        <v>1204</v>
      </c>
      <c r="I1245" s="4">
        <v>1759</v>
      </c>
      <c r="J1245" s="4">
        <v>5994</v>
      </c>
      <c r="L1245" s="31">
        <v>124.57</v>
      </c>
      <c r="M1245" s="32">
        <v>62.2</v>
      </c>
      <c r="N1245" s="33">
        <v>14.1</v>
      </c>
    </row>
    <row r="1246" spans="1:14" x14ac:dyDescent="0.25">
      <c r="A1246" s="30">
        <v>1</v>
      </c>
      <c r="B1246" s="2" t="s">
        <v>7398</v>
      </c>
      <c r="C1246" s="2" t="s">
        <v>7399</v>
      </c>
      <c r="D1246" s="2" t="s">
        <v>6648</v>
      </c>
      <c r="E1246" s="5">
        <v>12</v>
      </c>
      <c r="F1246" s="2" t="s">
        <v>1876</v>
      </c>
      <c r="G1246" s="2" t="s">
        <v>7409</v>
      </c>
      <c r="H1246" s="2" t="s">
        <v>1205</v>
      </c>
      <c r="I1246" s="4">
        <v>865</v>
      </c>
      <c r="J1246" s="4">
        <v>700</v>
      </c>
      <c r="L1246" s="31">
        <v>1</v>
      </c>
      <c r="M1246" s="32">
        <v>1565</v>
      </c>
      <c r="N1246" s="33">
        <v>865</v>
      </c>
    </row>
    <row r="1247" spans="1:14" x14ac:dyDescent="0.25">
      <c r="A1247" s="30">
        <v>1</v>
      </c>
      <c r="B1247" s="2" t="s">
        <v>7398</v>
      </c>
      <c r="C1247" s="2" t="s">
        <v>7399</v>
      </c>
      <c r="D1247" s="2" t="s">
        <v>6649</v>
      </c>
      <c r="E1247" s="5">
        <v>24</v>
      </c>
      <c r="F1247" s="2" t="s">
        <v>1874</v>
      </c>
      <c r="G1247" s="2" t="s">
        <v>7409</v>
      </c>
      <c r="H1247" s="2" t="s">
        <v>1206</v>
      </c>
      <c r="I1247" s="4">
        <v>97</v>
      </c>
      <c r="J1247" s="4">
        <v>180</v>
      </c>
      <c r="L1247" s="31">
        <v>26.28</v>
      </c>
      <c r="M1247" s="32">
        <v>10.5</v>
      </c>
      <c r="N1247" s="33">
        <v>3.7</v>
      </c>
    </row>
    <row r="1248" spans="1:14" x14ac:dyDescent="0.25">
      <c r="A1248" s="30">
        <v>1</v>
      </c>
      <c r="B1248" s="2" t="s">
        <v>7398</v>
      </c>
      <c r="C1248" s="2" t="s">
        <v>7399</v>
      </c>
      <c r="D1248" s="2" t="s">
        <v>6650</v>
      </c>
      <c r="E1248" s="5">
        <v>10</v>
      </c>
      <c r="F1248" s="2" t="s">
        <v>1972</v>
      </c>
      <c r="G1248" s="2" t="s">
        <v>7409</v>
      </c>
      <c r="H1248" s="2" t="s">
        <v>1207</v>
      </c>
      <c r="I1248" s="4">
        <v>5354</v>
      </c>
      <c r="J1248" s="4">
        <v>2030</v>
      </c>
      <c r="L1248" s="31">
        <v>137</v>
      </c>
      <c r="M1248" s="32">
        <v>53.9</v>
      </c>
      <c r="N1248" s="33">
        <v>39.1</v>
      </c>
    </row>
    <row r="1249" spans="1:14" x14ac:dyDescent="0.25">
      <c r="A1249" s="30">
        <v>1</v>
      </c>
      <c r="B1249" s="2" t="s">
        <v>7398</v>
      </c>
      <c r="C1249" s="2" t="s">
        <v>7399</v>
      </c>
      <c r="D1249" s="2" t="s">
        <v>6651</v>
      </c>
      <c r="E1249" s="5">
        <v>10</v>
      </c>
      <c r="F1249" s="2" t="s">
        <v>1972</v>
      </c>
      <c r="G1249" s="2" t="s">
        <v>7409</v>
      </c>
      <c r="H1249" s="2" t="s">
        <v>1208</v>
      </c>
      <c r="I1249" s="4">
        <v>12177</v>
      </c>
      <c r="J1249" s="4">
        <v>3300</v>
      </c>
      <c r="L1249" s="31">
        <v>530.41999999999996</v>
      </c>
      <c r="M1249" s="32">
        <v>29.2</v>
      </c>
      <c r="N1249" s="33">
        <v>23</v>
      </c>
    </row>
    <row r="1250" spans="1:14" x14ac:dyDescent="0.25">
      <c r="A1250" s="30">
        <v>1</v>
      </c>
      <c r="B1250" s="2" t="s">
        <v>7398</v>
      </c>
      <c r="C1250" s="2" t="s">
        <v>7399</v>
      </c>
      <c r="D1250" s="2" t="s">
        <v>6652</v>
      </c>
      <c r="E1250" s="5">
        <v>6</v>
      </c>
      <c r="F1250" s="2" t="s">
        <v>1907</v>
      </c>
      <c r="G1250" s="2" t="s">
        <v>7409</v>
      </c>
      <c r="H1250" s="2" t="s">
        <v>1209</v>
      </c>
      <c r="I1250" s="4">
        <v>1024</v>
      </c>
      <c r="J1250" s="4">
        <v>0</v>
      </c>
      <c r="L1250" s="31">
        <v>75.42</v>
      </c>
      <c r="M1250" s="32">
        <v>13.6</v>
      </c>
      <c r="N1250" s="33">
        <v>13.6</v>
      </c>
    </row>
    <row r="1251" spans="1:14" x14ac:dyDescent="0.25">
      <c r="A1251" s="30">
        <v>1</v>
      </c>
      <c r="B1251" s="2" t="s">
        <v>7398</v>
      </c>
      <c r="C1251" s="2" t="s">
        <v>7399</v>
      </c>
      <c r="D1251" s="2" t="s">
        <v>6653</v>
      </c>
      <c r="E1251" s="5">
        <v>6</v>
      </c>
      <c r="F1251" s="2" t="s">
        <v>1907</v>
      </c>
      <c r="G1251" s="2" t="s">
        <v>7409</v>
      </c>
      <c r="H1251" s="2" t="s">
        <v>1210</v>
      </c>
      <c r="I1251" s="4">
        <v>1728</v>
      </c>
      <c r="J1251" s="4">
        <v>0</v>
      </c>
      <c r="L1251" s="31">
        <v>174.85</v>
      </c>
      <c r="M1251" s="32">
        <v>9.9</v>
      </c>
      <c r="N1251" s="33">
        <v>9.9</v>
      </c>
    </row>
    <row r="1252" spans="1:14" x14ac:dyDescent="0.25">
      <c r="A1252" s="30">
        <v>1</v>
      </c>
      <c r="B1252" s="2" t="s">
        <v>7398</v>
      </c>
      <c r="C1252" s="2" t="s">
        <v>7399</v>
      </c>
      <c r="D1252" s="2" t="s">
        <v>6654</v>
      </c>
      <c r="E1252" s="5">
        <v>12</v>
      </c>
      <c r="F1252" s="2" t="s">
        <v>1845</v>
      </c>
      <c r="G1252" s="2" t="s">
        <v>7409</v>
      </c>
      <c r="H1252" s="2" t="s">
        <v>1211</v>
      </c>
      <c r="I1252" s="4">
        <v>1566</v>
      </c>
      <c r="J1252" s="4">
        <v>0</v>
      </c>
      <c r="L1252" s="31">
        <v>119.14</v>
      </c>
      <c r="M1252" s="32">
        <v>13.1</v>
      </c>
      <c r="N1252" s="33">
        <v>13.1</v>
      </c>
    </row>
    <row r="1253" spans="1:14" x14ac:dyDescent="0.25">
      <c r="A1253" s="30">
        <v>1</v>
      </c>
      <c r="B1253" s="2" t="s">
        <v>7398</v>
      </c>
      <c r="C1253" s="2" t="s">
        <v>7399</v>
      </c>
      <c r="D1253" s="2" t="s">
        <v>6655</v>
      </c>
      <c r="E1253" s="5">
        <v>12</v>
      </c>
      <c r="F1253" s="2" t="s">
        <v>1845</v>
      </c>
      <c r="G1253" s="2" t="s">
        <v>7409</v>
      </c>
      <c r="H1253" s="2" t="s">
        <v>1212</v>
      </c>
      <c r="I1253" s="4">
        <v>3981</v>
      </c>
      <c r="J1253" s="4">
        <v>0</v>
      </c>
      <c r="L1253" s="31">
        <v>435.28</v>
      </c>
      <c r="M1253" s="32">
        <v>9.1</v>
      </c>
      <c r="N1253" s="33">
        <v>9.1</v>
      </c>
    </row>
    <row r="1254" spans="1:14" x14ac:dyDescent="0.25">
      <c r="A1254" s="30">
        <v>1</v>
      </c>
      <c r="B1254" s="2" t="s">
        <v>7398</v>
      </c>
      <c r="C1254" s="2" t="s">
        <v>7399</v>
      </c>
      <c r="D1254" s="2" t="s">
        <v>6656</v>
      </c>
      <c r="E1254" s="5">
        <v>12</v>
      </c>
      <c r="F1254" s="2" t="s">
        <v>1845</v>
      </c>
      <c r="G1254" s="2" t="s">
        <v>7409</v>
      </c>
      <c r="H1254" s="2" t="s">
        <v>1213</v>
      </c>
      <c r="I1254" s="4">
        <v>268</v>
      </c>
      <c r="J1254" s="4">
        <v>0</v>
      </c>
      <c r="L1254" s="31">
        <v>26</v>
      </c>
      <c r="M1254" s="32">
        <v>10.3</v>
      </c>
      <c r="N1254" s="33">
        <v>10.3</v>
      </c>
    </row>
    <row r="1255" spans="1:14" x14ac:dyDescent="0.25">
      <c r="A1255" s="30">
        <v>1</v>
      </c>
      <c r="B1255" s="2" t="s">
        <v>7398</v>
      </c>
      <c r="C1255" s="2" t="s">
        <v>7399</v>
      </c>
      <c r="D1255" s="2" t="s">
        <v>6657</v>
      </c>
      <c r="E1255" s="5">
        <v>12</v>
      </c>
      <c r="F1255" s="2" t="s">
        <v>1845</v>
      </c>
      <c r="G1255" s="2" t="s">
        <v>7409</v>
      </c>
      <c r="H1255" s="2" t="s">
        <v>1214</v>
      </c>
      <c r="I1255" s="4">
        <v>610</v>
      </c>
      <c r="J1255" s="4">
        <v>0</v>
      </c>
      <c r="L1255" s="31">
        <v>90.85</v>
      </c>
      <c r="M1255" s="32">
        <v>6.7</v>
      </c>
      <c r="N1255" s="33">
        <v>6.7</v>
      </c>
    </row>
    <row r="1256" spans="1:14" x14ac:dyDescent="0.25">
      <c r="A1256" s="30">
        <v>1</v>
      </c>
      <c r="B1256" s="2" t="s">
        <v>7398</v>
      </c>
      <c r="C1256" s="2" t="s">
        <v>7399</v>
      </c>
      <c r="D1256" s="2" t="s">
        <v>6658</v>
      </c>
      <c r="E1256" s="5">
        <v>10</v>
      </c>
      <c r="F1256" s="2" t="s">
        <v>1896</v>
      </c>
      <c r="G1256" s="2" t="s">
        <v>7409</v>
      </c>
      <c r="H1256" s="2" t="s">
        <v>1215</v>
      </c>
      <c r="I1256" s="4">
        <v>1622</v>
      </c>
      <c r="J1256" s="4">
        <v>4140</v>
      </c>
      <c r="L1256" s="31">
        <v>403.14</v>
      </c>
      <c r="M1256" s="32">
        <v>14.3</v>
      </c>
      <c r="N1256" s="33">
        <v>4</v>
      </c>
    </row>
    <row r="1257" spans="1:14" x14ac:dyDescent="0.25">
      <c r="A1257" s="30">
        <v>1</v>
      </c>
      <c r="B1257" s="2" t="s">
        <v>7398</v>
      </c>
      <c r="C1257" s="2" t="s">
        <v>7399</v>
      </c>
      <c r="D1257" s="2" t="s">
        <v>6659</v>
      </c>
      <c r="E1257" s="5">
        <v>4</v>
      </c>
      <c r="F1257" s="2" t="s">
        <v>1907</v>
      </c>
      <c r="G1257" s="2" t="s">
        <v>7409</v>
      </c>
      <c r="H1257" s="2" t="s">
        <v>1216</v>
      </c>
      <c r="I1257" s="4">
        <v>1815</v>
      </c>
      <c r="J1257" s="4">
        <v>0</v>
      </c>
      <c r="L1257" s="31">
        <v>165.42</v>
      </c>
      <c r="M1257" s="32">
        <v>11</v>
      </c>
      <c r="N1257" s="33">
        <v>11</v>
      </c>
    </row>
    <row r="1258" spans="1:14" x14ac:dyDescent="0.25">
      <c r="A1258" s="30">
        <v>1</v>
      </c>
      <c r="B1258" s="2" t="s">
        <v>7398</v>
      </c>
      <c r="C1258" s="2" t="s">
        <v>7399</v>
      </c>
      <c r="D1258" s="2" t="s">
        <v>6660</v>
      </c>
      <c r="E1258" s="5">
        <v>4</v>
      </c>
      <c r="F1258" s="2" t="s">
        <v>1907</v>
      </c>
      <c r="G1258" s="2" t="s">
        <v>7409</v>
      </c>
      <c r="H1258" s="2" t="s">
        <v>1217</v>
      </c>
      <c r="I1258" s="4">
        <v>711</v>
      </c>
      <c r="J1258" s="4">
        <v>0</v>
      </c>
      <c r="L1258" s="31">
        <v>68.709999999999994</v>
      </c>
      <c r="M1258" s="32">
        <v>10.3</v>
      </c>
      <c r="N1258" s="33">
        <v>10.3</v>
      </c>
    </row>
    <row r="1259" spans="1:14" x14ac:dyDescent="0.25">
      <c r="A1259" s="30">
        <v>1</v>
      </c>
      <c r="B1259" s="2" t="s">
        <v>7398</v>
      </c>
      <c r="C1259" s="2" t="s">
        <v>7399</v>
      </c>
      <c r="D1259" s="2" t="s">
        <v>6661</v>
      </c>
      <c r="E1259" s="5">
        <v>4</v>
      </c>
      <c r="F1259" s="2" t="s">
        <v>1907</v>
      </c>
      <c r="G1259" s="2" t="s">
        <v>7409</v>
      </c>
      <c r="H1259" s="2" t="s">
        <v>1218</v>
      </c>
      <c r="I1259" s="4">
        <v>1433</v>
      </c>
      <c r="J1259" s="4">
        <v>0</v>
      </c>
      <c r="L1259" s="31">
        <v>175.71</v>
      </c>
      <c r="M1259" s="32">
        <v>8.1999999999999993</v>
      </c>
      <c r="N1259" s="33">
        <v>8.1999999999999993</v>
      </c>
    </row>
    <row r="1260" spans="1:14" x14ac:dyDescent="0.25">
      <c r="A1260" s="30">
        <v>1</v>
      </c>
      <c r="B1260" s="2" t="s">
        <v>7398</v>
      </c>
      <c r="C1260" s="2" t="s">
        <v>7399</v>
      </c>
      <c r="D1260" s="2" t="s">
        <v>6662</v>
      </c>
      <c r="E1260" s="5">
        <v>24</v>
      </c>
      <c r="F1260" s="2" t="s">
        <v>1903</v>
      </c>
      <c r="G1260" s="2" t="s">
        <v>7410</v>
      </c>
      <c r="H1260" s="2" t="s">
        <v>1219</v>
      </c>
      <c r="I1260" s="4">
        <v>86</v>
      </c>
      <c r="J1260" s="4">
        <v>0</v>
      </c>
      <c r="L1260" s="31">
        <v>6.42</v>
      </c>
      <c r="M1260" s="32">
        <v>13.4</v>
      </c>
      <c r="N1260" s="33">
        <v>13.4</v>
      </c>
    </row>
    <row r="1261" spans="1:14" x14ac:dyDescent="0.25">
      <c r="A1261" s="30">
        <v>1</v>
      </c>
      <c r="B1261" s="2" t="s">
        <v>7398</v>
      </c>
      <c r="C1261" s="2" t="s">
        <v>7399</v>
      </c>
      <c r="D1261" s="2" t="s">
        <v>6663</v>
      </c>
      <c r="E1261" s="5">
        <v>12</v>
      </c>
      <c r="F1261" s="2" t="s">
        <v>1845</v>
      </c>
      <c r="G1261" s="2" t="s">
        <v>7409</v>
      </c>
      <c r="H1261" s="2" t="s">
        <v>1220</v>
      </c>
      <c r="I1261" s="4">
        <v>16</v>
      </c>
      <c r="J1261" s="4">
        <v>0</v>
      </c>
      <c r="L1261" s="31">
        <v>1.85</v>
      </c>
      <c r="M1261" s="32">
        <v>8.6</v>
      </c>
      <c r="N1261" s="33">
        <v>8.6</v>
      </c>
    </row>
    <row r="1262" spans="1:14" x14ac:dyDescent="0.25">
      <c r="A1262" s="30">
        <v>1</v>
      </c>
      <c r="B1262" s="2" t="s">
        <v>7398</v>
      </c>
      <c r="C1262" s="2" t="s">
        <v>7399</v>
      </c>
      <c r="D1262" s="2" t="s">
        <v>6664</v>
      </c>
      <c r="E1262" s="5">
        <v>12</v>
      </c>
      <c r="F1262" s="2" t="s">
        <v>1845</v>
      </c>
      <c r="G1262" s="2" t="s">
        <v>7409</v>
      </c>
      <c r="H1262" s="2" t="s">
        <v>1221</v>
      </c>
      <c r="I1262" s="4">
        <v>1198</v>
      </c>
      <c r="J1262" s="4">
        <v>0</v>
      </c>
      <c r="L1262" s="31">
        <v>148.28</v>
      </c>
      <c r="M1262" s="32">
        <v>8.1</v>
      </c>
      <c r="N1262" s="33">
        <v>8.1</v>
      </c>
    </row>
    <row r="1263" spans="1:14" x14ac:dyDescent="0.25">
      <c r="A1263" s="30">
        <v>1</v>
      </c>
      <c r="B1263" s="2" t="s">
        <v>7398</v>
      </c>
      <c r="C1263" s="2" t="s">
        <v>7399</v>
      </c>
      <c r="D1263" s="2" t="s">
        <v>6665</v>
      </c>
      <c r="E1263" s="5">
        <v>72</v>
      </c>
      <c r="F1263" s="2" t="s">
        <v>1903</v>
      </c>
      <c r="G1263" s="2" t="s">
        <v>7410</v>
      </c>
      <c r="H1263" s="2" t="s">
        <v>1222</v>
      </c>
      <c r="I1263" s="4">
        <v>82</v>
      </c>
      <c r="J1263" s="4">
        <v>0</v>
      </c>
      <c r="L1263" s="31">
        <v>41.71</v>
      </c>
      <c r="M1263" s="32">
        <v>2</v>
      </c>
      <c r="N1263" s="33">
        <v>2</v>
      </c>
    </row>
    <row r="1264" spans="1:14" x14ac:dyDescent="0.25">
      <c r="A1264" s="30">
        <v>1</v>
      </c>
      <c r="B1264" s="2" t="s">
        <v>7398</v>
      </c>
      <c r="C1264" s="2" t="s">
        <v>7399</v>
      </c>
      <c r="D1264" s="2" t="s">
        <v>6666</v>
      </c>
      <c r="E1264" s="5">
        <v>24</v>
      </c>
      <c r="F1264" s="2" t="s">
        <v>1903</v>
      </c>
      <c r="G1264" s="2" t="s">
        <v>7410</v>
      </c>
      <c r="H1264" s="2" t="s">
        <v>1223</v>
      </c>
      <c r="I1264" s="4">
        <v>2125</v>
      </c>
      <c r="J1264" s="4">
        <v>0</v>
      </c>
      <c r="L1264" s="31">
        <v>196.28</v>
      </c>
      <c r="M1264" s="32">
        <v>10.8</v>
      </c>
      <c r="N1264" s="33">
        <v>10.8</v>
      </c>
    </row>
    <row r="1265" spans="1:14" x14ac:dyDescent="0.25">
      <c r="A1265" s="30">
        <v>1</v>
      </c>
      <c r="B1265" s="2" t="s">
        <v>7398</v>
      </c>
      <c r="C1265" s="2" t="s">
        <v>7399</v>
      </c>
      <c r="D1265" s="2" t="s">
        <v>6667</v>
      </c>
      <c r="E1265" s="5">
        <v>12</v>
      </c>
      <c r="F1265" s="2" t="s">
        <v>1845</v>
      </c>
      <c r="G1265" s="2" t="s">
        <v>7409</v>
      </c>
      <c r="H1265" s="2" t="s">
        <v>1224</v>
      </c>
      <c r="I1265" s="4">
        <v>109</v>
      </c>
      <c r="J1265" s="4">
        <v>780</v>
      </c>
      <c r="L1265" s="31">
        <v>271</v>
      </c>
      <c r="M1265" s="32">
        <v>3.3</v>
      </c>
      <c r="N1265" s="33">
        <v>0.4</v>
      </c>
    </row>
    <row r="1266" spans="1:14" x14ac:dyDescent="0.25">
      <c r="A1266" s="30">
        <v>1</v>
      </c>
      <c r="B1266" s="2" t="s">
        <v>7398</v>
      </c>
      <c r="C1266" s="2" t="s">
        <v>7399</v>
      </c>
      <c r="D1266" s="2" t="s">
        <v>6668</v>
      </c>
      <c r="E1266" s="5">
        <v>12</v>
      </c>
      <c r="F1266" s="2" t="s">
        <v>1845</v>
      </c>
      <c r="G1266" s="2" t="s">
        <v>7409</v>
      </c>
      <c r="H1266" s="2" t="s">
        <v>1225</v>
      </c>
      <c r="I1266" s="4">
        <v>3079</v>
      </c>
      <c r="J1266" s="4">
        <v>71</v>
      </c>
      <c r="L1266" s="31">
        <v>805.85</v>
      </c>
      <c r="M1266" s="32">
        <v>4</v>
      </c>
      <c r="N1266" s="33">
        <v>3.8</v>
      </c>
    </row>
    <row r="1267" spans="1:14" x14ac:dyDescent="0.25">
      <c r="A1267" s="30">
        <v>1</v>
      </c>
      <c r="B1267" s="2" t="s">
        <v>7398</v>
      </c>
      <c r="C1267" s="2" t="s">
        <v>7399</v>
      </c>
      <c r="D1267" s="2" t="s">
        <v>6669</v>
      </c>
      <c r="E1267" s="5">
        <v>24</v>
      </c>
      <c r="F1267" s="2" t="s">
        <v>1874</v>
      </c>
      <c r="G1267" s="2" t="s">
        <v>7409</v>
      </c>
      <c r="H1267" s="2" t="s">
        <v>1226</v>
      </c>
      <c r="I1267" s="4">
        <v>296</v>
      </c>
      <c r="J1267" s="4">
        <v>13</v>
      </c>
      <c r="L1267" s="31">
        <v>94.14</v>
      </c>
      <c r="M1267" s="32">
        <v>3.3</v>
      </c>
      <c r="N1267" s="33">
        <v>3.1</v>
      </c>
    </row>
    <row r="1268" spans="1:14" x14ac:dyDescent="0.25">
      <c r="A1268" s="30">
        <v>1</v>
      </c>
      <c r="B1268" s="2" t="s">
        <v>7398</v>
      </c>
      <c r="C1268" s="2" t="s">
        <v>7399</v>
      </c>
      <c r="D1268" s="2" t="s">
        <v>6670</v>
      </c>
      <c r="E1268" s="5">
        <v>24</v>
      </c>
      <c r="F1268" s="2" t="s">
        <v>1874</v>
      </c>
      <c r="G1268" s="2" t="s">
        <v>7409</v>
      </c>
      <c r="H1268" s="2" t="s">
        <v>1227</v>
      </c>
      <c r="I1268" s="4">
        <v>68</v>
      </c>
      <c r="J1268" s="4">
        <v>0</v>
      </c>
      <c r="L1268" s="31">
        <v>18.14</v>
      </c>
      <c r="M1268" s="32">
        <v>3.7</v>
      </c>
      <c r="N1268" s="33">
        <v>3.7</v>
      </c>
    </row>
    <row r="1269" spans="1:14" x14ac:dyDescent="0.25">
      <c r="A1269" s="30">
        <v>1</v>
      </c>
      <c r="B1269" s="2" t="s">
        <v>7398</v>
      </c>
      <c r="C1269" s="2" t="s">
        <v>7399</v>
      </c>
      <c r="D1269" s="2" t="s">
        <v>6671</v>
      </c>
      <c r="E1269" s="5">
        <v>24</v>
      </c>
      <c r="F1269" s="2" t="s">
        <v>1874</v>
      </c>
      <c r="G1269" s="2" t="s">
        <v>7409</v>
      </c>
      <c r="H1269" s="2" t="s">
        <v>1228</v>
      </c>
      <c r="I1269" s="4">
        <v>696</v>
      </c>
      <c r="J1269" s="4">
        <v>0</v>
      </c>
      <c r="L1269" s="31">
        <v>77.849999999999994</v>
      </c>
      <c r="M1269" s="32">
        <v>8.9</v>
      </c>
      <c r="N1269" s="33">
        <v>8.9</v>
      </c>
    </row>
    <row r="1270" spans="1:14" x14ac:dyDescent="0.25">
      <c r="A1270" s="30">
        <v>1</v>
      </c>
      <c r="B1270" s="2" t="s">
        <v>7398</v>
      </c>
      <c r="C1270" s="2" t="s">
        <v>7399</v>
      </c>
      <c r="D1270" s="2" t="s">
        <v>6672</v>
      </c>
      <c r="E1270" s="5">
        <v>12</v>
      </c>
      <c r="F1270" s="2" t="s">
        <v>1845</v>
      </c>
      <c r="G1270" s="2" t="s">
        <v>7409</v>
      </c>
      <c r="H1270" s="2" t="s">
        <v>1229</v>
      </c>
      <c r="I1270" s="4">
        <v>3171</v>
      </c>
      <c r="J1270" s="4">
        <v>0</v>
      </c>
      <c r="L1270" s="31">
        <v>470.42</v>
      </c>
      <c r="M1270" s="32">
        <v>6.7</v>
      </c>
      <c r="N1270" s="33">
        <v>6.7</v>
      </c>
    </row>
    <row r="1271" spans="1:14" x14ac:dyDescent="0.25">
      <c r="A1271" s="30">
        <v>1</v>
      </c>
      <c r="B1271" s="2" t="s">
        <v>7398</v>
      </c>
      <c r="C1271" s="2" t="s">
        <v>7399</v>
      </c>
      <c r="D1271" s="2" t="s">
        <v>6673</v>
      </c>
      <c r="E1271" s="5">
        <v>24</v>
      </c>
      <c r="F1271" s="2" t="s">
        <v>1874</v>
      </c>
      <c r="G1271" s="2" t="s">
        <v>7409</v>
      </c>
      <c r="H1271" s="2" t="s">
        <v>1230</v>
      </c>
      <c r="I1271" s="4">
        <v>266</v>
      </c>
      <c r="J1271" s="4">
        <v>0</v>
      </c>
      <c r="L1271" s="31">
        <v>23.28</v>
      </c>
      <c r="M1271" s="32">
        <v>11.4</v>
      </c>
      <c r="N1271" s="33">
        <v>11.4</v>
      </c>
    </row>
    <row r="1272" spans="1:14" x14ac:dyDescent="0.25">
      <c r="A1272" s="30">
        <v>1</v>
      </c>
      <c r="B1272" s="2" t="s">
        <v>7398</v>
      </c>
      <c r="C1272" s="2" t="s">
        <v>7399</v>
      </c>
      <c r="D1272" s="2" t="s">
        <v>6674</v>
      </c>
      <c r="E1272" s="5">
        <v>12</v>
      </c>
      <c r="F1272" s="2" t="s">
        <v>1845</v>
      </c>
      <c r="G1272" s="2" t="s">
        <v>7409</v>
      </c>
      <c r="H1272" s="2" t="s">
        <v>1231</v>
      </c>
      <c r="I1272" s="4">
        <v>1603</v>
      </c>
      <c r="J1272" s="4">
        <v>0</v>
      </c>
      <c r="L1272" s="31">
        <v>392</v>
      </c>
      <c r="M1272" s="32">
        <v>4.0999999999999996</v>
      </c>
      <c r="N1272" s="33">
        <v>4.0999999999999996</v>
      </c>
    </row>
    <row r="1273" spans="1:14" x14ac:dyDescent="0.25">
      <c r="A1273" s="30">
        <v>1</v>
      </c>
      <c r="B1273" s="2" t="s">
        <v>7398</v>
      </c>
      <c r="C1273" s="2" t="s">
        <v>7399</v>
      </c>
      <c r="D1273" s="2" t="s">
        <v>6675</v>
      </c>
      <c r="E1273" s="5">
        <v>24</v>
      </c>
      <c r="F1273" s="2" t="s">
        <v>1874</v>
      </c>
      <c r="G1273" s="2" t="s">
        <v>7409</v>
      </c>
      <c r="H1273" s="2" t="s">
        <v>1232</v>
      </c>
      <c r="I1273" s="4">
        <v>28</v>
      </c>
      <c r="J1273" s="4">
        <v>0</v>
      </c>
      <c r="L1273" s="31">
        <v>0.71</v>
      </c>
      <c r="M1273" s="32">
        <v>39.4</v>
      </c>
      <c r="N1273" s="33">
        <v>39.4</v>
      </c>
    </row>
    <row r="1274" spans="1:14" x14ac:dyDescent="0.25">
      <c r="A1274" s="30">
        <v>1</v>
      </c>
      <c r="B1274" s="2" t="s">
        <v>7398</v>
      </c>
      <c r="C1274" s="2" t="s">
        <v>7399</v>
      </c>
      <c r="D1274" s="2" t="s">
        <v>6676</v>
      </c>
      <c r="E1274" s="5">
        <v>12</v>
      </c>
      <c r="F1274" s="2" t="s">
        <v>1845</v>
      </c>
      <c r="G1274" s="2" t="s">
        <v>7409</v>
      </c>
      <c r="H1274" s="2" t="s">
        <v>1233</v>
      </c>
      <c r="I1274" s="4">
        <v>472</v>
      </c>
      <c r="J1274" s="4">
        <v>0</v>
      </c>
      <c r="L1274" s="31">
        <v>67.42</v>
      </c>
      <c r="M1274" s="32">
        <v>7</v>
      </c>
      <c r="N1274" s="33">
        <v>7</v>
      </c>
    </row>
    <row r="1275" spans="1:14" x14ac:dyDescent="0.25">
      <c r="A1275" s="30">
        <v>1</v>
      </c>
      <c r="B1275" s="2" t="s">
        <v>7398</v>
      </c>
      <c r="C1275" s="2" t="s">
        <v>7399</v>
      </c>
      <c r="D1275" s="2" t="s">
        <v>6677</v>
      </c>
      <c r="E1275" s="5">
        <v>12</v>
      </c>
      <c r="F1275" s="2" t="s">
        <v>1918</v>
      </c>
      <c r="G1275" s="2" t="s">
        <v>7410</v>
      </c>
      <c r="H1275" s="2" t="s">
        <v>1234</v>
      </c>
      <c r="I1275" s="4">
        <v>61</v>
      </c>
      <c r="J1275" s="4">
        <v>90</v>
      </c>
      <c r="L1275" s="31">
        <v>10</v>
      </c>
      <c r="M1275" s="32">
        <v>15.1</v>
      </c>
      <c r="N1275" s="33">
        <v>6.1</v>
      </c>
    </row>
    <row r="1276" spans="1:14" x14ac:dyDescent="0.25">
      <c r="A1276" s="30">
        <v>1</v>
      </c>
      <c r="B1276" s="2" t="s">
        <v>7398</v>
      </c>
      <c r="C1276" s="2" t="s">
        <v>7399</v>
      </c>
      <c r="D1276" s="2" t="s">
        <v>6678</v>
      </c>
      <c r="E1276" s="5">
        <v>12</v>
      </c>
      <c r="F1276" s="2" t="s">
        <v>1918</v>
      </c>
      <c r="G1276" s="2" t="s">
        <v>7410</v>
      </c>
      <c r="H1276" s="2" t="s">
        <v>1235</v>
      </c>
      <c r="I1276" s="4">
        <v>146</v>
      </c>
      <c r="J1276" s="4">
        <v>96</v>
      </c>
      <c r="L1276" s="31">
        <v>11.57</v>
      </c>
      <c r="M1276" s="32">
        <v>20.9</v>
      </c>
      <c r="N1276" s="33">
        <v>12.6</v>
      </c>
    </row>
    <row r="1277" spans="1:14" x14ac:dyDescent="0.25">
      <c r="A1277" s="30">
        <v>1</v>
      </c>
      <c r="B1277" s="2" t="s">
        <v>7398</v>
      </c>
      <c r="C1277" s="2" t="s">
        <v>7399</v>
      </c>
      <c r="D1277" s="2" t="s">
        <v>6679</v>
      </c>
      <c r="E1277" s="5">
        <v>12</v>
      </c>
      <c r="F1277" s="2" t="s">
        <v>1874</v>
      </c>
      <c r="G1277" s="2" t="s">
        <v>7405</v>
      </c>
      <c r="H1277" s="2" t="s">
        <v>1236</v>
      </c>
      <c r="I1277" s="4">
        <v>0</v>
      </c>
      <c r="J1277" s="4">
        <v>450</v>
      </c>
      <c r="L1277" s="31">
        <v>0</v>
      </c>
      <c r="M1277" s="32">
        <v>0</v>
      </c>
      <c r="N1277" s="33">
        <v>9999</v>
      </c>
    </row>
    <row r="1278" spans="1:14" x14ac:dyDescent="0.25">
      <c r="A1278" s="30">
        <v>1</v>
      </c>
      <c r="B1278" s="2" t="s">
        <v>7398</v>
      </c>
      <c r="C1278" s="2" t="s">
        <v>7399</v>
      </c>
      <c r="D1278" s="2" t="s">
        <v>6680</v>
      </c>
      <c r="E1278" s="5">
        <v>12</v>
      </c>
      <c r="F1278" s="2" t="s">
        <v>1997</v>
      </c>
      <c r="G1278" s="2" t="s">
        <v>7409</v>
      </c>
      <c r="H1278" s="2" t="s">
        <v>1237</v>
      </c>
      <c r="I1278" s="4">
        <v>72</v>
      </c>
      <c r="J1278" s="4">
        <v>30</v>
      </c>
      <c r="L1278" s="31">
        <v>3.71</v>
      </c>
      <c r="M1278" s="32">
        <v>27.5</v>
      </c>
      <c r="N1278" s="33">
        <v>19.399999999999999</v>
      </c>
    </row>
    <row r="1279" spans="1:14" x14ac:dyDescent="0.25">
      <c r="A1279" s="30">
        <v>1</v>
      </c>
      <c r="B1279" s="2" t="s">
        <v>7398</v>
      </c>
      <c r="C1279" s="2" t="s">
        <v>7399</v>
      </c>
      <c r="D1279" s="2" t="s">
        <v>6681</v>
      </c>
      <c r="E1279" s="5">
        <v>12</v>
      </c>
      <c r="F1279" s="2" t="s">
        <v>1997</v>
      </c>
      <c r="G1279" s="2" t="s">
        <v>7409</v>
      </c>
      <c r="H1279" s="2" t="s">
        <v>1238</v>
      </c>
      <c r="I1279" s="4">
        <v>0</v>
      </c>
      <c r="J1279" s="4">
        <v>210</v>
      </c>
      <c r="L1279" s="31">
        <v>0</v>
      </c>
      <c r="M1279" s="32">
        <v>0</v>
      </c>
      <c r="N1279" s="33">
        <v>9999</v>
      </c>
    </row>
    <row r="1280" spans="1:14" x14ac:dyDescent="0.25">
      <c r="A1280" s="30">
        <v>1</v>
      </c>
      <c r="B1280" s="2" t="s">
        <v>7398</v>
      </c>
      <c r="C1280" s="2" t="s">
        <v>7399</v>
      </c>
      <c r="D1280" s="2" t="s">
        <v>6682</v>
      </c>
      <c r="E1280" s="5">
        <v>12</v>
      </c>
      <c r="F1280" s="2" t="s">
        <v>1997</v>
      </c>
      <c r="G1280" s="2" t="s">
        <v>7409</v>
      </c>
      <c r="H1280" s="2" t="s">
        <v>1239</v>
      </c>
      <c r="I1280" s="4">
        <v>0</v>
      </c>
      <c r="J1280" s="4">
        <v>0</v>
      </c>
      <c r="L1280" s="31">
        <v>0</v>
      </c>
      <c r="M1280" s="32">
        <v>0</v>
      </c>
      <c r="N1280" s="33">
        <v>9999</v>
      </c>
    </row>
    <row r="1281" spans="1:14" x14ac:dyDescent="0.25">
      <c r="A1281" s="30">
        <v>1</v>
      </c>
      <c r="B1281" s="2" t="s">
        <v>7398</v>
      </c>
      <c r="C1281" s="2" t="s">
        <v>7399</v>
      </c>
      <c r="D1281" s="2" t="s">
        <v>6683</v>
      </c>
      <c r="E1281" s="5">
        <v>12</v>
      </c>
      <c r="F1281" s="2" t="s">
        <v>1845</v>
      </c>
      <c r="G1281" s="2" t="s">
        <v>7409</v>
      </c>
      <c r="H1281" s="2" t="s">
        <v>1240</v>
      </c>
      <c r="I1281" s="4">
        <v>23</v>
      </c>
      <c r="J1281" s="4">
        <v>0</v>
      </c>
      <c r="L1281" s="31">
        <v>8.2799999999999994</v>
      </c>
      <c r="M1281" s="32">
        <v>2.8</v>
      </c>
      <c r="N1281" s="33">
        <v>2.8</v>
      </c>
    </row>
    <row r="1282" spans="1:14" x14ac:dyDescent="0.25">
      <c r="A1282" s="30">
        <v>1</v>
      </c>
      <c r="B1282" s="2" t="s">
        <v>7398</v>
      </c>
      <c r="C1282" s="2" t="s">
        <v>7399</v>
      </c>
      <c r="D1282" s="2" t="s">
        <v>6684</v>
      </c>
      <c r="E1282" s="5">
        <v>20</v>
      </c>
      <c r="F1282" s="2" t="s">
        <v>1866</v>
      </c>
      <c r="G1282" s="2" t="s">
        <v>7410</v>
      </c>
      <c r="H1282" s="2" t="s">
        <v>1241</v>
      </c>
      <c r="I1282" s="4">
        <v>183</v>
      </c>
      <c r="J1282" s="4">
        <v>1260</v>
      </c>
      <c r="L1282" s="31">
        <v>7.85</v>
      </c>
      <c r="M1282" s="32">
        <v>183.8</v>
      </c>
      <c r="N1282" s="33">
        <v>23.3</v>
      </c>
    </row>
    <row r="1283" spans="1:14" x14ac:dyDescent="0.25">
      <c r="A1283" s="30">
        <v>1</v>
      </c>
      <c r="B1283" s="2" t="s">
        <v>7398</v>
      </c>
      <c r="C1283" s="2" t="s">
        <v>7399</v>
      </c>
      <c r="D1283" s="2" t="s">
        <v>6685</v>
      </c>
      <c r="E1283" s="5">
        <v>12</v>
      </c>
      <c r="F1283" s="2" t="s">
        <v>1868</v>
      </c>
      <c r="G1283" s="2" t="s">
        <v>7405</v>
      </c>
      <c r="H1283" s="2" t="s">
        <v>1242</v>
      </c>
      <c r="I1283" s="4">
        <v>0</v>
      </c>
      <c r="J1283" s="4">
        <v>360</v>
      </c>
      <c r="L1283" s="31">
        <v>0</v>
      </c>
      <c r="M1283" s="32">
        <v>0</v>
      </c>
      <c r="N1283" s="33">
        <v>9999</v>
      </c>
    </row>
    <row r="1284" spans="1:14" x14ac:dyDescent="0.25">
      <c r="A1284" s="30">
        <v>1</v>
      </c>
      <c r="B1284" s="2" t="s">
        <v>7398</v>
      </c>
      <c r="C1284" s="2" t="s">
        <v>7399</v>
      </c>
      <c r="D1284" s="2" t="s">
        <v>6686</v>
      </c>
      <c r="E1284" s="5">
        <v>12</v>
      </c>
      <c r="F1284" s="2" t="s">
        <v>1874</v>
      </c>
      <c r="G1284" s="2" t="s">
        <v>7405</v>
      </c>
      <c r="H1284" s="2" t="s">
        <v>1243</v>
      </c>
      <c r="I1284" s="4">
        <v>0</v>
      </c>
      <c r="J1284" s="4">
        <v>450</v>
      </c>
      <c r="L1284" s="31">
        <v>0</v>
      </c>
      <c r="M1284" s="32">
        <v>0</v>
      </c>
      <c r="N1284" s="33">
        <v>9999</v>
      </c>
    </row>
    <row r="1285" spans="1:14" x14ac:dyDescent="0.25">
      <c r="A1285" s="30">
        <v>1</v>
      </c>
      <c r="B1285" s="2" t="s">
        <v>7398</v>
      </c>
      <c r="C1285" s="2" t="s">
        <v>7399</v>
      </c>
      <c r="D1285" s="2" t="s">
        <v>6687</v>
      </c>
      <c r="E1285" s="5">
        <v>12</v>
      </c>
      <c r="F1285" s="2" t="s">
        <v>1873</v>
      </c>
      <c r="G1285" s="2" t="s">
        <v>7405</v>
      </c>
      <c r="H1285" s="2" t="s">
        <v>1244</v>
      </c>
      <c r="I1285" s="4">
        <v>0</v>
      </c>
      <c r="J1285" s="4">
        <v>600</v>
      </c>
      <c r="L1285" s="31">
        <v>0</v>
      </c>
      <c r="M1285" s="32">
        <v>0</v>
      </c>
      <c r="N1285" s="33">
        <v>9999</v>
      </c>
    </row>
    <row r="1286" spans="1:14" x14ac:dyDescent="0.25">
      <c r="A1286" s="30">
        <v>1</v>
      </c>
      <c r="B1286" s="2" t="s">
        <v>7398</v>
      </c>
      <c r="C1286" s="2" t="s">
        <v>7399</v>
      </c>
      <c r="D1286" s="2" t="s">
        <v>6688</v>
      </c>
      <c r="E1286" s="5">
        <v>20</v>
      </c>
      <c r="F1286" s="2" t="s">
        <v>1866</v>
      </c>
      <c r="G1286" s="2" t="s">
        <v>7410</v>
      </c>
      <c r="H1286" s="2" t="s">
        <v>1245</v>
      </c>
      <c r="I1286" s="4">
        <v>176</v>
      </c>
      <c r="J1286" s="4">
        <v>1440</v>
      </c>
      <c r="L1286" s="31">
        <v>8.14</v>
      </c>
      <c r="M1286" s="32">
        <v>198.5</v>
      </c>
      <c r="N1286" s="33">
        <v>21.6</v>
      </c>
    </row>
    <row r="1287" spans="1:14" x14ac:dyDescent="0.25">
      <c r="A1287" s="30">
        <v>1</v>
      </c>
      <c r="B1287" s="2" t="s">
        <v>7398</v>
      </c>
      <c r="C1287" s="2" t="s">
        <v>7399</v>
      </c>
      <c r="D1287" s="2" t="s">
        <v>6689</v>
      </c>
      <c r="E1287" s="5">
        <v>12</v>
      </c>
      <c r="F1287" s="2" t="s">
        <v>1883</v>
      </c>
      <c r="G1287" s="2" t="s">
        <v>7409</v>
      </c>
      <c r="H1287" s="2" t="s">
        <v>1246</v>
      </c>
      <c r="I1287" s="4">
        <v>319</v>
      </c>
      <c r="J1287" s="4">
        <v>0</v>
      </c>
      <c r="L1287" s="31">
        <v>1.57</v>
      </c>
      <c r="M1287" s="32">
        <v>203.2</v>
      </c>
      <c r="N1287" s="33">
        <v>203.2</v>
      </c>
    </row>
    <row r="1288" spans="1:14" x14ac:dyDescent="0.25">
      <c r="A1288" s="30">
        <v>1</v>
      </c>
      <c r="B1288" s="2" t="s">
        <v>7398</v>
      </c>
      <c r="C1288" s="2" t="s">
        <v>7399</v>
      </c>
      <c r="D1288" s="2" t="s">
        <v>6690</v>
      </c>
      <c r="E1288" s="5">
        <v>12</v>
      </c>
      <c r="F1288" s="2" t="s">
        <v>1883</v>
      </c>
      <c r="G1288" s="2" t="s">
        <v>7409</v>
      </c>
      <c r="H1288" s="2" t="s">
        <v>1247</v>
      </c>
      <c r="I1288" s="4">
        <v>93</v>
      </c>
      <c r="J1288" s="4">
        <v>0</v>
      </c>
      <c r="L1288" s="31">
        <v>3.28</v>
      </c>
      <c r="M1288" s="32">
        <v>28.4</v>
      </c>
      <c r="N1288" s="33">
        <v>28.4</v>
      </c>
    </row>
    <row r="1289" spans="1:14" x14ac:dyDescent="0.25">
      <c r="A1289" s="30">
        <v>1</v>
      </c>
      <c r="B1289" s="2" t="s">
        <v>7398</v>
      </c>
      <c r="C1289" s="2" t="s">
        <v>7399</v>
      </c>
      <c r="D1289" s="2" t="s">
        <v>6691</v>
      </c>
      <c r="E1289" s="5">
        <v>96</v>
      </c>
      <c r="F1289" s="2" t="s">
        <v>1953</v>
      </c>
      <c r="G1289" s="2" t="s">
        <v>7412</v>
      </c>
      <c r="H1289" s="2" t="s">
        <v>1248</v>
      </c>
      <c r="I1289" s="4">
        <v>6</v>
      </c>
      <c r="J1289" s="4">
        <v>350</v>
      </c>
      <c r="L1289" s="31">
        <v>3.14</v>
      </c>
      <c r="M1289" s="32">
        <v>113.4</v>
      </c>
      <c r="N1289" s="33">
        <v>1.9</v>
      </c>
    </row>
    <row r="1290" spans="1:14" x14ac:dyDescent="0.25">
      <c r="A1290" s="30">
        <v>1</v>
      </c>
      <c r="B1290" s="2" t="s">
        <v>7398</v>
      </c>
      <c r="C1290" s="2" t="s">
        <v>7399</v>
      </c>
      <c r="D1290" s="2" t="s">
        <v>6692</v>
      </c>
      <c r="E1290" s="5">
        <v>96</v>
      </c>
      <c r="F1290" s="2" t="s">
        <v>1953</v>
      </c>
      <c r="G1290" s="2" t="s">
        <v>7412</v>
      </c>
      <c r="H1290" s="2" t="s">
        <v>1249</v>
      </c>
      <c r="I1290" s="4">
        <v>0</v>
      </c>
      <c r="J1290" s="4">
        <v>100</v>
      </c>
      <c r="L1290" s="31">
        <v>0.71</v>
      </c>
      <c r="M1290" s="32">
        <v>140.80000000000001</v>
      </c>
      <c r="N1290" s="33">
        <v>0</v>
      </c>
    </row>
    <row r="1291" spans="1:14" x14ac:dyDescent="0.25">
      <c r="A1291" s="30">
        <v>1</v>
      </c>
      <c r="B1291" s="2" t="s">
        <v>7398</v>
      </c>
      <c r="C1291" s="2" t="s">
        <v>7399</v>
      </c>
      <c r="D1291" s="2" t="s">
        <v>6693</v>
      </c>
      <c r="E1291" s="5">
        <v>24</v>
      </c>
      <c r="F1291" s="2" t="s">
        <v>1998</v>
      </c>
      <c r="G1291" s="2" t="s">
        <v>7401</v>
      </c>
      <c r="H1291" s="2" t="s">
        <v>1250</v>
      </c>
      <c r="I1291" s="4">
        <v>1116</v>
      </c>
      <c r="J1291" s="4">
        <v>880</v>
      </c>
      <c r="L1291" s="31">
        <v>106.85</v>
      </c>
      <c r="M1291" s="32">
        <v>18.7</v>
      </c>
      <c r="N1291" s="33">
        <v>10.4</v>
      </c>
    </row>
    <row r="1292" spans="1:14" x14ac:dyDescent="0.25">
      <c r="A1292" s="30">
        <v>1</v>
      </c>
      <c r="B1292" s="2" t="s">
        <v>7398</v>
      </c>
      <c r="C1292" s="2" t="s">
        <v>7399</v>
      </c>
      <c r="D1292" s="2" t="s">
        <v>6694</v>
      </c>
      <c r="E1292" s="5">
        <v>12</v>
      </c>
      <c r="F1292" s="2" t="s">
        <v>1999</v>
      </c>
      <c r="G1292" s="2" t="s">
        <v>7410</v>
      </c>
      <c r="H1292" s="2" t="s">
        <v>1251</v>
      </c>
      <c r="I1292" s="4">
        <v>6</v>
      </c>
      <c r="J1292" s="4">
        <v>96</v>
      </c>
      <c r="L1292" s="31">
        <v>2</v>
      </c>
      <c r="M1292" s="32">
        <v>51</v>
      </c>
      <c r="N1292" s="33">
        <v>3</v>
      </c>
    </row>
    <row r="1293" spans="1:14" x14ac:dyDescent="0.25">
      <c r="A1293" s="30">
        <v>1</v>
      </c>
      <c r="B1293" s="2" t="s">
        <v>7398</v>
      </c>
      <c r="C1293" s="2" t="s">
        <v>7399</v>
      </c>
      <c r="D1293" s="2" t="s">
        <v>6695</v>
      </c>
      <c r="E1293" s="5">
        <v>12</v>
      </c>
      <c r="F1293" s="2" t="s">
        <v>1951</v>
      </c>
      <c r="G1293" s="2" t="s">
        <v>7409</v>
      </c>
      <c r="H1293" s="2" t="s">
        <v>1252</v>
      </c>
      <c r="I1293" s="4">
        <v>3806</v>
      </c>
      <c r="J1293" s="4">
        <v>7700</v>
      </c>
      <c r="L1293" s="31">
        <v>339.28</v>
      </c>
      <c r="M1293" s="32">
        <v>33.9</v>
      </c>
      <c r="N1293" s="33">
        <v>11.2</v>
      </c>
    </row>
    <row r="1294" spans="1:14" x14ac:dyDescent="0.25">
      <c r="A1294" s="30">
        <v>1</v>
      </c>
      <c r="B1294" s="2" t="s">
        <v>7398</v>
      </c>
      <c r="C1294" s="2" t="s">
        <v>7399</v>
      </c>
      <c r="D1294" s="2" t="s">
        <v>6696</v>
      </c>
      <c r="E1294" s="5">
        <v>24</v>
      </c>
      <c r="F1294" s="2" t="s">
        <v>1998</v>
      </c>
      <c r="G1294" s="2" t="s">
        <v>7401</v>
      </c>
      <c r="H1294" s="2" t="s">
        <v>1253</v>
      </c>
      <c r="I1294" s="4">
        <v>556</v>
      </c>
      <c r="J1294" s="4">
        <v>2090</v>
      </c>
      <c r="L1294" s="31">
        <v>80.709999999999994</v>
      </c>
      <c r="M1294" s="32">
        <v>32.799999999999997</v>
      </c>
      <c r="N1294" s="33">
        <v>6.9</v>
      </c>
    </row>
    <row r="1295" spans="1:14" x14ac:dyDescent="0.25">
      <c r="A1295" s="30">
        <v>1</v>
      </c>
      <c r="B1295" s="2" t="s">
        <v>7398</v>
      </c>
      <c r="C1295" s="2" t="s">
        <v>7399</v>
      </c>
      <c r="D1295" s="2" t="s">
        <v>6697</v>
      </c>
      <c r="E1295" s="5">
        <v>4</v>
      </c>
      <c r="F1295" s="2" t="s">
        <v>5407</v>
      </c>
      <c r="G1295" s="2" t="s">
        <v>7413</v>
      </c>
      <c r="H1295" s="2" t="s">
        <v>7436</v>
      </c>
      <c r="I1295" s="4">
        <v>0</v>
      </c>
      <c r="J1295" s="4">
        <v>945</v>
      </c>
      <c r="L1295" s="31">
        <v>1</v>
      </c>
      <c r="M1295" s="32">
        <v>945</v>
      </c>
      <c r="N1295" s="33">
        <v>0</v>
      </c>
    </row>
    <row r="1296" spans="1:14" x14ac:dyDescent="0.25">
      <c r="A1296" s="30">
        <v>1</v>
      </c>
      <c r="B1296" s="2" t="s">
        <v>7398</v>
      </c>
      <c r="C1296" s="2" t="s">
        <v>7399</v>
      </c>
      <c r="D1296" s="2" t="s">
        <v>6698</v>
      </c>
      <c r="E1296" s="5">
        <v>24</v>
      </c>
      <c r="F1296" s="2" t="s">
        <v>1998</v>
      </c>
      <c r="G1296" s="2" t="s">
        <v>7401</v>
      </c>
      <c r="H1296" s="2" t="s">
        <v>1254</v>
      </c>
      <c r="I1296" s="4">
        <v>1858</v>
      </c>
      <c r="J1296" s="4">
        <v>1870</v>
      </c>
      <c r="L1296" s="31">
        <v>160.85</v>
      </c>
      <c r="M1296" s="32">
        <v>23.2</v>
      </c>
      <c r="N1296" s="33">
        <v>11.6</v>
      </c>
    </row>
    <row r="1297" spans="1:14" x14ac:dyDescent="0.25">
      <c r="A1297" s="30">
        <v>1</v>
      </c>
      <c r="B1297" s="2" t="s">
        <v>7398</v>
      </c>
      <c r="C1297" s="2" t="s">
        <v>7399</v>
      </c>
      <c r="D1297" s="2" t="s">
        <v>6699</v>
      </c>
      <c r="E1297" s="5">
        <v>24</v>
      </c>
      <c r="F1297" s="2" t="s">
        <v>1998</v>
      </c>
      <c r="G1297" s="2" t="s">
        <v>7401</v>
      </c>
      <c r="H1297" s="2" t="s">
        <v>1255</v>
      </c>
      <c r="I1297" s="4">
        <v>1258</v>
      </c>
      <c r="J1297" s="4">
        <v>5280</v>
      </c>
      <c r="L1297" s="31">
        <v>425</v>
      </c>
      <c r="M1297" s="32">
        <v>15.4</v>
      </c>
      <c r="N1297" s="33">
        <v>3</v>
      </c>
    </row>
    <row r="1298" spans="1:14" x14ac:dyDescent="0.25">
      <c r="A1298" s="30">
        <v>1</v>
      </c>
      <c r="B1298" s="2" t="s">
        <v>7398</v>
      </c>
      <c r="C1298" s="2" t="s">
        <v>7399</v>
      </c>
      <c r="D1298" s="2" t="s">
        <v>6700</v>
      </c>
      <c r="E1298" s="5">
        <v>24</v>
      </c>
      <c r="F1298" s="2" t="s">
        <v>1998</v>
      </c>
      <c r="G1298" s="2" t="s">
        <v>7401</v>
      </c>
      <c r="H1298" s="2" t="s">
        <v>1256</v>
      </c>
      <c r="I1298" s="4">
        <v>2510</v>
      </c>
      <c r="J1298" s="4">
        <v>1430</v>
      </c>
      <c r="L1298" s="31">
        <v>191.14</v>
      </c>
      <c r="M1298" s="32">
        <v>20.6</v>
      </c>
      <c r="N1298" s="33">
        <v>13.1</v>
      </c>
    </row>
    <row r="1299" spans="1:14" x14ac:dyDescent="0.25">
      <c r="A1299" s="30">
        <v>1</v>
      </c>
      <c r="B1299" s="2" t="s">
        <v>7398</v>
      </c>
      <c r="C1299" s="2" t="s">
        <v>7399</v>
      </c>
      <c r="D1299" s="2" t="s">
        <v>6701</v>
      </c>
      <c r="E1299" s="5">
        <v>24</v>
      </c>
      <c r="F1299" s="2" t="s">
        <v>1998</v>
      </c>
      <c r="G1299" s="2" t="s">
        <v>7401</v>
      </c>
      <c r="H1299" s="2" t="s">
        <v>1257</v>
      </c>
      <c r="I1299" s="4">
        <v>890</v>
      </c>
      <c r="J1299" s="4">
        <v>3630</v>
      </c>
      <c r="L1299" s="31">
        <v>198.14</v>
      </c>
      <c r="M1299" s="32">
        <v>22.8</v>
      </c>
      <c r="N1299" s="33">
        <v>4.5</v>
      </c>
    </row>
    <row r="1300" spans="1:14" x14ac:dyDescent="0.25">
      <c r="A1300" s="30">
        <v>1</v>
      </c>
      <c r="B1300" s="2" t="s">
        <v>7398</v>
      </c>
      <c r="C1300" s="2" t="s">
        <v>7399</v>
      </c>
      <c r="D1300" s="2" t="s">
        <v>6702</v>
      </c>
      <c r="E1300" s="5">
        <v>24</v>
      </c>
      <c r="F1300" s="2" t="s">
        <v>1998</v>
      </c>
      <c r="G1300" s="2" t="s">
        <v>7401</v>
      </c>
      <c r="H1300" s="2" t="s">
        <v>1258</v>
      </c>
      <c r="I1300" s="4">
        <v>310</v>
      </c>
      <c r="J1300" s="4">
        <v>7260</v>
      </c>
      <c r="L1300" s="31">
        <v>326.57</v>
      </c>
      <c r="M1300" s="32">
        <v>23.2</v>
      </c>
      <c r="N1300" s="33">
        <v>0.9</v>
      </c>
    </row>
    <row r="1301" spans="1:14" x14ac:dyDescent="0.25">
      <c r="A1301" s="30">
        <v>1</v>
      </c>
      <c r="B1301" s="2" t="s">
        <v>7398</v>
      </c>
      <c r="C1301" s="2" t="s">
        <v>7399</v>
      </c>
      <c r="D1301" s="2" t="s">
        <v>6703</v>
      </c>
      <c r="E1301" s="5">
        <v>10</v>
      </c>
      <c r="F1301" s="2" t="s">
        <v>1910</v>
      </c>
      <c r="G1301" s="2" t="s">
        <v>7409</v>
      </c>
      <c r="H1301" s="2" t="s">
        <v>1259</v>
      </c>
      <c r="I1301" s="4">
        <v>147</v>
      </c>
      <c r="J1301" s="4">
        <v>0</v>
      </c>
      <c r="L1301" s="31">
        <v>17.71</v>
      </c>
      <c r="M1301" s="32">
        <v>8.3000000000000007</v>
      </c>
      <c r="N1301" s="33">
        <v>8.3000000000000007</v>
      </c>
    </row>
    <row r="1302" spans="1:14" x14ac:dyDescent="0.25">
      <c r="A1302" s="30">
        <v>1</v>
      </c>
      <c r="B1302" s="2" t="s">
        <v>7398</v>
      </c>
      <c r="C1302" s="2" t="s">
        <v>7399</v>
      </c>
      <c r="D1302" s="2" t="s">
        <v>6704</v>
      </c>
      <c r="E1302" s="5">
        <v>1</v>
      </c>
      <c r="F1302" s="2" t="s">
        <v>2000</v>
      </c>
      <c r="G1302" s="2" t="s">
        <v>7409</v>
      </c>
      <c r="H1302" s="2" t="s">
        <v>1260</v>
      </c>
      <c r="I1302" s="4">
        <v>54</v>
      </c>
      <c r="J1302" s="4">
        <v>912</v>
      </c>
      <c r="L1302" s="31">
        <v>20.420000000000002</v>
      </c>
      <c r="M1302" s="32">
        <v>47.3</v>
      </c>
      <c r="N1302" s="33">
        <v>2.6</v>
      </c>
    </row>
    <row r="1303" spans="1:14" x14ac:dyDescent="0.25">
      <c r="A1303" s="30">
        <v>1</v>
      </c>
      <c r="B1303" s="2" t="s">
        <v>7398</v>
      </c>
      <c r="C1303" s="2" t="s">
        <v>7399</v>
      </c>
      <c r="D1303" s="2" t="s">
        <v>6705</v>
      </c>
      <c r="E1303" s="5">
        <v>18</v>
      </c>
      <c r="F1303" s="2" t="s">
        <v>2001</v>
      </c>
      <c r="G1303" s="2" t="s">
        <v>7410</v>
      </c>
      <c r="H1303" s="2" t="s">
        <v>1261</v>
      </c>
      <c r="I1303" s="4">
        <v>511</v>
      </c>
      <c r="J1303" s="4">
        <v>0</v>
      </c>
      <c r="L1303" s="31">
        <v>9.57</v>
      </c>
      <c r="M1303" s="32">
        <v>53.4</v>
      </c>
      <c r="N1303" s="33">
        <v>53.4</v>
      </c>
    </row>
    <row r="1304" spans="1:14" x14ac:dyDescent="0.25">
      <c r="A1304" s="30">
        <v>1</v>
      </c>
      <c r="B1304" s="2" t="s">
        <v>7398</v>
      </c>
      <c r="C1304" s="2" t="s">
        <v>7399</v>
      </c>
      <c r="D1304" s="2" t="s">
        <v>6706</v>
      </c>
      <c r="E1304" s="5">
        <v>12</v>
      </c>
      <c r="F1304" s="2" t="s">
        <v>1868</v>
      </c>
      <c r="G1304" s="2" t="s">
        <v>7401</v>
      </c>
      <c r="H1304" s="2" t="s">
        <v>1262</v>
      </c>
      <c r="I1304" s="4">
        <v>167</v>
      </c>
      <c r="J1304" s="4">
        <v>0</v>
      </c>
      <c r="L1304" s="31">
        <v>6.14</v>
      </c>
      <c r="M1304" s="32">
        <v>27.2</v>
      </c>
      <c r="N1304" s="33">
        <v>27.2</v>
      </c>
    </row>
    <row r="1305" spans="1:14" x14ac:dyDescent="0.25">
      <c r="A1305" s="30">
        <v>1</v>
      </c>
      <c r="B1305" s="2" t="s">
        <v>7398</v>
      </c>
      <c r="C1305" s="2" t="s">
        <v>7399</v>
      </c>
      <c r="D1305" s="2" t="s">
        <v>6707</v>
      </c>
      <c r="E1305" s="5">
        <v>18</v>
      </c>
      <c r="F1305" s="2" t="s">
        <v>2001</v>
      </c>
      <c r="G1305" s="2" t="s">
        <v>7410</v>
      </c>
      <c r="H1305" s="2" t="s">
        <v>1263</v>
      </c>
      <c r="I1305" s="4">
        <v>1866</v>
      </c>
      <c r="J1305" s="4">
        <v>72</v>
      </c>
      <c r="L1305" s="31">
        <v>35</v>
      </c>
      <c r="M1305" s="32">
        <v>55.4</v>
      </c>
      <c r="N1305" s="33">
        <v>53.3</v>
      </c>
    </row>
    <row r="1306" spans="1:14" x14ac:dyDescent="0.25">
      <c r="A1306" s="30">
        <v>1</v>
      </c>
      <c r="B1306" s="2" t="s">
        <v>7398</v>
      </c>
      <c r="C1306" s="2" t="s">
        <v>7399</v>
      </c>
      <c r="D1306" s="2" t="s">
        <v>6708</v>
      </c>
      <c r="E1306" s="5">
        <v>70</v>
      </c>
      <c r="F1306" s="2" t="s">
        <v>2001</v>
      </c>
      <c r="G1306" s="2" t="s">
        <v>7410</v>
      </c>
      <c r="H1306" s="2" t="s">
        <v>1264</v>
      </c>
      <c r="I1306" s="4">
        <v>0</v>
      </c>
      <c r="J1306" s="4">
        <v>0</v>
      </c>
      <c r="L1306" s="31">
        <v>0</v>
      </c>
      <c r="M1306" s="32">
        <v>0</v>
      </c>
      <c r="N1306" s="33">
        <v>9999</v>
      </c>
    </row>
    <row r="1307" spans="1:14" x14ac:dyDescent="0.25">
      <c r="A1307" s="30">
        <v>1</v>
      </c>
      <c r="B1307" s="2" t="s">
        <v>7398</v>
      </c>
      <c r="C1307" s="2" t="s">
        <v>7399</v>
      </c>
      <c r="D1307" s="2" t="s">
        <v>6709</v>
      </c>
      <c r="E1307" s="5">
        <v>12</v>
      </c>
      <c r="F1307" s="2" t="s">
        <v>1868</v>
      </c>
      <c r="G1307" s="2" t="s">
        <v>7401</v>
      </c>
      <c r="H1307" s="2" t="s">
        <v>1265</v>
      </c>
      <c r="I1307" s="4">
        <v>74</v>
      </c>
      <c r="J1307" s="4">
        <v>0</v>
      </c>
      <c r="L1307" s="31">
        <v>5</v>
      </c>
      <c r="M1307" s="32">
        <v>14.8</v>
      </c>
      <c r="N1307" s="33">
        <v>14.8</v>
      </c>
    </row>
    <row r="1308" spans="1:14" x14ac:dyDescent="0.25">
      <c r="A1308" s="30">
        <v>1</v>
      </c>
      <c r="B1308" s="2" t="s">
        <v>7398</v>
      </c>
      <c r="C1308" s="2" t="s">
        <v>7399</v>
      </c>
      <c r="D1308" s="2" t="s">
        <v>6710</v>
      </c>
      <c r="E1308" s="5">
        <v>420</v>
      </c>
      <c r="F1308" s="2" t="s">
        <v>2001</v>
      </c>
      <c r="G1308" s="2" t="s">
        <v>7404</v>
      </c>
      <c r="H1308" s="2" t="s">
        <v>1266</v>
      </c>
      <c r="I1308" s="4">
        <v>0</v>
      </c>
      <c r="J1308" s="4">
        <v>0</v>
      </c>
      <c r="L1308" s="31">
        <v>0</v>
      </c>
      <c r="M1308" s="32">
        <v>0</v>
      </c>
      <c r="N1308" s="33">
        <v>9999</v>
      </c>
    </row>
    <row r="1309" spans="1:14" x14ac:dyDescent="0.25">
      <c r="A1309" s="30">
        <v>1</v>
      </c>
      <c r="B1309" s="2" t="s">
        <v>7398</v>
      </c>
      <c r="C1309" s="2" t="s">
        <v>7399</v>
      </c>
      <c r="D1309" s="2" t="s">
        <v>6711</v>
      </c>
      <c r="E1309" s="5">
        <v>12</v>
      </c>
      <c r="F1309" s="2" t="s">
        <v>2002</v>
      </c>
      <c r="G1309" s="2" t="s">
        <v>7403</v>
      </c>
      <c r="H1309" s="2" t="s">
        <v>1267</v>
      </c>
      <c r="I1309" s="4">
        <v>63</v>
      </c>
      <c r="J1309" s="4">
        <v>0</v>
      </c>
      <c r="L1309" s="31">
        <v>6.14</v>
      </c>
      <c r="M1309" s="32">
        <v>10.3</v>
      </c>
      <c r="N1309" s="33">
        <v>10.3</v>
      </c>
    </row>
    <row r="1310" spans="1:14" x14ac:dyDescent="0.25">
      <c r="A1310" s="30">
        <v>1</v>
      </c>
      <c r="B1310" s="2" t="s">
        <v>7398</v>
      </c>
      <c r="C1310" s="2" t="s">
        <v>7399</v>
      </c>
      <c r="D1310" s="2" t="s">
        <v>6712</v>
      </c>
      <c r="E1310" s="5">
        <v>6</v>
      </c>
      <c r="F1310" s="2" t="s">
        <v>1936</v>
      </c>
      <c r="G1310" s="2" t="s">
        <v>7403</v>
      </c>
      <c r="H1310" s="2" t="s">
        <v>1268</v>
      </c>
      <c r="I1310" s="4">
        <v>141</v>
      </c>
      <c r="J1310" s="4">
        <v>0</v>
      </c>
      <c r="L1310" s="31">
        <v>16.14</v>
      </c>
      <c r="M1310" s="32">
        <v>8.6999999999999993</v>
      </c>
      <c r="N1310" s="33">
        <v>8.6999999999999993</v>
      </c>
    </row>
    <row r="1311" spans="1:14" x14ac:dyDescent="0.25">
      <c r="A1311" s="30">
        <v>1</v>
      </c>
      <c r="B1311" s="2" t="s">
        <v>7398</v>
      </c>
      <c r="C1311" s="2" t="s">
        <v>7399</v>
      </c>
      <c r="D1311" s="2" t="s">
        <v>6713</v>
      </c>
      <c r="E1311" s="5">
        <v>6</v>
      </c>
      <c r="F1311" s="2" t="s">
        <v>1866</v>
      </c>
      <c r="G1311" s="2" t="s">
        <v>7403</v>
      </c>
      <c r="H1311" s="2" t="s">
        <v>1269</v>
      </c>
      <c r="I1311" s="4">
        <v>136</v>
      </c>
      <c r="J1311" s="4">
        <v>0</v>
      </c>
      <c r="L1311" s="31">
        <v>7.85</v>
      </c>
      <c r="M1311" s="32">
        <v>17.3</v>
      </c>
      <c r="N1311" s="33">
        <v>17.3</v>
      </c>
    </row>
    <row r="1312" spans="1:14" x14ac:dyDescent="0.25">
      <c r="A1312" s="30">
        <v>1</v>
      </c>
      <c r="B1312" s="2" t="s">
        <v>7398</v>
      </c>
      <c r="C1312" s="2" t="s">
        <v>7399</v>
      </c>
      <c r="D1312" s="2" t="s">
        <v>6714</v>
      </c>
      <c r="E1312" s="5">
        <v>8</v>
      </c>
      <c r="F1312" s="2" t="s">
        <v>1875</v>
      </c>
      <c r="G1312" s="2" t="s">
        <v>7403</v>
      </c>
      <c r="H1312" s="2" t="s">
        <v>1270</v>
      </c>
      <c r="I1312" s="4">
        <v>37</v>
      </c>
      <c r="J1312" s="4">
        <v>0</v>
      </c>
      <c r="L1312" s="31">
        <v>2.14</v>
      </c>
      <c r="M1312" s="32">
        <v>17.3</v>
      </c>
      <c r="N1312" s="33">
        <v>17.3</v>
      </c>
    </row>
    <row r="1313" spans="1:14" x14ac:dyDescent="0.25">
      <c r="A1313" s="30">
        <v>1</v>
      </c>
      <c r="B1313" s="2" t="s">
        <v>7398</v>
      </c>
      <c r="C1313" s="2" t="s">
        <v>7399</v>
      </c>
      <c r="D1313" s="2" t="s">
        <v>6715</v>
      </c>
      <c r="E1313" s="5">
        <v>6</v>
      </c>
      <c r="F1313" s="2" t="s">
        <v>1866</v>
      </c>
      <c r="G1313" s="2" t="s">
        <v>7403</v>
      </c>
      <c r="H1313" s="2" t="s">
        <v>1271</v>
      </c>
      <c r="I1313" s="4">
        <v>267</v>
      </c>
      <c r="J1313" s="4">
        <v>0</v>
      </c>
      <c r="L1313" s="31">
        <v>1.28</v>
      </c>
      <c r="M1313" s="32">
        <v>208.6</v>
      </c>
      <c r="N1313" s="33">
        <v>208.6</v>
      </c>
    </row>
    <row r="1314" spans="1:14" x14ac:dyDescent="0.25">
      <c r="A1314" s="30">
        <v>1</v>
      </c>
      <c r="B1314" s="2" t="s">
        <v>7398</v>
      </c>
      <c r="C1314" s="2" t="s">
        <v>7399</v>
      </c>
      <c r="D1314" s="2" t="s">
        <v>6716</v>
      </c>
      <c r="E1314" s="5">
        <v>25</v>
      </c>
      <c r="F1314" s="2" t="s">
        <v>1924</v>
      </c>
      <c r="G1314" s="2" t="s">
        <v>7410</v>
      </c>
      <c r="H1314" s="2" t="s">
        <v>1272</v>
      </c>
      <c r="I1314" s="4">
        <v>145</v>
      </c>
      <c r="J1314" s="4">
        <v>0</v>
      </c>
      <c r="L1314" s="31">
        <v>1.28</v>
      </c>
      <c r="M1314" s="32">
        <v>113.3</v>
      </c>
      <c r="N1314" s="33">
        <v>113.3</v>
      </c>
    </row>
    <row r="1315" spans="1:14" x14ac:dyDescent="0.25">
      <c r="A1315" s="30">
        <v>1</v>
      </c>
      <c r="B1315" s="2" t="s">
        <v>7398</v>
      </c>
      <c r="C1315" s="2" t="s">
        <v>7399</v>
      </c>
      <c r="D1315" s="2" t="s">
        <v>6717</v>
      </c>
      <c r="E1315" s="5">
        <v>6</v>
      </c>
      <c r="F1315" s="2" t="s">
        <v>1920</v>
      </c>
      <c r="G1315" s="2" t="s">
        <v>7405</v>
      </c>
      <c r="H1315" s="2" t="s">
        <v>1273</v>
      </c>
      <c r="I1315" s="4">
        <v>193</v>
      </c>
      <c r="J1315" s="4">
        <v>0</v>
      </c>
      <c r="L1315" s="31">
        <v>27</v>
      </c>
      <c r="M1315" s="32">
        <v>7.1</v>
      </c>
      <c r="N1315" s="33">
        <v>7.1</v>
      </c>
    </row>
    <row r="1316" spans="1:14" x14ac:dyDescent="0.25">
      <c r="A1316" s="30">
        <v>1</v>
      </c>
      <c r="B1316" s="2" t="s">
        <v>7398</v>
      </c>
      <c r="C1316" s="2" t="s">
        <v>7399</v>
      </c>
      <c r="D1316" s="2" t="s">
        <v>6718</v>
      </c>
      <c r="E1316" s="5">
        <v>12</v>
      </c>
      <c r="F1316" s="2" t="s">
        <v>2003</v>
      </c>
      <c r="G1316" s="2" t="s">
        <v>7410</v>
      </c>
      <c r="H1316" s="2" t="s">
        <v>1274</v>
      </c>
      <c r="I1316" s="4">
        <v>93</v>
      </c>
      <c r="J1316" s="4">
        <v>0</v>
      </c>
      <c r="L1316" s="31">
        <v>2.14</v>
      </c>
      <c r="M1316" s="32">
        <v>43.5</v>
      </c>
      <c r="N1316" s="33">
        <v>43.5</v>
      </c>
    </row>
    <row r="1317" spans="1:14" x14ac:dyDescent="0.25">
      <c r="A1317" s="30">
        <v>1</v>
      </c>
      <c r="B1317" s="2" t="s">
        <v>7398</v>
      </c>
      <c r="C1317" s="2" t="s">
        <v>7399</v>
      </c>
      <c r="D1317" s="2" t="s">
        <v>6719</v>
      </c>
      <c r="E1317" s="5">
        <v>12</v>
      </c>
      <c r="F1317" s="2" t="s">
        <v>2004</v>
      </c>
      <c r="G1317" s="2" t="s">
        <v>7410</v>
      </c>
      <c r="H1317" s="2" t="s">
        <v>1275</v>
      </c>
      <c r="I1317" s="4">
        <v>634</v>
      </c>
      <c r="J1317" s="4">
        <v>0</v>
      </c>
      <c r="L1317" s="31">
        <v>8.14</v>
      </c>
      <c r="M1317" s="32">
        <v>77.900000000000006</v>
      </c>
      <c r="N1317" s="33">
        <v>77.900000000000006</v>
      </c>
    </row>
    <row r="1318" spans="1:14" x14ac:dyDescent="0.25">
      <c r="A1318" s="30">
        <v>1</v>
      </c>
      <c r="B1318" s="2" t="s">
        <v>7398</v>
      </c>
      <c r="C1318" s="2" t="s">
        <v>7399</v>
      </c>
      <c r="D1318" s="2" t="s">
        <v>6720</v>
      </c>
      <c r="E1318" s="5">
        <v>12</v>
      </c>
      <c r="F1318" s="2" t="s">
        <v>2003</v>
      </c>
      <c r="G1318" s="2" t="s">
        <v>7410</v>
      </c>
      <c r="H1318" s="2" t="s">
        <v>1276</v>
      </c>
      <c r="I1318" s="4">
        <v>0</v>
      </c>
      <c r="J1318" s="4">
        <v>0</v>
      </c>
      <c r="L1318" s="31">
        <v>0</v>
      </c>
      <c r="M1318" s="32">
        <v>0</v>
      </c>
      <c r="N1318" s="33">
        <v>9999</v>
      </c>
    </row>
    <row r="1319" spans="1:14" x14ac:dyDescent="0.25">
      <c r="A1319" s="30">
        <v>1</v>
      </c>
      <c r="B1319" s="2" t="s">
        <v>7398</v>
      </c>
      <c r="C1319" s="2" t="s">
        <v>7399</v>
      </c>
      <c r="D1319" s="2" t="s">
        <v>6721</v>
      </c>
      <c r="E1319" s="5">
        <v>12</v>
      </c>
      <c r="F1319" s="2" t="s">
        <v>2005</v>
      </c>
      <c r="G1319" s="2" t="s">
        <v>7410</v>
      </c>
      <c r="H1319" s="2" t="s">
        <v>1277</v>
      </c>
      <c r="I1319" s="4">
        <v>0</v>
      </c>
      <c r="J1319" s="4">
        <v>0</v>
      </c>
      <c r="L1319" s="31">
        <v>0</v>
      </c>
      <c r="M1319" s="32">
        <v>0</v>
      </c>
      <c r="N1319" s="33">
        <v>9999</v>
      </c>
    </row>
    <row r="1320" spans="1:14" x14ac:dyDescent="0.25">
      <c r="A1320" s="30">
        <v>1</v>
      </c>
      <c r="B1320" s="2" t="s">
        <v>7398</v>
      </c>
      <c r="C1320" s="2" t="s">
        <v>7399</v>
      </c>
      <c r="D1320" s="2" t="s">
        <v>6722</v>
      </c>
      <c r="E1320" s="5">
        <v>6</v>
      </c>
      <c r="F1320" s="2" t="s">
        <v>1849</v>
      </c>
      <c r="G1320" s="2" t="s">
        <v>7409</v>
      </c>
      <c r="H1320" s="2" t="s">
        <v>1278</v>
      </c>
      <c r="I1320" s="4">
        <v>282</v>
      </c>
      <c r="J1320" s="4">
        <v>150</v>
      </c>
      <c r="L1320" s="31">
        <v>11.85</v>
      </c>
      <c r="M1320" s="32">
        <v>36.5</v>
      </c>
      <c r="N1320" s="33">
        <v>23.8</v>
      </c>
    </row>
    <row r="1321" spans="1:14" x14ac:dyDescent="0.25">
      <c r="A1321" s="30">
        <v>1</v>
      </c>
      <c r="B1321" s="2" t="s">
        <v>7398</v>
      </c>
      <c r="C1321" s="2" t="s">
        <v>7399</v>
      </c>
      <c r="D1321" s="2" t="s">
        <v>6723</v>
      </c>
      <c r="E1321" s="5">
        <v>12</v>
      </c>
      <c r="F1321" s="2" t="s">
        <v>1868</v>
      </c>
      <c r="G1321" s="2" t="s">
        <v>7401</v>
      </c>
      <c r="H1321" s="2" t="s">
        <v>1279</v>
      </c>
      <c r="I1321" s="4">
        <v>189</v>
      </c>
      <c r="J1321" s="4">
        <v>72</v>
      </c>
      <c r="L1321" s="31">
        <v>9.57</v>
      </c>
      <c r="M1321" s="32">
        <v>27.3</v>
      </c>
      <c r="N1321" s="33">
        <v>19.7</v>
      </c>
    </row>
    <row r="1322" spans="1:14" x14ac:dyDescent="0.25">
      <c r="A1322" s="30">
        <v>1</v>
      </c>
      <c r="B1322" s="2" t="s">
        <v>7398</v>
      </c>
      <c r="C1322" s="2" t="s">
        <v>7399</v>
      </c>
      <c r="D1322" s="2" t="s">
        <v>6724</v>
      </c>
      <c r="E1322" s="5">
        <v>12</v>
      </c>
      <c r="F1322" s="2" t="s">
        <v>1962</v>
      </c>
      <c r="G1322" s="2" t="s">
        <v>7410</v>
      </c>
      <c r="H1322" s="2" t="s">
        <v>1280</v>
      </c>
      <c r="I1322" s="4">
        <v>20</v>
      </c>
      <c r="J1322" s="4">
        <v>0</v>
      </c>
      <c r="L1322" s="31">
        <v>2.85</v>
      </c>
      <c r="M1322" s="32">
        <v>7</v>
      </c>
      <c r="N1322" s="33">
        <v>7</v>
      </c>
    </row>
    <row r="1323" spans="1:14" x14ac:dyDescent="0.25">
      <c r="A1323" s="30">
        <v>1</v>
      </c>
      <c r="B1323" s="2" t="s">
        <v>7398</v>
      </c>
      <c r="C1323" s="2" t="s">
        <v>7399</v>
      </c>
      <c r="D1323" s="2" t="s">
        <v>6725</v>
      </c>
      <c r="E1323" s="5">
        <v>24</v>
      </c>
      <c r="F1323" s="2" t="s">
        <v>2006</v>
      </c>
      <c r="G1323" s="2" t="s">
        <v>7410</v>
      </c>
      <c r="H1323" s="2" t="s">
        <v>1281</v>
      </c>
      <c r="I1323" s="4">
        <v>27422</v>
      </c>
      <c r="J1323" s="4">
        <v>2079</v>
      </c>
      <c r="L1323" s="31">
        <v>1867.28</v>
      </c>
      <c r="M1323" s="32">
        <v>15.8</v>
      </c>
      <c r="N1323" s="33">
        <v>14.7</v>
      </c>
    </row>
    <row r="1324" spans="1:14" x14ac:dyDescent="0.25">
      <c r="A1324" s="30">
        <v>1</v>
      </c>
      <c r="B1324" s="2" t="s">
        <v>7398</v>
      </c>
      <c r="C1324" s="2" t="s">
        <v>7399</v>
      </c>
      <c r="D1324" s="2" t="s">
        <v>6726</v>
      </c>
      <c r="E1324" s="5">
        <v>24</v>
      </c>
      <c r="F1324" s="2" t="s">
        <v>2006</v>
      </c>
      <c r="G1324" s="2" t="s">
        <v>7410</v>
      </c>
      <c r="H1324" s="2" t="s">
        <v>1282</v>
      </c>
      <c r="I1324" s="4">
        <v>3862</v>
      </c>
      <c r="J1324" s="4">
        <v>462</v>
      </c>
      <c r="L1324" s="31">
        <v>418</v>
      </c>
      <c r="M1324" s="32">
        <v>10.3</v>
      </c>
      <c r="N1324" s="33">
        <v>9.1999999999999993</v>
      </c>
    </row>
    <row r="1325" spans="1:14" x14ac:dyDescent="0.25">
      <c r="A1325" s="30">
        <v>1</v>
      </c>
      <c r="B1325" s="2" t="s">
        <v>7398</v>
      </c>
      <c r="C1325" s="2" t="s">
        <v>7399</v>
      </c>
      <c r="D1325" s="2" t="s">
        <v>6727</v>
      </c>
      <c r="E1325" s="5">
        <v>24</v>
      </c>
      <c r="F1325" s="2" t="s">
        <v>2006</v>
      </c>
      <c r="G1325" s="2" t="s">
        <v>7410</v>
      </c>
      <c r="H1325" s="2" t="s">
        <v>1283</v>
      </c>
      <c r="I1325" s="4">
        <v>2513</v>
      </c>
      <c r="J1325" s="4">
        <v>924</v>
      </c>
      <c r="L1325" s="31">
        <v>351</v>
      </c>
      <c r="M1325" s="32">
        <v>9.8000000000000007</v>
      </c>
      <c r="N1325" s="33">
        <v>7.2</v>
      </c>
    </row>
    <row r="1326" spans="1:14" x14ac:dyDescent="0.25">
      <c r="A1326" s="30">
        <v>1</v>
      </c>
      <c r="B1326" s="2" t="s">
        <v>7398</v>
      </c>
      <c r="C1326" s="2" t="s">
        <v>7399</v>
      </c>
      <c r="D1326" s="2" t="s">
        <v>6728</v>
      </c>
      <c r="E1326" s="5">
        <v>12</v>
      </c>
      <c r="F1326" s="2" t="s">
        <v>2007</v>
      </c>
      <c r="G1326" s="2" t="s">
        <v>7414</v>
      </c>
      <c r="H1326" s="2" t="s">
        <v>1284</v>
      </c>
      <c r="I1326" s="4">
        <v>1727</v>
      </c>
      <c r="J1326" s="4">
        <v>315</v>
      </c>
      <c r="L1326" s="31">
        <v>259.14</v>
      </c>
      <c r="M1326" s="32">
        <v>7.9</v>
      </c>
      <c r="N1326" s="33">
        <v>6.7</v>
      </c>
    </row>
    <row r="1327" spans="1:14" x14ac:dyDescent="0.25">
      <c r="A1327" s="30">
        <v>1</v>
      </c>
      <c r="B1327" s="2" t="s">
        <v>7398</v>
      </c>
      <c r="C1327" s="2" t="s">
        <v>7399</v>
      </c>
      <c r="D1327" s="2" t="s">
        <v>6729</v>
      </c>
      <c r="E1327" s="5">
        <v>24</v>
      </c>
      <c r="F1327" s="2" t="s">
        <v>2008</v>
      </c>
      <c r="G1327" s="2" t="s">
        <v>7414</v>
      </c>
      <c r="H1327" s="2" t="s">
        <v>1285</v>
      </c>
      <c r="I1327" s="4">
        <v>2428</v>
      </c>
      <c r="J1327" s="4">
        <v>0</v>
      </c>
      <c r="L1327" s="31">
        <v>332.71</v>
      </c>
      <c r="M1327" s="32">
        <v>7.3</v>
      </c>
      <c r="N1327" s="33">
        <v>7.3</v>
      </c>
    </row>
    <row r="1328" spans="1:14" x14ac:dyDescent="0.25">
      <c r="A1328" s="30">
        <v>1</v>
      </c>
      <c r="B1328" s="2" t="s">
        <v>7398</v>
      </c>
      <c r="C1328" s="2" t="s">
        <v>7399</v>
      </c>
      <c r="D1328" s="2" t="s">
        <v>6730</v>
      </c>
      <c r="E1328" s="5">
        <v>12</v>
      </c>
      <c r="F1328" s="2" t="s">
        <v>2007</v>
      </c>
      <c r="G1328" s="2" t="s">
        <v>7414</v>
      </c>
      <c r="H1328" s="2" t="s">
        <v>1286</v>
      </c>
      <c r="I1328" s="4">
        <v>2655</v>
      </c>
      <c r="J1328" s="4">
        <v>0</v>
      </c>
      <c r="L1328" s="31">
        <v>261.14</v>
      </c>
      <c r="M1328" s="32">
        <v>10.199999999999999</v>
      </c>
      <c r="N1328" s="33">
        <v>10.199999999999999</v>
      </c>
    </row>
    <row r="1329" spans="1:14" x14ac:dyDescent="0.25">
      <c r="A1329" s="30">
        <v>1</v>
      </c>
      <c r="B1329" s="2" t="s">
        <v>7398</v>
      </c>
      <c r="C1329" s="2" t="s">
        <v>7399</v>
      </c>
      <c r="D1329" s="2" t="s">
        <v>6731</v>
      </c>
      <c r="E1329" s="5">
        <v>12</v>
      </c>
      <c r="F1329" s="2" t="s">
        <v>2003</v>
      </c>
      <c r="G1329" s="2" t="s">
        <v>7410</v>
      </c>
      <c r="H1329" s="2" t="s">
        <v>1287</v>
      </c>
      <c r="I1329" s="4">
        <v>0</v>
      </c>
      <c r="J1329" s="4">
        <v>0</v>
      </c>
      <c r="L1329" s="31">
        <v>0</v>
      </c>
      <c r="M1329" s="32">
        <v>0</v>
      </c>
      <c r="N1329" s="33">
        <v>9999</v>
      </c>
    </row>
    <row r="1330" spans="1:14" x14ac:dyDescent="0.25">
      <c r="A1330" s="30">
        <v>1</v>
      </c>
      <c r="B1330" s="2" t="s">
        <v>7398</v>
      </c>
      <c r="C1330" s="2" t="s">
        <v>7399</v>
      </c>
      <c r="D1330" s="2" t="s">
        <v>6732</v>
      </c>
      <c r="E1330" s="5">
        <v>12</v>
      </c>
      <c r="F1330" s="2" t="s">
        <v>1918</v>
      </c>
      <c r="G1330" s="2" t="s">
        <v>7410</v>
      </c>
      <c r="H1330" s="2" t="s">
        <v>1288</v>
      </c>
      <c r="I1330" s="4">
        <v>469</v>
      </c>
      <c r="J1330" s="4">
        <v>360</v>
      </c>
      <c r="L1330" s="31">
        <v>41</v>
      </c>
      <c r="M1330" s="32">
        <v>20.2</v>
      </c>
      <c r="N1330" s="33">
        <v>11.4</v>
      </c>
    </row>
    <row r="1331" spans="1:14" x14ac:dyDescent="0.25">
      <c r="A1331" s="30">
        <v>1</v>
      </c>
      <c r="B1331" s="2" t="s">
        <v>7398</v>
      </c>
      <c r="C1331" s="2" t="s">
        <v>7399</v>
      </c>
      <c r="D1331" s="2" t="s">
        <v>6733</v>
      </c>
      <c r="E1331" s="5">
        <v>8</v>
      </c>
      <c r="F1331" s="2" t="s">
        <v>2009</v>
      </c>
      <c r="G1331" s="2" t="s">
        <v>7410</v>
      </c>
      <c r="H1331" s="2" t="s">
        <v>1289</v>
      </c>
      <c r="I1331" s="4">
        <v>13</v>
      </c>
      <c r="J1331" s="4">
        <v>378</v>
      </c>
      <c r="L1331" s="31">
        <v>4.8499999999999996</v>
      </c>
      <c r="M1331" s="32">
        <v>80.599999999999994</v>
      </c>
      <c r="N1331" s="33">
        <v>2.7</v>
      </c>
    </row>
    <row r="1332" spans="1:14" x14ac:dyDescent="0.25">
      <c r="A1332" s="30">
        <v>1</v>
      </c>
      <c r="B1332" s="2" t="s">
        <v>7398</v>
      </c>
      <c r="C1332" s="2" t="s">
        <v>7399</v>
      </c>
      <c r="D1332" s="2" t="s">
        <v>6734</v>
      </c>
      <c r="E1332" s="5">
        <v>8</v>
      </c>
      <c r="F1332" s="2" t="s">
        <v>2009</v>
      </c>
      <c r="G1332" s="2" t="s">
        <v>7410</v>
      </c>
      <c r="H1332" s="2" t="s">
        <v>1290</v>
      </c>
      <c r="I1332" s="4">
        <v>1</v>
      </c>
      <c r="J1332" s="4">
        <v>756</v>
      </c>
      <c r="L1332" s="31">
        <v>19</v>
      </c>
      <c r="M1332" s="32">
        <v>39.799999999999997</v>
      </c>
      <c r="N1332" s="33">
        <v>0.1</v>
      </c>
    </row>
    <row r="1333" spans="1:14" x14ac:dyDescent="0.25">
      <c r="A1333" s="30">
        <v>1</v>
      </c>
      <c r="B1333" s="2" t="s">
        <v>7398</v>
      </c>
      <c r="C1333" s="2" t="s">
        <v>7399</v>
      </c>
      <c r="D1333" s="2" t="s">
        <v>6735</v>
      </c>
      <c r="E1333" s="5">
        <v>8</v>
      </c>
      <c r="F1333" s="2" t="s">
        <v>2009</v>
      </c>
      <c r="G1333" s="2" t="s">
        <v>7410</v>
      </c>
      <c r="H1333" s="2" t="s">
        <v>1291</v>
      </c>
      <c r="I1333" s="4">
        <v>11</v>
      </c>
      <c r="J1333" s="4">
        <v>1134</v>
      </c>
      <c r="L1333" s="31">
        <v>37</v>
      </c>
      <c r="M1333" s="32">
        <v>30.9</v>
      </c>
      <c r="N1333" s="33">
        <v>0.3</v>
      </c>
    </row>
    <row r="1334" spans="1:14" x14ac:dyDescent="0.25">
      <c r="A1334" s="30">
        <v>1</v>
      </c>
      <c r="B1334" s="2" t="s">
        <v>7398</v>
      </c>
      <c r="C1334" s="2" t="s">
        <v>7399</v>
      </c>
      <c r="D1334" s="2" t="s">
        <v>6736</v>
      </c>
      <c r="E1334" s="5">
        <v>8</v>
      </c>
      <c r="F1334" s="2" t="s">
        <v>2009</v>
      </c>
      <c r="G1334" s="2" t="s">
        <v>7410</v>
      </c>
      <c r="H1334" s="2" t="s">
        <v>1292</v>
      </c>
      <c r="I1334" s="4">
        <v>0</v>
      </c>
      <c r="J1334" s="4">
        <v>630</v>
      </c>
      <c r="L1334" s="31">
        <v>7.85</v>
      </c>
      <c r="M1334" s="32">
        <v>80.3</v>
      </c>
      <c r="N1334" s="33">
        <v>0</v>
      </c>
    </row>
    <row r="1335" spans="1:14" x14ac:dyDescent="0.25">
      <c r="A1335" s="30">
        <v>1</v>
      </c>
      <c r="B1335" s="2" t="s">
        <v>7398</v>
      </c>
      <c r="C1335" s="2" t="s">
        <v>7399</v>
      </c>
      <c r="D1335" s="2" t="s">
        <v>6737</v>
      </c>
      <c r="E1335" s="5">
        <v>12</v>
      </c>
      <c r="F1335" s="2" t="s">
        <v>1913</v>
      </c>
      <c r="G1335" s="2" t="s">
        <v>7410</v>
      </c>
      <c r="H1335" s="2" t="s">
        <v>1293</v>
      </c>
      <c r="I1335" s="4">
        <v>0</v>
      </c>
      <c r="J1335" s="4">
        <v>770</v>
      </c>
      <c r="L1335" s="31">
        <v>0</v>
      </c>
      <c r="M1335" s="32">
        <v>0</v>
      </c>
      <c r="N1335" s="33">
        <v>9999</v>
      </c>
    </row>
    <row r="1336" spans="1:14" x14ac:dyDescent="0.25">
      <c r="A1336" s="30">
        <v>1</v>
      </c>
      <c r="B1336" s="2" t="s">
        <v>7398</v>
      </c>
      <c r="C1336" s="2" t="s">
        <v>7399</v>
      </c>
      <c r="D1336" s="2" t="s">
        <v>6738</v>
      </c>
      <c r="E1336" s="5">
        <v>16</v>
      </c>
      <c r="F1336" s="2" t="s">
        <v>1849</v>
      </c>
      <c r="G1336" s="2" t="s">
        <v>7409</v>
      </c>
      <c r="H1336" s="2" t="s">
        <v>1294</v>
      </c>
      <c r="I1336" s="4">
        <v>2883</v>
      </c>
      <c r="J1336" s="4">
        <v>3078</v>
      </c>
      <c r="L1336" s="31">
        <v>242</v>
      </c>
      <c r="M1336" s="32">
        <v>24.6</v>
      </c>
      <c r="N1336" s="33">
        <v>11.9</v>
      </c>
    </row>
    <row r="1337" spans="1:14" x14ac:dyDescent="0.25">
      <c r="A1337" s="30">
        <v>1</v>
      </c>
      <c r="B1337" s="2" t="s">
        <v>7398</v>
      </c>
      <c r="C1337" s="2" t="s">
        <v>7399</v>
      </c>
      <c r="D1337" s="2" t="s">
        <v>6739</v>
      </c>
      <c r="E1337" s="5">
        <v>12</v>
      </c>
      <c r="F1337" s="2" t="s">
        <v>1868</v>
      </c>
      <c r="G1337" s="2" t="s">
        <v>7401</v>
      </c>
      <c r="H1337" s="2" t="s">
        <v>1295</v>
      </c>
      <c r="I1337" s="4">
        <v>1350</v>
      </c>
      <c r="J1337" s="4">
        <v>1152</v>
      </c>
      <c r="L1337" s="31">
        <v>59.71</v>
      </c>
      <c r="M1337" s="32">
        <v>41.9</v>
      </c>
      <c r="N1337" s="33">
        <v>22.6</v>
      </c>
    </row>
    <row r="1338" spans="1:14" x14ac:dyDescent="0.25">
      <c r="A1338" s="30">
        <v>1</v>
      </c>
      <c r="B1338" s="2" t="s">
        <v>7398</v>
      </c>
      <c r="C1338" s="2" t="s">
        <v>7399</v>
      </c>
      <c r="D1338" s="2" t="s">
        <v>6740</v>
      </c>
      <c r="E1338" s="5">
        <v>20</v>
      </c>
      <c r="F1338" s="2" t="s">
        <v>1868</v>
      </c>
      <c r="G1338" s="2" t="s">
        <v>7437</v>
      </c>
      <c r="H1338" s="2" t="s">
        <v>1296</v>
      </c>
      <c r="I1338" s="4">
        <v>2246</v>
      </c>
      <c r="J1338" s="4">
        <v>2744</v>
      </c>
      <c r="L1338" s="31">
        <v>216.42</v>
      </c>
      <c r="M1338" s="32">
        <v>23.1</v>
      </c>
      <c r="N1338" s="33">
        <v>10.4</v>
      </c>
    </row>
    <row r="1339" spans="1:14" x14ac:dyDescent="0.25">
      <c r="A1339" s="30">
        <v>1</v>
      </c>
      <c r="B1339" s="2" t="s">
        <v>7398</v>
      </c>
      <c r="C1339" s="2" t="s">
        <v>7399</v>
      </c>
      <c r="D1339" s="2" t="s">
        <v>6741</v>
      </c>
      <c r="E1339" s="5">
        <v>20</v>
      </c>
      <c r="F1339" s="2" t="s">
        <v>1868</v>
      </c>
      <c r="G1339" s="2" t="s">
        <v>7437</v>
      </c>
      <c r="H1339" s="2" t="s">
        <v>1297</v>
      </c>
      <c r="I1339" s="4">
        <v>166</v>
      </c>
      <c r="J1339" s="4">
        <v>784</v>
      </c>
      <c r="L1339" s="31">
        <v>45.42</v>
      </c>
      <c r="M1339" s="32">
        <v>20.9</v>
      </c>
      <c r="N1339" s="33">
        <v>3.7</v>
      </c>
    </row>
    <row r="1340" spans="1:14" x14ac:dyDescent="0.25">
      <c r="A1340" s="30">
        <v>1</v>
      </c>
      <c r="B1340" s="2" t="s">
        <v>7398</v>
      </c>
      <c r="C1340" s="2" t="s">
        <v>7399</v>
      </c>
      <c r="D1340" s="2" t="s">
        <v>6742</v>
      </c>
      <c r="E1340" s="5">
        <v>88</v>
      </c>
      <c r="F1340" s="2" t="s">
        <v>2010</v>
      </c>
      <c r="G1340" s="2" t="s">
        <v>7404</v>
      </c>
      <c r="H1340" s="2" t="s">
        <v>1298</v>
      </c>
      <c r="I1340" s="4">
        <v>0</v>
      </c>
      <c r="J1340" s="4">
        <v>0</v>
      </c>
      <c r="L1340" s="31">
        <v>0</v>
      </c>
      <c r="M1340" s="32">
        <v>0</v>
      </c>
      <c r="N1340" s="33">
        <v>9999</v>
      </c>
    </row>
    <row r="1341" spans="1:14" x14ac:dyDescent="0.25">
      <c r="A1341" s="30">
        <v>1</v>
      </c>
      <c r="B1341" s="2" t="s">
        <v>7398</v>
      </c>
      <c r="C1341" s="2" t="s">
        <v>7399</v>
      </c>
      <c r="D1341" s="2" t="s">
        <v>6743</v>
      </c>
      <c r="E1341" s="5">
        <v>96</v>
      </c>
      <c r="F1341" s="2" t="s">
        <v>1969</v>
      </c>
      <c r="G1341" s="2" t="s">
        <v>7404</v>
      </c>
      <c r="H1341" s="2" t="s">
        <v>1299</v>
      </c>
      <c r="I1341" s="4">
        <v>0</v>
      </c>
      <c r="J1341" s="4">
        <v>0</v>
      </c>
      <c r="L1341" s="31">
        <v>0</v>
      </c>
      <c r="M1341" s="32">
        <v>0</v>
      </c>
      <c r="N1341" s="33">
        <v>9999</v>
      </c>
    </row>
    <row r="1342" spans="1:14" x14ac:dyDescent="0.25">
      <c r="A1342" s="30">
        <v>1</v>
      </c>
      <c r="B1342" s="2" t="s">
        <v>7398</v>
      </c>
      <c r="C1342" s="2" t="s">
        <v>7399</v>
      </c>
      <c r="D1342" s="2" t="s">
        <v>6744</v>
      </c>
      <c r="E1342" s="5">
        <v>24</v>
      </c>
      <c r="F1342" s="2" t="s">
        <v>2011</v>
      </c>
      <c r="G1342" s="2" t="s">
        <v>7410</v>
      </c>
      <c r="H1342" s="2" t="s">
        <v>1300</v>
      </c>
      <c r="I1342" s="4">
        <v>4171</v>
      </c>
      <c r="J1342" s="4">
        <v>462</v>
      </c>
      <c r="L1342" s="31">
        <v>515.57000000000005</v>
      </c>
      <c r="M1342" s="32">
        <v>9</v>
      </c>
      <c r="N1342" s="33">
        <v>8.1</v>
      </c>
    </row>
    <row r="1343" spans="1:14" x14ac:dyDescent="0.25">
      <c r="A1343" s="30">
        <v>1</v>
      </c>
      <c r="B1343" s="2" t="s">
        <v>7398</v>
      </c>
      <c r="C1343" s="2" t="s">
        <v>7399</v>
      </c>
      <c r="D1343" s="2" t="s">
        <v>6745</v>
      </c>
      <c r="E1343" s="5">
        <v>24</v>
      </c>
      <c r="F1343" s="2" t="s">
        <v>2012</v>
      </c>
      <c r="G1343" s="2" t="s">
        <v>7410</v>
      </c>
      <c r="H1343" s="2" t="s">
        <v>1301</v>
      </c>
      <c r="I1343" s="4">
        <v>2167</v>
      </c>
      <c r="J1343" s="4">
        <v>231</v>
      </c>
      <c r="L1343" s="31">
        <v>297.57</v>
      </c>
      <c r="M1343" s="32">
        <v>8.1</v>
      </c>
      <c r="N1343" s="33">
        <v>7.3</v>
      </c>
    </row>
    <row r="1344" spans="1:14" x14ac:dyDescent="0.25">
      <c r="A1344" s="30">
        <v>1</v>
      </c>
      <c r="B1344" s="2" t="s">
        <v>7398</v>
      </c>
      <c r="C1344" s="2" t="s">
        <v>7399</v>
      </c>
      <c r="D1344" s="2" t="s">
        <v>6746</v>
      </c>
      <c r="E1344" s="5">
        <v>12</v>
      </c>
      <c r="F1344" s="2" t="s">
        <v>1913</v>
      </c>
      <c r="G1344" s="2" t="s">
        <v>7410</v>
      </c>
      <c r="H1344" s="2" t="s">
        <v>1302</v>
      </c>
      <c r="I1344" s="4">
        <v>0</v>
      </c>
      <c r="J1344" s="4">
        <v>280</v>
      </c>
      <c r="L1344" s="31">
        <v>0</v>
      </c>
      <c r="M1344" s="32">
        <v>0</v>
      </c>
      <c r="N1344" s="33">
        <v>9999</v>
      </c>
    </row>
    <row r="1345" spans="1:14" x14ac:dyDescent="0.25">
      <c r="A1345" s="30">
        <v>1</v>
      </c>
      <c r="B1345" s="2" t="s">
        <v>7398</v>
      </c>
      <c r="C1345" s="2" t="s">
        <v>7399</v>
      </c>
      <c r="D1345" s="2" t="s">
        <v>6747</v>
      </c>
      <c r="E1345" s="5">
        <v>12</v>
      </c>
      <c r="F1345" s="2" t="s">
        <v>1913</v>
      </c>
      <c r="G1345" s="2" t="s">
        <v>7410</v>
      </c>
      <c r="H1345" s="2" t="s">
        <v>1303</v>
      </c>
      <c r="I1345" s="4">
        <v>0</v>
      </c>
      <c r="J1345" s="4">
        <v>210</v>
      </c>
      <c r="L1345" s="31">
        <v>0</v>
      </c>
      <c r="M1345" s="32">
        <v>0</v>
      </c>
      <c r="N1345" s="33">
        <v>9999</v>
      </c>
    </row>
    <row r="1346" spans="1:14" x14ac:dyDescent="0.25">
      <c r="A1346" s="30">
        <v>1</v>
      </c>
      <c r="B1346" s="2" t="s">
        <v>7398</v>
      </c>
      <c r="C1346" s="2" t="s">
        <v>7399</v>
      </c>
      <c r="D1346" s="2" t="s">
        <v>6748</v>
      </c>
      <c r="E1346" s="5">
        <v>24</v>
      </c>
      <c r="F1346" s="2" t="s">
        <v>1942</v>
      </c>
      <c r="G1346" s="2" t="s">
        <v>7410</v>
      </c>
      <c r="H1346" s="2" t="s">
        <v>1304</v>
      </c>
      <c r="I1346" s="4">
        <v>762</v>
      </c>
      <c r="J1346" s="4">
        <v>0</v>
      </c>
      <c r="L1346" s="31">
        <v>97.85</v>
      </c>
      <c r="M1346" s="32">
        <v>7.8</v>
      </c>
      <c r="N1346" s="33">
        <v>7.8</v>
      </c>
    </row>
    <row r="1347" spans="1:14" x14ac:dyDescent="0.25">
      <c r="A1347" s="30">
        <v>1</v>
      </c>
      <c r="B1347" s="2" t="s">
        <v>7398</v>
      </c>
      <c r="C1347" s="2" t="s">
        <v>7399</v>
      </c>
      <c r="D1347" s="2" t="s">
        <v>6749</v>
      </c>
      <c r="E1347" s="5">
        <v>12</v>
      </c>
      <c r="F1347" s="2" t="s">
        <v>2010</v>
      </c>
      <c r="G1347" s="2" t="s">
        <v>7403</v>
      </c>
      <c r="H1347" s="2" t="s">
        <v>1305</v>
      </c>
      <c r="I1347" s="4">
        <v>902</v>
      </c>
      <c r="J1347" s="4">
        <v>136</v>
      </c>
      <c r="L1347" s="31">
        <v>124.71</v>
      </c>
      <c r="M1347" s="32">
        <v>8.3000000000000007</v>
      </c>
      <c r="N1347" s="33">
        <v>7.2</v>
      </c>
    </row>
    <row r="1348" spans="1:14" x14ac:dyDescent="0.25">
      <c r="A1348" s="30">
        <v>1</v>
      </c>
      <c r="B1348" s="2" t="s">
        <v>7398</v>
      </c>
      <c r="C1348" s="2" t="s">
        <v>7399</v>
      </c>
      <c r="D1348" s="2" t="s">
        <v>6750</v>
      </c>
      <c r="E1348" s="5">
        <v>12</v>
      </c>
      <c r="F1348" s="2" t="s">
        <v>1913</v>
      </c>
      <c r="G1348" s="2" t="s">
        <v>7410</v>
      </c>
      <c r="H1348" s="2" t="s">
        <v>1306</v>
      </c>
      <c r="I1348" s="4">
        <v>0</v>
      </c>
      <c r="J1348" s="4">
        <v>210</v>
      </c>
      <c r="L1348" s="31">
        <v>0</v>
      </c>
      <c r="M1348" s="32">
        <v>0</v>
      </c>
      <c r="N1348" s="33">
        <v>9999</v>
      </c>
    </row>
    <row r="1349" spans="1:14" x14ac:dyDescent="0.25">
      <c r="A1349" s="30">
        <v>1</v>
      </c>
      <c r="B1349" s="2" t="s">
        <v>7398</v>
      </c>
      <c r="C1349" s="2" t="s">
        <v>7399</v>
      </c>
      <c r="D1349" s="2" t="s">
        <v>6751</v>
      </c>
      <c r="E1349" s="5">
        <v>12</v>
      </c>
      <c r="F1349" s="2" t="s">
        <v>2013</v>
      </c>
      <c r="G1349" s="2" t="s">
        <v>7401</v>
      </c>
      <c r="H1349" s="2" t="s">
        <v>1307</v>
      </c>
      <c r="I1349" s="4">
        <v>102</v>
      </c>
      <c r="J1349" s="4">
        <v>25</v>
      </c>
      <c r="L1349" s="31">
        <v>9</v>
      </c>
      <c r="M1349" s="32">
        <v>14.1</v>
      </c>
      <c r="N1349" s="33">
        <v>11.3</v>
      </c>
    </row>
    <row r="1350" spans="1:14" x14ac:dyDescent="0.25">
      <c r="A1350" s="30">
        <v>1</v>
      </c>
      <c r="B1350" s="2" t="s">
        <v>7398</v>
      </c>
      <c r="C1350" s="2" t="s">
        <v>7399</v>
      </c>
      <c r="D1350" s="2" t="s">
        <v>6752</v>
      </c>
      <c r="E1350" s="5">
        <v>20</v>
      </c>
      <c r="F1350" s="2" t="s">
        <v>1869</v>
      </c>
      <c r="G1350" s="2" t="s">
        <v>7409</v>
      </c>
      <c r="H1350" s="2" t="s">
        <v>1308</v>
      </c>
      <c r="I1350" s="4">
        <v>824</v>
      </c>
      <c r="J1350" s="4">
        <v>693</v>
      </c>
      <c r="L1350" s="31">
        <v>91.14</v>
      </c>
      <c r="M1350" s="32">
        <v>16.600000000000001</v>
      </c>
      <c r="N1350" s="33">
        <v>9</v>
      </c>
    </row>
    <row r="1351" spans="1:14" x14ac:dyDescent="0.25">
      <c r="A1351" s="30">
        <v>1</v>
      </c>
      <c r="B1351" s="2" t="s">
        <v>7398</v>
      </c>
      <c r="C1351" s="2" t="s">
        <v>7399</v>
      </c>
      <c r="D1351" s="2" t="s">
        <v>6753</v>
      </c>
      <c r="E1351" s="5">
        <v>24</v>
      </c>
      <c r="F1351" s="2" t="s">
        <v>1942</v>
      </c>
      <c r="G1351" s="2" t="s">
        <v>7410</v>
      </c>
      <c r="H1351" s="2" t="s">
        <v>1309</v>
      </c>
      <c r="I1351" s="4">
        <v>345</v>
      </c>
      <c r="J1351" s="4">
        <v>200</v>
      </c>
      <c r="L1351" s="31">
        <v>59.85</v>
      </c>
      <c r="M1351" s="32">
        <v>9.1</v>
      </c>
      <c r="N1351" s="33">
        <v>5.8</v>
      </c>
    </row>
    <row r="1352" spans="1:14" x14ac:dyDescent="0.25">
      <c r="A1352" s="30">
        <v>1</v>
      </c>
      <c r="B1352" s="2" t="s">
        <v>7398</v>
      </c>
      <c r="C1352" s="2" t="s">
        <v>7399</v>
      </c>
      <c r="D1352" s="2" t="s">
        <v>6754</v>
      </c>
      <c r="E1352" s="5">
        <v>24</v>
      </c>
      <c r="F1352" s="2" t="s">
        <v>1942</v>
      </c>
      <c r="G1352" s="2" t="s">
        <v>7410</v>
      </c>
      <c r="H1352" s="2" t="s">
        <v>1310</v>
      </c>
      <c r="I1352" s="4">
        <v>881</v>
      </c>
      <c r="J1352" s="4">
        <v>200</v>
      </c>
      <c r="L1352" s="31">
        <v>123.85</v>
      </c>
      <c r="M1352" s="32">
        <v>8.6999999999999993</v>
      </c>
      <c r="N1352" s="33">
        <v>7.1</v>
      </c>
    </row>
    <row r="1353" spans="1:14" x14ac:dyDescent="0.25">
      <c r="A1353" s="30">
        <v>1</v>
      </c>
      <c r="B1353" s="2" t="s">
        <v>7398</v>
      </c>
      <c r="C1353" s="2" t="s">
        <v>7399</v>
      </c>
      <c r="D1353" s="2" t="s">
        <v>6755</v>
      </c>
      <c r="E1353" s="5">
        <v>48</v>
      </c>
      <c r="F1353" s="2" t="s">
        <v>2014</v>
      </c>
      <c r="G1353" s="2" t="s">
        <v>7410</v>
      </c>
      <c r="H1353" s="2" t="s">
        <v>1311</v>
      </c>
      <c r="I1353" s="4">
        <v>2604</v>
      </c>
      <c r="J1353" s="4">
        <v>240</v>
      </c>
      <c r="L1353" s="31">
        <v>295.70999999999998</v>
      </c>
      <c r="M1353" s="32">
        <v>9.6</v>
      </c>
      <c r="N1353" s="33">
        <v>8.8000000000000007</v>
      </c>
    </row>
    <row r="1354" spans="1:14" x14ac:dyDescent="0.25">
      <c r="A1354" s="30">
        <v>1</v>
      </c>
      <c r="B1354" s="2" t="s">
        <v>7398</v>
      </c>
      <c r="C1354" s="2" t="s">
        <v>7399</v>
      </c>
      <c r="D1354" s="2" t="s">
        <v>6756</v>
      </c>
      <c r="E1354" s="5">
        <v>48</v>
      </c>
      <c r="F1354" s="2" t="s">
        <v>2015</v>
      </c>
      <c r="G1354" s="2" t="s">
        <v>7410</v>
      </c>
      <c r="H1354" s="2" t="s">
        <v>1312</v>
      </c>
      <c r="I1354" s="4">
        <v>6030</v>
      </c>
      <c r="J1354" s="4">
        <v>960</v>
      </c>
      <c r="L1354" s="31">
        <v>717.71</v>
      </c>
      <c r="M1354" s="32">
        <v>9.6999999999999993</v>
      </c>
      <c r="N1354" s="33">
        <v>8.4</v>
      </c>
    </row>
    <row r="1355" spans="1:14" x14ac:dyDescent="0.25">
      <c r="A1355" s="30">
        <v>1</v>
      </c>
      <c r="B1355" s="2" t="s">
        <v>7398</v>
      </c>
      <c r="C1355" s="2" t="s">
        <v>7399</v>
      </c>
      <c r="D1355" s="2" t="s">
        <v>6757</v>
      </c>
      <c r="E1355" s="5">
        <v>24</v>
      </c>
      <c r="F1355" s="2" t="s">
        <v>2016</v>
      </c>
      <c r="G1355" s="2" t="s">
        <v>7410</v>
      </c>
      <c r="H1355" s="2" t="s">
        <v>1313</v>
      </c>
      <c r="I1355" s="4">
        <v>5048</v>
      </c>
      <c r="J1355" s="4">
        <v>1080</v>
      </c>
      <c r="L1355" s="31">
        <v>684.85</v>
      </c>
      <c r="M1355" s="32">
        <v>8.9</v>
      </c>
      <c r="N1355" s="33">
        <v>7.4</v>
      </c>
    </row>
    <row r="1356" spans="1:14" x14ac:dyDescent="0.25">
      <c r="A1356" s="30">
        <v>1</v>
      </c>
      <c r="B1356" s="2" t="s">
        <v>7398</v>
      </c>
      <c r="C1356" s="2" t="s">
        <v>7399</v>
      </c>
      <c r="D1356" s="2" t="s">
        <v>6758</v>
      </c>
      <c r="E1356" s="5">
        <v>12</v>
      </c>
      <c r="F1356" s="2" t="s">
        <v>2010</v>
      </c>
      <c r="G1356" s="2" t="s">
        <v>7403</v>
      </c>
      <c r="H1356" s="2" t="s">
        <v>1314</v>
      </c>
      <c r="I1356" s="4">
        <v>3941</v>
      </c>
      <c r="J1356" s="4">
        <v>544</v>
      </c>
      <c r="L1356" s="31">
        <v>520.14</v>
      </c>
      <c r="M1356" s="32">
        <v>8.6</v>
      </c>
      <c r="N1356" s="33">
        <v>7.6</v>
      </c>
    </row>
    <row r="1357" spans="1:14" x14ac:dyDescent="0.25">
      <c r="A1357" s="30">
        <v>1</v>
      </c>
      <c r="B1357" s="2" t="s">
        <v>7398</v>
      </c>
      <c r="C1357" s="2" t="s">
        <v>7399</v>
      </c>
      <c r="D1357" s="2" t="s">
        <v>6759</v>
      </c>
      <c r="E1357" s="5">
        <v>12</v>
      </c>
      <c r="F1357" s="2" t="s">
        <v>1951</v>
      </c>
      <c r="G1357" s="2" t="s">
        <v>7403</v>
      </c>
      <c r="H1357" s="2" t="s">
        <v>1315</v>
      </c>
      <c r="I1357" s="4">
        <v>2642</v>
      </c>
      <c r="J1357" s="4">
        <v>4680</v>
      </c>
      <c r="L1357" s="31">
        <v>462.42</v>
      </c>
      <c r="M1357" s="32">
        <v>15.8</v>
      </c>
      <c r="N1357" s="33">
        <v>5.7</v>
      </c>
    </row>
    <row r="1358" spans="1:14" x14ac:dyDescent="0.25">
      <c r="A1358" s="30">
        <v>1</v>
      </c>
      <c r="B1358" s="2" t="s">
        <v>7398</v>
      </c>
      <c r="C1358" s="2" t="s">
        <v>7399</v>
      </c>
      <c r="D1358" s="2" t="s">
        <v>6760</v>
      </c>
      <c r="E1358" s="5">
        <v>6</v>
      </c>
      <c r="F1358" s="2" t="s">
        <v>1972</v>
      </c>
      <c r="G1358" s="2" t="s">
        <v>7409</v>
      </c>
      <c r="H1358" s="2" t="s">
        <v>1316</v>
      </c>
      <c r="I1358" s="4">
        <v>2471</v>
      </c>
      <c r="J1358" s="4">
        <v>420</v>
      </c>
      <c r="L1358" s="31">
        <v>303.70999999999998</v>
      </c>
      <c r="M1358" s="32">
        <v>9.5</v>
      </c>
      <c r="N1358" s="33">
        <v>8.1</v>
      </c>
    </row>
    <row r="1359" spans="1:14" x14ac:dyDescent="0.25">
      <c r="A1359" s="30">
        <v>1</v>
      </c>
      <c r="B1359" s="2" t="s">
        <v>7398</v>
      </c>
      <c r="C1359" s="2" t="s">
        <v>7399</v>
      </c>
      <c r="D1359" s="2" t="s">
        <v>6761</v>
      </c>
      <c r="E1359" s="5">
        <v>6</v>
      </c>
      <c r="F1359" s="2" t="s">
        <v>2017</v>
      </c>
      <c r="G1359" s="2" t="s">
        <v>7403</v>
      </c>
      <c r="H1359" s="2" t="s">
        <v>1317</v>
      </c>
      <c r="I1359" s="4">
        <v>161</v>
      </c>
      <c r="J1359" s="4">
        <v>0</v>
      </c>
      <c r="L1359" s="31">
        <v>11.14</v>
      </c>
      <c r="M1359" s="32">
        <v>14.5</v>
      </c>
      <c r="N1359" s="33">
        <v>14.5</v>
      </c>
    </row>
    <row r="1360" spans="1:14" x14ac:dyDescent="0.25">
      <c r="A1360" s="30">
        <v>1</v>
      </c>
      <c r="B1360" s="2" t="s">
        <v>7398</v>
      </c>
      <c r="C1360" s="2" t="s">
        <v>7399</v>
      </c>
      <c r="D1360" s="2" t="s">
        <v>6762</v>
      </c>
      <c r="E1360" s="5">
        <v>24</v>
      </c>
      <c r="F1360" s="2" t="s">
        <v>2018</v>
      </c>
      <c r="G1360" s="2" t="s">
        <v>7400</v>
      </c>
      <c r="H1360" s="2" t="s">
        <v>1318</v>
      </c>
      <c r="I1360" s="4">
        <v>842</v>
      </c>
      <c r="J1360" s="4">
        <v>224</v>
      </c>
      <c r="L1360" s="31">
        <v>127</v>
      </c>
      <c r="M1360" s="32">
        <v>8.4</v>
      </c>
      <c r="N1360" s="33">
        <v>6.6</v>
      </c>
    </row>
    <row r="1361" spans="1:14" x14ac:dyDescent="0.25">
      <c r="A1361" s="30">
        <v>1</v>
      </c>
      <c r="B1361" s="2" t="s">
        <v>7398</v>
      </c>
      <c r="C1361" s="2" t="s">
        <v>7399</v>
      </c>
      <c r="D1361" s="2" t="s">
        <v>6763</v>
      </c>
      <c r="E1361" s="5">
        <v>12</v>
      </c>
      <c r="F1361" s="2" t="s">
        <v>1919</v>
      </c>
      <c r="G1361" s="2" t="s">
        <v>7400</v>
      </c>
      <c r="H1361" s="2" t="s">
        <v>1319</v>
      </c>
      <c r="I1361" s="4">
        <v>0</v>
      </c>
      <c r="J1361" s="4">
        <v>1225</v>
      </c>
      <c r="L1361" s="31">
        <v>98.42</v>
      </c>
      <c r="M1361" s="32">
        <v>12.4</v>
      </c>
      <c r="N1361" s="33">
        <v>0</v>
      </c>
    </row>
    <row r="1362" spans="1:14" x14ac:dyDescent="0.25">
      <c r="A1362" s="30">
        <v>1</v>
      </c>
      <c r="B1362" s="2" t="s">
        <v>7398</v>
      </c>
      <c r="C1362" s="2" t="s">
        <v>7399</v>
      </c>
      <c r="D1362" s="2" t="s">
        <v>6764</v>
      </c>
      <c r="E1362" s="5">
        <v>6</v>
      </c>
      <c r="F1362" s="2" t="s">
        <v>1936</v>
      </c>
      <c r="G1362" s="2" t="s">
        <v>7401</v>
      </c>
      <c r="H1362" s="2" t="s">
        <v>1320</v>
      </c>
      <c r="I1362" s="4">
        <v>401</v>
      </c>
      <c r="J1362" s="4">
        <v>40</v>
      </c>
      <c r="L1362" s="31">
        <v>40.28</v>
      </c>
      <c r="M1362" s="32">
        <v>10.9</v>
      </c>
      <c r="N1362" s="33">
        <v>10</v>
      </c>
    </row>
    <row r="1363" spans="1:14" x14ac:dyDescent="0.25">
      <c r="A1363" s="30">
        <v>1</v>
      </c>
      <c r="B1363" s="2" t="s">
        <v>7398</v>
      </c>
      <c r="C1363" s="2" t="s">
        <v>7399</v>
      </c>
      <c r="D1363" s="2" t="s">
        <v>6765</v>
      </c>
      <c r="E1363" s="5">
        <v>24</v>
      </c>
      <c r="F1363" s="2" t="s">
        <v>1882</v>
      </c>
      <c r="G1363" s="2" t="s">
        <v>7401</v>
      </c>
      <c r="H1363" s="2" t="s">
        <v>1321</v>
      </c>
      <c r="I1363" s="4">
        <v>207</v>
      </c>
      <c r="J1363" s="4">
        <v>0</v>
      </c>
      <c r="L1363" s="31">
        <v>35.85</v>
      </c>
      <c r="M1363" s="32">
        <v>5.8</v>
      </c>
      <c r="N1363" s="33">
        <v>5.8</v>
      </c>
    </row>
    <row r="1364" spans="1:14" x14ac:dyDescent="0.25">
      <c r="A1364" s="30">
        <v>1</v>
      </c>
      <c r="B1364" s="2" t="s">
        <v>7398</v>
      </c>
      <c r="C1364" s="2" t="s">
        <v>7399</v>
      </c>
      <c r="D1364" s="2" t="s">
        <v>6766</v>
      </c>
      <c r="E1364" s="5">
        <v>24</v>
      </c>
      <c r="F1364" s="2" t="s">
        <v>1934</v>
      </c>
      <c r="G1364" s="2" t="s">
        <v>7401</v>
      </c>
      <c r="H1364" s="2" t="s">
        <v>1322</v>
      </c>
      <c r="I1364" s="4">
        <v>282</v>
      </c>
      <c r="J1364" s="4">
        <v>0</v>
      </c>
      <c r="L1364" s="31">
        <v>42.57</v>
      </c>
      <c r="M1364" s="32">
        <v>6.6</v>
      </c>
      <c r="N1364" s="33">
        <v>6.6</v>
      </c>
    </row>
    <row r="1365" spans="1:14" x14ac:dyDescent="0.25">
      <c r="A1365" s="30">
        <v>1</v>
      </c>
      <c r="B1365" s="2" t="s">
        <v>7398</v>
      </c>
      <c r="C1365" s="2" t="s">
        <v>7399</v>
      </c>
      <c r="D1365" s="2" t="s">
        <v>6767</v>
      </c>
      <c r="E1365" s="5">
        <v>24</v>
      </c>
      <c r="F1365" s="2" t="s">
        <v>1944</v>
      </c>
      <c r="G1365" s="2" t="s">
        <v>7401</v>
      </c>
      <c r="H1365" s="2" t="s">
        <v>1323</v>
      </c>
      <c r="I1365" s="4">
        <v>134</v>
      </c>
      <c r="J1365" s="4">
        <v>0</v>
      </c>
      <c r="L1365" s="31">
        <v>12.14</v>
      </c>
      <c r="M1365" s="32">
        <v>11</v>
      </c>
      <c r="N1365" s="33">
        <v>11</v>
      </c>
    </row>
    <row r="1366" spans="1:14" x14ac:dyDescent="0.25">
      <c r="A1366" s="30">
        <v>1</v>
      </c>
      <c r="B1366" s="2" t="s">
        <v>7398</v>
      </c>
      <c r="C1366" s="2" t="s">
        <v>7399</v>
      </c>
      <c r="D1366" s="2" t="s">
        <v>6768</v>
      </c>
      <c r="E1366" s="5">
        <v>12</v>
      </c>
      <c r="F1366" s="2" t="s">
        <v>1882</v>
      </c>
      <c r="G1366" s="2" t="s">
        <v>7401</v>
      </c>
      <c r="H1366" s="2" t="s">
        <v>1324</v>
      </c>
      <c r="I1366" s="4">
        <v>251</v>
      </c>
      <c r="J1366" s="4">
        <v>80</v>
      </c>
      <c r="L1366" s="31">
        <v>39</v>
      </c>
      <c r="M1366" s="32">
        <v>8.5</v>
      </c>
      <c r="N1366" s="33">
        <v>6.4</v>
      </c>
    </row>
    <row r="1367" spans="1:14" x14ac:dyDescent="0.25">
      <c r="A1367" s="30">
        <v>1</v>
      </c>
      <c r="B1367" s="2" t="s">
        <v>7398</v>
      </c>
      <c r="C1367" s="2" t="s">
        <v>7399</v>
      </c>
      <c r="D1367" s="2" t="s">
        <v>6769</v>
      </c>
      <c r="E1367" s="5">
        <v>24</v>
      </c>
      <c r="F1367" s="2" t="s">
        <v>1869</v>
      </c>
      <c r="G1367" s="2" t="s">
        <v>7401</v>
      </c>
      <c r="H1367" s="2" t="s">
        <v>1325</v>
      </c>
      <c r="I1367" s="4">
        <v>99</v>
      </c>
      <c r="J1367" s="4">
        <v>112</v>
      </c>
      <c r="L1367" s="31">
        <v>10.71</v>
      </c>
      <c r="M1367" s="32">
        <v>19.7</v>
      </c>
      <c r="N1367" s="33">
        <v>9.1999999999999993</v>
      </c>
    </row>
    <row r="1368" spans="1:14" x14ac:dyDescent="0.25">
      <c r="A1368" s="30">
        <v>1</v>
      </c>
      <c r="B1368" s="2" t="s">
        <v>7398</v>
      </c>
      <c r="C1368" s="2" t="s">
        <v>7399</v>
      </c>
      <c r="D1368" s="2" t="s">
        <v>6770</v>
      </c>
      <c r="E1368" s="5">
        <v>6</v>
      </c>
      <c r="F1368" s="2" t="s">
        <v>2019</v>
      </c>
      <c r="G1368" s="2" t="s">
        <v>7401</v>
      </c>
      <c r="H1368" s="2" t="s">
        <v>1326</v>
      </c>
      <c r="I1368" s="4">
        <v>182</v>
      </c>
      <c r="J1368" s="4">
        <v>0</v>
      </c>
      <c r="L1368" s="31">
        <v>23.71</v>
      </c>
      <c r="M1368" s="32">
        <v>7.7</v>
      </c>
      <c r="N1368" s="33">
        <v>7.7</v>
      </c>
    </row>
    <row r="1369" spans="1:14" x14ac:dyDescent="0.25">
      <c r="A1369" s="30">
        <v>1</v>
      </c>
      <c r="B1369" s="2" t="s">
        <v>7398</v>
      </c>
      <c r="C1369" s="2" t="s">
        <v>7399</v>
      </c>
      <c r="D1369" s="2" t="s">
        <v>6771</v>
      </c>
      <c r="E1369" s="5">
        <v>12</v>
      </c>
      <c r="F1369" s="2" t="s">
        <v>2020</v>
      </c>
      <c r="G1369" s="2" t="s">
        <v>7401</v>
      </c>
      <c r="H1369" s="2" t="s">
        <v>1327</v>
      </c>
      <c r="I1369" s="4">
        <v>37</v>
      </c>
      <c r="J1369" s="4">
        <v>0</v>
      </c>
      <c r="L1369" s="31">
        <v>3.42</v>
      </c>
      <c r="M1369" s="32">
        <v>10.8</v>
      </c>
      <c r="N1369" s="33">
        <v>10.8</v>
      </c>
    </row>
    <row r="1370" spans="1:14" x14ac:dyDescent="0.25">
      <c r="A1370" s="30">
        <v>1</v>
      </c>
      <c r="B1370" s="2" t="s">
        <v>7398</v>
      </c>
      <c r="C1370" s="2" t="s">
        <v>7399</v>
      </c>
      <c r="D1370" s="2" t="s">
        <v>6772</v>
      </c>
      <c r="E1370" s="5">
        <v>6</v>
      </c>
      <c r="F1370" s="2" t="s">
        <v>2021</v>
      </c>
      <c r="G1370" s="2" t="s">
        <v>7401</v>
      </c>
      <c r="H1370" s="2" t="s">
        <v>1328</v>
      </c>
      <c r="I1370" s="4">
        <v>0</v>
      </c>
      <c r="J1370" s="4">
        <v>0</v>
      </c>
      <c r="L1370" s="31">
        <v>0</v>
      </c>
      <c r="M1370" s="32">
        <v>0</v>
      </c>
      <c r="N1370" s="33">
        <v>9999</v>
      </c>
    </row>
    <row r="1371" spans="1:14" x14ac:dyDescent="0.25">
      <c r="A1371" s="30">
        <v>1</v>
      </c>
      <c r="B1371" s="2" t="s">
        <v>7398</v>
      </c>
      <c r="C1371" s="2" t="s">
        <v>7399</v>
      </c>
      <c r="D1371" s="2" t="s">
        <v>6773</v>
      </c>
      <c r="E1371" s="5">
        <v>6</v>
      </c>
      <c r="F1371" s="2" t="s">
        <v>2019</v>
      </c>
      <c r="G1371" s="2" t="s">
        <v>7401</v>
      </c>
      <c r="H1371" s="2" t="s">
        <v>1329</v>
      </c>
      <c r="I1371" s="4">
        <v>201</v>
      </c>
      <c r="J1371" s="4">
        <v>0</v>
      </c>
      <c r="L1371" s="31">
        <v>21.57</v>
      </c>
      <c r="M1371" s="32">
        <v>9.3000000000000007</v>
      </c>
      <c r="N1371" s="33">
        <v>9.3000000000000007</v>
      </c>
    </row>
    <row r="1372" spans="1:14" x14ac:dyDescent="0.25">
      <c r="A1372" s="30">
        <v>1</v>
      </c>
      <c r="B1372" s="2" t="s">
        <v>7398</v>
      </c>
      <c r="C1372" s="2" t="s">
        <v>7399</v>
      </c>
      <c r="D1372" s="2" t="s">
        <v>6774</v>
      </c>
      <c r="E1372" s="5">
        <v>24</v>
      </c>
      <c r="F1372" s="2" t="s">
        <v>1882</v>
      </c>
      <c r="G1372" s="2" t="s">
        <v>7401</v>
      </c>
      <c r="H1372" s="2" t="s">
        <v>1330</v>
      </c>
      <c r="I1372" s="4">
        <v>31</v>
      </c>
      <c r="J1372" s="4">
        <v>0</v>
      </c>
      <c r="L1372" s="31">
        <v>1.71</v>
      </c>
      <c r="M1372" s="32">
        <v>18.100000000000001</v>
      </c>
      <c r="N1372" s="33">
        <v>18.100000000000001</v>
      </c>
    </row>
    <row r="1373" spans="1:14" x14ac:dyDescent="0.25">
      <c r="A1373" s="30">
        <v>1</v>
      </c>
      <c r="B1373" s="2" t="s">
        <v>7398</v>
      </c>
      <c r="C1373" s="2" t="s">
        <v>7399</v>
      </c>
      <c r="D1373" s="2" t="s">
        <v>6775</v>
      </c>
      <c r="E1373" s="5">
        <v>6</v>
      </c>
      <c r="F1373" s="2" t="s">
        <v>2021</v>
      </c>
      <c r="G1373" s="2" t="s">
        <v>7401</v>
      </c>
      <c r="H1373" s="2" t="s">
        <v>1331</v>
      </c>
      <c r="I1373" s="4">
        <v>25</v>
      </c>
      <c r="J1373" s="4">
        <v>28</v>
      </c>
      <c r="L1373" s="31">
        <v>4.71</v>
      </c>
      <c r="M1373" s="32">
        <v>11.3</v>
      </c>
      <c r="N1373" s="33">
        <v>5.3</v>
      </c>
    </row>
    <row r="1374" spans="1:14" x14ac:dyDescent="0.25">
      <c r="A1374" s="30">
        <v>1</v>
      </c>
      <c r="B1374" s="2" t="s">
        <v>7398</v>
      </c>
      <c r="C1374" s="2" t="s">
        <v>7399</v>
      </c>
      <c r="D1374" s="2" t="s">
        <v>6776</v>
      </c>
      <c r="E1374" s="5">
        <v>12</v>
      </c>
      <c r="F1374" s="2" t="s">
        <v>1875</v>
      </c>
      <c r="G1374" s="2" t="s">
        <v>7401</v>
      </c>
      <c r="H1374" s="2" t="s">
        <v>1332</v>
      </c>
      <c r="I1374" s="4">
        <v>390</v>
      </c>
      <c r="J1374" s="4">
        <v>80</v>
      </c>
      <c r="L1374" s="31">
        <v>52.42</v>
      </c>
      <c r="M1374" s="32">
        <v>9</v>
      </c>
      <c r="N1374" s="33">
        <v>7.4</v>
      </c>
    </row>
    <row r="1375" spans="1:14" x14ac:dyDescent="0.25">
      <c r="A1375" s="30">
        <v>1</v>
      </c>
      <c r="B1375" s="2" t="s">
        <v>7398</v>
      </c>
      <c r="C1375" s="2" t="s">
        <v>7399</v>
      </c>
      <c r="D1375" s="2" t="s">
        <v>6777</v>
      </c>
      <c r="E1375" s="5">
        <v>6</v>
      </c>
      <c r="F1375" s="2" t="s">
        <v>1927</v>
      </c>
      <c r="G1375" s="2" t="s">
        <v>7401</v>
      </c>
      <c r="H1375" s="2" t="s">
        <v>1333</v>
      </c>
      <c r="I1375" s="4">
        <v>620</v>
      </c>
      <c r="J1375" s="4">
        <v>160</v>
      </c>
      <c r="L1375" s="31">
        <v>98.42</v>
      </c>
      <c r="M1375" s="32">
        <v>7.9</v>
      </c>
      <c r="N1375" s="33">
        <v>6.3</v>
      </c>
    </row>
    <row r="1376" spans="1:14" x14ac:dyDescent="0.25">
      <c r="A1376" s="30">
        <v>1</v>
      </c>
      <c r="B1376" s="2" t="s">
        <v>7398</v>
      </c>
      <c r="C1376" s="2" t="s">
        <v>7399</v>
      </c>
      <c r="D1376" s="2" t="s">
        <v>6778</v>
      </c>
      <c r="E1376" s="5">
        <v>12</v>
      </c>
      <c r="F1376" s="2" t="s">
        <v>1927</v>
      </c>
      <c r="G1376" s="2" t="s">
        <v>7401</v>
      </c>
      <c r="H1376" s="2" t="s">
        <v>1334</v>
      </c>
      <c r="I1376" s="4">
        <v>217</v>
      </c>
      <c r="J1376" s="4">
        <v>0</v>
      </c>
      <c r="L1376" s="31">
        <v>23.28</v>
      </c>
      <c r="M1376" s="32">
        <v>9.3000000000000007</v>
      </c>
      <c r="N1376" s="33">
        <v>9.3000000000000007</v>
      </c>
    </row>
    <row r="1377" spans="1:14" x14ac:dyDescent="0.25">
      <c r="A1377" s="30">
        <v>1</v>
      </c>
      <c r="B1377" s="2" t="s">
        <v>7398</v>
      </c>
      <c r="C1377" s="2" t="s">
        <v>7399</v>
      </c>
      <c r="D1377" s="2" t="s">
        <v>6779</v>
      </c>
      <c r="E1377" s="5">
        <v>12</v>
      </c>
      <c r="F1377" s="2" t="s">
        <v>1869</v>
      </c>
      <c r="G1377" s="2" t="s">
        <v>7410</v>
      </c>
      <c r="H1377" s="2" t="s">
        <v>1335</v>
      </c>
      <c r="I1377" s="4">
        <v>264</v>
      </c>
      <c r="J1377" s="4">
        <v>0</v>
      </c>
      <c r="L1377" s="31">
        <v>51</v>
      </c>
      <c r="M1377" s="32">
        <v>5.2</v>
      </c>
      <c r="N1377" s="33">
        <v>5.2</v>
      </c>
    </row>
    <row r="1378" spans="1:14" x14ac:dyDescent="0.25">
      <c r="A1378" s="30">
        <v>1</v>
      </c>
      <c r="B1378" s="2" t="s">
        <v>7398</v>
      </c>
      <c r="C1378" s="2" t="s">
        <v>7399</v>
      </c>
      <c r="D1378" s="2" t="s">
        <v>6780</v>
      </c>
      <c r="E1378" s="5">
        <v>12</v>
      </c>
      <c r="F1378" s="2" t="s">
        <v>1899</v>
      </c>
      <c r="G1378" s="2" t="s">
        <v>7410</v>
      </c>
      <c r="H1378" s="2" t="s">
        <v>1336</v>
      </c>
      <c r="I1378" s="4">
        <v>240</v>
      </c>
      <c r="J1378" s="4">
        <v>0</v>
      </c>
      <c r="L1378" s="31">
        <v>58.28</v>
      </c>
      <c r="M1378" s="32">
        <v>4.0999999999999996</v>
      </c>
      <c r="N1378" s="33">
        <v>4.0999999999999996</v>
      </c>
    </row>
    <row r="1379" spans="1:14" x14ac:dyDescent="0.25">
      <c r="A1379" s="30">
        <v>1</v>
      </c>
      <c r="B1379" s="2" t="s">
        <v>7398</v>
      </c>
      <c r="C1379" s="2" t="s">
        <v>7399</v>
      </c>
      <c r="D1379" s="2" t="s">
        <v>6781</v>
      </c>
      <c r="E1379" s="5">
        <v>24</v>
      </c>
      <c r="F1379" s="2" t="s">
        <v>5359</v>
      </c>
      <c r="G1379" s="2" t="s">
        <v>7413</v>
      </c>
      <c r="H1379" s="2" t="s">
        <v>5358</v>
      </c>
      <c r="I1379" s="4">
        <v>0</v>
      </c>
      <c r="J1379" s="4">
        <v>0</v>
      </c>
      <c r="L1379" s="31">
        <v>3.14</v>
      </c>
      <c r="M1379" s="32">
        <v>0</v>
      </c>
      <c r="N1379" s="33">
        <v>0</v>
      </c>
    </row>
    <row r="1380" spans="1:14" x14ac:dyDescent="0.25">
      <c r="A1380" s="30">
        <v>1</v>
      </c>
      <c r="B1380" s="2" t="s">
        <v>7398</v>
      </c>
      <c r="C1380" s="2" t="s">
        <v>7399</v>
      </c>
      <c r="D1380" s="2" t="s">
        <v>6782</v>
      </c>
      <c r="E1380" s="5">
        <v>12</v>
      </c>
      <c r="F1380" s="2" t="s">
        <v>5373</v>
      </c>
      <c r="G1380" s="2" t="s">
        <v>7401</v>
      </c>
      <c r="H1380" s="2" t="s">
        <v>5358</v>
      </c>
      <c r="I1380" s="4">
        <v>0</v>
      </c>
      <c r="J1380" s="4">
        <v>0</v>
      </c>
      <c r="L1380" s="31">
        <v>0</v>
      </c>
      <c r="M1380" s="32">
        <v>0</v>
      </c>
      <c r="N1380" s="33">
        <v>9999</v>
      </c>
    </row>
    <row r="1381" spans="1:14" x14ac:dyDescent="0.25">
      <c r="A1381" s="30">
        <v>1</v>
      </c>
      <c r="B1381" s="2" t="s">
        <v>7398</v>
      </c>
      <c r="C1381" s="2" t="s">
        <v>7399</v>
      </c>
      <c r="D1381" s="2" t="s">
        <v>6783</v>
      </c>
      <c r="E1381" s="5">
        <v>12</v>
      </c>
      <c r="F1381" s="2" t="s">
        <v>1977</v>
      </c>
      <c r="G1381" s="2" t="s">
        <v>7400</v>
      </c>
      <c r="H1381" s="2" t="s">
        <v>1337</v>
      </c>
      <c r="I1381" s="4">
        <v>73</v>
      </c>
      <c r="J1381" s="4">
        <v>0</v>
      </c>
      <c r="L1381" s="31">
        <v>52.42</v>
      </c>
      <c r="M1381" s="32">
        <v>1.4</v>
      </c>
      <c r="N1381" s="33">
        <v>1.4</v>
      </c>
    </row>
    <row r="1382" spans="1:14" x14ac:dyDescent="0.25">
      <c r="A1382" s="30">
        <v>1</v>
      </c>
      <c r="B1382" s="2" t="s">
        <v>7398</v>
      </c>
      <c r="C1382" s="2" t="s">
        <v>7399</v>
      </c>
      <c r="D1382" s="2" t="s">
        <v>6784</v>
      </c>
      <c r="E1382" s="5">
        <v>12</v>
      </c>
      <c r="F1382" s="2" t="s">
        <v>2022</v>
      </c>
      <c r="G1382" s="2" t="s">
        <v>7401</v>
      </c>
      <c r="H1382" s="2" t="s">
        <v>1338</v>
      </c>
      <c r="I1382" s="4">
        <v>162</v>
      </c>
      <c r="J1382" s="4">
        <v>0</v>
      </c>
      <c r="L1382" s="31">
        <v>20.28</v>
      </c>
      <c r="M1382" s="32">
        <v>8</v>
      </c>
      <c r="N1382" s="33">
        <v>8</v>
      </c>
    </row>
    <row r="1383" spans="1:14" x14ac:dyDescent="0.25">
      <c r="A1383" s="30">
        <v>1</v>
      </c>
      <c r="B1383" s="2" t="s">
        <v>7398</v>
      </c>
      <c r="C1383" s="2" t="s">
        <v>7399</v>
      </c>
      <c r="D1383" s="2" t="s">
        <v>6785</v>
      </c>
      <c r="E1383" s="5">
        <v>12</v>
      </c>
      <c r="F1383" s="2" t="s">
        <v>2010</v>
      </c>
      <c r="G1383" s="2" t="s">
        <v>7403</v>
      </c>
      <c r="H1383" s="2" t="s">
        <v>1339</v>
      </c>
      <c r="I1383" s="4">
        <v>0</v>
      </c>
      <c r="J1383" s="4">
        <v>0</v>
      </c>
      <c r="L1383" s="31">
        <v>0</v>
      </c>
      <c r="M1383" s="32">
        <v>0</v>
      </c>
      <c r="N1383" s="33">
        <v>9999</v>
      </c>
    </row>
    <row r="1384" spans="1:14" x14ac:dyDescent="0.25">
      <c r="A1384" s="30">
        <v>1</v>
      </c>
      <c r="B1384" s="2" t="s">
        <v>7398</v>
      </c>
      <c r="C1384" s="2" t="s">
        <v>7399</v>
      </c>
      <c r="D1384" s="2" t="s">
        <v>6786</v>
      </c>
      <c r="E1384" s="5">
        <v>12</v>
      </c>
      <c r="F1384" s="2" t="s">
        <v>1853</v>
      </c>
      <c r="G1384" s="2" t="s">
        <v>7401</v>
      </c>
      <c r="H1384" s="2" t="s">
        <v>1340</v>
      </c>
      <c r="I1384" s="4">
        <v>47</v>
      </c>
      <c r="J1384" s="4">
        <v>0</v>
      </c>
      <c r="L1384" s="31">
        <v>4.1399999999999997</v>
      </c>
      <c r="M1384" s="32">
        <v>11.4</v>
      </c>
      <c r="N1384" s="33">
        <v>11.4</v>
      </c>
    </row>
    <row r="1385" spans="1:14" x14ac:dyDescent="0.25">
      <c r="A1385" s="30">
        <v>1</v>
      </c>
      <c r="B1385" s="2" t="s">
        <v>7398</v>
      </c>
      <c r="C1385" s="2" t="s">
        <v>7399</v>
      </c>
      <c r="D1385" s="2" t="s">
        <v>6787</v>
      </c>
      <c r="E1385" s="5">
        <v>12</v>
      </c>
      <c r="F1385" s="2" t="s">
        <v>1853</v>
      </c>
      <c r="G1385" s="2" t="s">
        <v>7401</v>
      </c>
      <c r="H1385" s="2" t="s">
        <v>1341</v>
      </c>
      <c r="I1385" s="4">
        <v>59</v>
      </c>
      <c r="J1385" s="4">
        <v>12</v>
      </c>
      <c r="L1385" s="31">
        <v>5.57</v>
      </c>
      <c r="M1385" s="32">
        <v>12.7</v>
      </c>
      <c r="N1385" s="33">
        <v>10.6</v>
      </c>
    </row>
    <row r="1386" spans="1:14" x14ac:dyDescent="0.25">
      <c r="A1386" s="30">
        <v>1</v>
      </c>
      <c r="B1386" s="2" t="s">
        <v>7398</v>
      </c>
      <c r="C1386" s="2" t="s">
        <v>7399</v>
      </c>
      <c r="D1386" s="2" t="s">
        <v>6788</v>
      </c>
      <c r="E1386" s="5">
        <v>12</v>
      </c>
      <c r="F1386" s="2" t="s">
        <v>2023</v>
      </c>
      <c r="G1386" s="2" t="s">
        <v>7405</v>
      </c>
      <c r="H1386" s="2" t="s">
        <v>1342</v>
      </c>
      <c r="I1386" s="4">
        <v>1000</v>
      </c>
      <c r="J1386" s="4">
        <v>336</v>
      </c>
      <c r="L1386" s="31">
        <v>67.709999999999994</v>
      </c>
      <c r="M1386" s="32">
        <v>19.7</v>
      </c>
      <c r="N1386" s="33">
        <v>14.8</v>
      </c>
    </row>
    <row r="1387" spans="1:14" x14ac:dyDescent="0.25">
      <c r="A1387" s="30">
        <v>1</v>
      </c>
      <c r="B1387" s="2" t="s">
        <v>7398</v>
      </c>
      <c r="C1387" s="2" t="s">
        <v>7399</v>
      </c>
      <c r="D1387" s="2" t="s">
        <v>6789</v>
      </c>
      <c r="E1387" s="5">
        <v>12</v>
      </c>
      <c r="F1387" s="2" t="s">
        <v>2023</v>
      </c>
      <c r="G1387" s="2" t="s">
        <v>7405</v>
      </c>
      <c r="H1387" s="2" t="s">
        <v>1343</v>
      </c>
      <c r="I1387" s="4">
        <v>570</v>
      </c>
      <c r="J1387" s="4">
        <v>336</v>
      </c>
      <c r="L1387" s="31">
        <v>49.85</v>
      </c>
      <c r="M1387" s="32">
        <v>18.2</v>
      </c>
      <c r="N1387" s="33">
        <v>11.4</v>
      </c>
    </row>
    <row r="1388" spans="1:14" x14ac:dyDescent="0.25">
      <c r="A1388" s="30">
        <v>1</v>
      </c>
      <c r="B1388" s="2" t="s">
        <v>7398</v>
      </c>
      <c r="C1388" s="2" t="s">
        <v>7399</v>
      </c>
      <c r="D1388" s="2" t="s">
        <v>6790</v>
      </c>
      <c r="E1388" s="5">
        <v>12</v>
      </c>
      <c r="F1388" s="2" t="s">
        <v>2023</v>
      </c>
      <c r="G1388" s="2" t="s">
        <v>7405</v>
      </c>
      <c r="H1388" s="2" t="s">
        <v>1344</v>
      </c>
      <c r="I1388" s="4">
        <v>1091</v>
      </c>
      <c r="J1388" s="4">
        <v>56</v>
      </c>
      <c r="L1388" s="31">
        <v>61.85</v>
      </c>
      <c r="M1388" s="32">
        <v>18.5</v>
      </c>
      <c r="N1388" s="33">
        <v>17.600000000000001</v>
      </c>
    </row>
    <row r="1389" spans="1:14" x14ac:dyDescent="0.25">
      <c r="A1389" s="30">
        <v>1</v>
      </c>
      <c r="B1389" s="2" t="s">
        <v>7398</v>
      </c>
      <c r="C1389" s="2" t="s">
        <v>7399</v>
      </c>
      <c r="D1389" s="2" t="s">
        <v>6791</v>
      </c>
      <c r="E1389" s="5">
        <v>12</v>
      </c>
      <c r="F1389" s="2" t="s">
        <v>2024</v>
      </c>
      <c r="G1389" s="2" t="s">
        <v>7414</v>
      </c>
      <c r="H1389" s="2" t="s">
        <v>1345</v>
      </c>
      <c r="I1389" s="4">
        <v>1704</v>
      </c>
      <c r="J1389" s="4">
        <v>378</v>
      </c>
      <c r="L1389" s="31">
        <v>219.85</v>
      </c>
      <c r="M1389" s="32">
        <v>9.5</v>
      </c>
      <c r="N1389" s="33">
        <v>7.8</v>
      </c>
    </row>
    <row r="1390" spans="1:14" x14ac:dyDescent="0.25">
      <c r="A1390" s="30">
        <v>1</v>
      </c>
      <c r="B1390" s="2" t="s">
        <v>7398</v>
      </c>
      <c r="C1390" s="2" t="s">
        <v>7399</v>
      </c>
      <c r="D1390" s="2" t="s">
        <v>6792</v>
      </c>
      <c r="E1390" s="5">
        <v>12</v>
      </c>
      <c r="F1390" s="2" t="s">
        <v>1942</v>
      </c>
      <c r="G1390" s="2" t="s">
        <v>7414</v>
      </c>
      <c r="H1390" s="2" t="s">
        <v>1346</v>
      </c>
      <c r="I1390" s="4">
        <v>4964</v>
      </c>
      <c r="J1390" s="4">
        <v>756</v>
      </c>
      <c r="L1390" s="31">
        <v>487.85</v>
      </c>
      <c r="M1390" s="32">
        <v>11.7</v>
      </c>
      <c r="N1390" s="33">
        <v>10.199999999999999</v>
      </c>
    </row>
    <row r="1391" spans="1:14" x14ac:dyDescent="0.25">
      <c r="A1391" s="30">
        <v>1</v>
      </c>
      <c r="B1391" s="2" t="s">
        <v>7398</v>
      </c>
      <c r="C1391" s="2" t="s">
        <v>7399</v>
      </c>
      <c r="D1391" s="2" t="s">
        <v>6793</v>
      </c>
      <c r="E1391" s="5">
        <v>12</v>
      </c>
      <c r="F1391" s="2" t="s">
        <v>1849</v>
      </c>
      <c r="G1391" s="2" t="s">
        <v>7410</v>
      </c>
      <c r="H1391" s="2" t="s">
        <v>1347</v>
      </c>
      <c r="I1391" s="4">
        <v>310</v>
      </c>
      <c r="J1391" s="4">
        <v>504</v>
      </c>
      <c r="L1391" s="31">
        <v>19.28</v>
      </c>
      <c r="M1391" s="32">
        <v>42.2</v>
      </c>
      <c r="N1391" s="33">
        <v>16.100000000000001</v>
      </c>
    </row>
    <row r="1392" spans="1:14" x14ac:dyDescent="0.25">
      <c r="A1392" s="30">
        <v>1</v>
      </c>
      <c r="B1392" s="2" t="s">
        <v>7398</v>
      </c>
      <c r="C1392" s="2" t="s">
        <v>7399</v>
      </c>
      <c r="D1392" s="2" t="s">
        <v>6794</v>
      </c>
      <c r="E1392" s="5">
        <v>12</v>
      </c>
      <c r="F1392" s="2" t="s">
        <v>1881</v>
      </c>
      <c r="G1392" s="2" t="s">
        <v>7410</v>
      </c>
      <c r="H1392" s="2" t="s">
        <v>1348</v>
      </c>
      <c r="I1392" s="4">
        <v>125</v>
      </c>
      <c r="J1392" s="4">
        <v>0</v>
      </c>
      <c r="L1392" s="31">
        <v>2</v>
      </c>
      <c r="M1392" s="32">
        <v>62.5</v>
      </c>
      <c r="N1392" s="33">
        <v>62.5</v>
      </c>
    </row>
    <row r="1393" spans="1:14" x14ac:dyDescent="0.25">
      <c r="A1393" s="30">
        <v>1</v>
      </c>
      <c r="B1393" s="2" t="s">
        <v>7398</v>
      </c>
      <c r="C1393" s="2" t="s">
        <v>7399</v>
      </c>
      <c r="D1393" s="2" t="s">
        <v>6795</v>
      </c>
      <c r="E1393" s="5">
        <v>12</v>
      </c>
      <c r="F1393" s="2" t="s">
        <v>1849</v>
      </c>
      <c r="G1393" s="2" t="s">
        <v>7410</v>
      </c>
      <c r="H1393" s="2" t="s">
        <v>1349</v>
      </c>
      <c r="I1393" s="4">
        <v>362</v>
      </c>
      <c r="J1393" s="4">
        <v>252</v>
      </c>
      <c r="L1393" s="31">
        <v>11.85</v>
      </c>
      <c r="M1393" s="32">
        <v>51.8</v>
      </c>
      <c r="N1393" s="33">
        <v>30.5</v>
      </c>
    </row>
    <row r="1394" spans="1:14" x14ac:dyDescent="0.25">
      <c r="A1394" s="30">
        <v>1</v>
      </c>
      <c r="B1394" s="2" t="s">
        <v>7398</v>
      </c>
      <c r="C1394" s="2" t="s">
        <v>7399</v>
      </c>
      <c r="D1394" s="2" t="s">
        <v>6796</v>
      </c>
      <c r="E1394" s="5">
        <v>12</v>
      </c>
      <c r="F1394" s="2" t="s">
        <v>1913</v>
      </c>
      <c r="G1394" s="2" t="s">
        <v>7410</v>
      </c>
      <c r="H1394" s="2" t="s">
        <v>1350</v>
      </c>
      <c r="I1394" s="4">
        <v>2057</v>
      </c>
      <c r="J1394" s="4">
        <v>2720</v>
      </c>
      <c r="L1394" s="31">
        <v>174</v>
      </c>
      <c r="M1394" s="32">
        <v>27.5</v>
      </c>
      <c r="N1394" s="33">
        <v>11.8</v>
      </c>
    </row>
    <row r="1395" spans="1:14" x14ac:dyDescent="0.25">
      <c r="A1395" s="30">
        <v>1</v>
      </c>
      <c r="B1395" s="2" t="s">
        <v>7398</v>
      </c>
      <c r="C1395" s="2" t="s">
        <v>7399</v>
      </c>
      <c r="D1395" s="2" t="s">
        <v>6797</v>
      </c>
      <c r="E1395" s="5">
        <v>12</v>
      </c>
      <c r="F1395" s="2" t="s">
        <v>1910</v>
      </c>
      <c r="G1395" s="2" t="s">
        <v>7410</v>
      </c>
      <c r="H1395" s="2" t="s">
        <v>1351</v>
      </c>
      <c r="I1395" s="4">
        <v>680</v>
      </c>
      <c r="J1395" s="4">
        <v>720</v>
      </c>
      <c r="L1395" s="31">
        <v>47.14</v>
      </c>
      <c r="M1395" s="32">
        <v>29.7</v>
      </c>
      <c r="N1395" s="33">
        <v>14.4</v>
      </c>
    </row>
    <row r="1396" spans="1:14" x14ac:dyDescent="0.25">
      <c r="A1396" s="30">
        <v>1</v>
      </c>
      <c r="B1396" s="2" t="s">
        <v>7398</v>
      </c>
      <c r="C1396" s="2" t="s">
        <v>7399</v>
      </c>
      <c r="D1396" s="2" t="s">
        <v>6798</v>
      </c>
      <c r="E1396" s="5">
        <v>4</v>
      </c>
      <c r="F1396" s="2" t="s">
        <v>2025</v>
      </c>
      <c r="G1396" s="2" t="s">
        <v>7413</v>
      </c>
      <c r="H1396" s="2" t="s">
        <v>1352</v>
      </c>
      <c r="I1396" s="4">
        <v>295</v>
      </c>
      <c r="J1396" s="4">
        <v>561</v>
      </c>
      <c r="L1396" s="31">
        <v>39.28</v>
      </c>
      <c r="M1396" s="32">
        <v>21.8</v>
      </c>
      <c r="N1396" s="33">
        <v>7.5</v>
      </c>
    </row>
    <row r="1397" spans="1:14" x14ac:dyDescent="0.25">
      <c r="A1397" s="30">
        <v>1</v>
      </c>
      <c r="B1397" s="2" t="s">
        <v>7398</v>
      </c>
      <c r="C1397" s="2" t="s">
        <v>7399</v>
      </c>
      <c r="D1397" s="2" t="s">
        <v>6799</v>
      </c>
      <c r="E1397" s="5">
        <v>12</v>
      </c>
      <c r="F1397" s="2" t="s">
        <v>2001</v>
      </c>
      <c r="G1397" s="2" t="s">
        <v>7434</v>
      </c>
      <c r="H1397" s="2" t="s">
        <v>1353</v>
      </c>
      <c r="I1397" s="4">
        <v>1730</v>
      </c>
      <c r="J1397" s="4">
        <v>2160</v>
      </c>
      <c r="L1397" s="31">
        <v>92.42</v>
      </c>
      <c r="M1397" s="32">
        <v>42.1</v>
      </c>
      <c r="N1397" s="33">
        <v>18.7</v>
      </c>
    </row>
    <row r="1398" spans="1:14" x14ac:dyDescent="0.25">
      <c r="A1398" s="30">
        <v>1</v>
      </c>
      <c r="B1398" s="2" t="s">
        <v>7398</v>
      </c>
      <c r="C1398" s="2" t="s">
        <v>7399</v>
      </c>
      <c r="D1398" s="2" t="s">
        <v>6800</v>
      </c>
      <c r="E1398" s="5">
        <v>12</v>
      </c>
      <c r="F1398" s="2" t="s">
        <v>1875</v>
      </c>
      <c r="G1398" s="2" t="s">
        <v>7434</v>
      </c>
      <c r="H1398" s="2" t="s">
        <v>1354</v>
      </c>
      <c r="I1398" s="4">
        <v>402</v>
      </c>
      <c r="J1398" s="4">
        <v>510</v>
      </c>
      <c r="L1398" s="31">
        <v>24.42</v>
      </c>
      <c r="M1398" s="32">
        <v>37.299999999999997</v>
      </c>
      <c r="N1398" s="33">
        <v>16.5</v>
      </c>
    </row>
    <row r="1399" spans="1:14" x14ac:dyDescent="0.25">
      <c r="A1399" s="30">
        <v>1</v>
      </c>
      <c r="B1399" s="2" t="s">
        <v>7398</v>
      </c>
      <c r="C1399" s="2" t="s">
        <v>7399</v>
      </c>
      <c r="D1399" s="2" t="s">
        <v>6801</v>
      </c>
      <c r="E1399" s="5">
        <v>12</v>
      </c>
      <c r="F1399" s="2" t="s">
        <v>1918</v>
      </c>
      <c r="G1399" s="2" t="s">
        <v>7403</v>
      </c>
      <c r="H1399" s="2" t="s">
        <v>1355</v>
      </c>
      <c r="I1399" s="4">
        <v>1645</v>
      </c>
      <c r="J1399" s="4">
        <v>360</v>
      </c>
      <c r="L1399" s="31">
        <v>65.28</v>
      </c>
      <c r="M1399" s="32">
        <v>30.7</v>
      </c>
      <c r="N1399" s="33">
        <v>25.2</v>
      </c>
    </row>
    <row r="1400" spans="1:14" x14ac:dyDescent="0.25">
      <c r="A1400" s="30">
        <v>1</v>
      </c>
      <c r="B1400" s="2" t="s">
        <v>7398</v>
      </c>
      <c r="C1400" s="2" t="s">
        <v>7399</v>
      </c>
      <c r="D1400" s="2" t="s">
        <v>6802</v>
      </c>
      <c r="E1400" s="5">
        <v>4</v>
      </c>
      <c r="F1400" s="2" t="s">
        <v>2025</v>
      </c>
      <c r="G1400" s="2" t="s">
        <v>7413</v>
      </c>
      <c r="H1400" s="2" t="s">
        <v>1356</v>
      </c>
      <c r="I1400" s="4">
        <v>223</v>
      </c>
      <c r="J1400" s="4">
        <v>0</v>
      </c>
      <c r="L1400" s="31">
        <v>7</v>
      </c>
      <c r="M1400" s="32">
        <v>31.9</v>
      </c>
      <c r="N1400" s="33">
        <v>31.9</v>
      </c>
    </row>
    <row r="1401" spans="1:14" x14ac:dyDescent="0.25">
      <c r="A1401" s="30">
        <v>1</v>
      </c>
      <c r="B1401" s="2" t="s">
        <v>7398</v>
      </c>
      <c r="C1401" s="2" t="s">
        <v>7399</v>
      </c>
      <c r="D1401" s="2" t="s">
        <v>6803</v>
      </c>
      <c r="E1401" s="5">
        <v>4</v>
      </c>
      <c r="F1401" s="2" t="s">
        <v>2025</v>
      </c>
      <c r="G1401" s="2" t="s">
        <v>7413</v>
      </c>
      <c r="H1401" s="2" t="s">
        <v>1357</v>
      </c>
      <c r="I1401" s="4">
        <v>131</v>
      </c>
      <c r="J1401" s="4">
        <v>0</v>
      </c>
      <c r="L1401" s="31">
        <v>6.71</v>
      </c>
      <c r="M1401" s="32">
        <v>19.5</v>
      </c>
      <c r="N1401" s="33">
        <v>19.5</v>
      </c>
    </row>
    <row r="1402" spans="1:14" x14ac:dyDescent="0.25">
      <c r="A1402" s="30">
        <v>1</v>
      </c>
      <c r="B1402" s="2" t="s">
        <v>7398</v>
      </c>
      <c r="C1402" s="2" t="s">
        <v>7399</v>
      </c>
      <c r="D1402" s="2" t="s">
        <v>6804</v>
      </c>
      <c r="E1402" s="5">
        <v>96</v>
      </c>
      <c r="F1402" s="2" t="s">
        <v>2014</v>
      </c>
      <c r="G1402" s="2" t="s">
        <v>7410</v>
      </c>
      <c r="H1402" s="2" t="s">
        <v>1358</v>
      </c>
      <c r="I1402" s="4">
        <v>606</v>
      </c>
      <c r="J1402" s="4">
        <v>96</v>
      </c>
      <c r="L1402" s="31">
        <v>79.849999999999994</v>
      </c>
      <c r="M1402" s="32">
        <v>8.8000000000000007</v>
      </c>
      <c r="N1402" s="33">
        <v>7.6</v>
      </c>
    </row>
    <row r="1403" spans="1:14" x14ac:dyDescent="0.25">
      <c r="A1403" s="30">
        <v>1</v>
      </c>
      <c r="B1403" s="2" t="s">
        <v>7398</v>
      </c>
      <c r="C1403" s="2" t="s">
        <v>7399</v>
      </c>
      <c r="D1403" s="2" t="s">
        <v>6805</v>
      </c>
      <c r="E1403" s="5">
        <v>24</v>
      </c>
      <c r="F1403" s="2" t="s">
        <v>2026</v>
      </c>
      <c r="G1403" s="2" t="s">
        <v>7410</v>
      </c>
      <c r="H1403" s="2" t="s">
        <v>1359</v>
      </c>
      <c r="I1403" s="4">
        <v>533</v>
      </c>
      <c r="J1403" s="4">
        <v>0</v>
      </c>
      <c r="L1403" s="31">
        <v>47.85</v>
      </c>
      <c r="M1403" s="32">
        <v>11.1</v>
      </c>
      <c r="N1403" s="33">
        <v>11.1</v>
      </c>
    </row>
    <row r="1404" spans="1:14" x14ac:dyDescent="0.25">
      <c r="A1404" s="30">
        <v>1</v>
      </c>
      <c r="B1404" s="2" t="s">
        <v>7398</v>
      </c>
      <c r="C1404" s="2" t="s">
        <v>7399</v>
      </c>
      <c r="D1404" s="2" t="s">
        <v>6806</v>
      </c>
      <c r="E1404" s="5">
        <v>24</v>
      </c>
      <c r="F1404" s="2" t="s">
        <v>1976</v>
      </c>
      <c r="G1404" s="2" t="s">
        <v>7413</v>
      </c>
      <c r="H1404" s="2" t="s">
        <v>1351</v>
      </c>
      <c r="I1404" s="4">
        <v>523</v>
      </c>
      <c r="J1404" s="4">
        <v>1120</v>
      </c>
      <c r="L1404" s="31">
        <v>55.85</v>
      </c>
      <c r="M1404" s="32">
        <v>29.4</v>
      </c>
      <c r="N1404" s="33">
        <v>9.4</v>
      </c>
    </row>
    <row r="1405" spans="1:14" x14ac:dyDescent="0.25">
      <c r="A1405" s="30">
        <v>1</v>
      </c>
      <c r="B1405" s="2" t="s">
        <v>7398</v>
      </c>
      <c r="C1405" s="2" t="s">
        <v>7399</v>
      </c>
      <c r="D1405" s="2" t="s">
        <v>6807</v>
      </c>
      <c r="E1405" s="5">
        <v>24</v>
      </c>
      <c r="F1405" s="2" t="s">
        <v>1976</v>
      </c>
      <c r="G1405" s="2" t="s">
        <v>7413</v>
      </c>
      <c r="H1405" s="2" t="s">
        <v>1360</v>
      </c>
      <c r="I1405" s="4">
        <v>321</v>
      </c>
      <c r="J1405" s="4">
        <v>640</v>
      </c>
      <c r="L1405" s="31">
        <v>32.14</v>
      </c>
      <c r="M1405" s="32">
        <v>29.9</v>
      </c>
      <c r="N1405" s="33">
        <v>10</v>
      </c>
    </row>
    <row r="1406" spans="1:14" x14ac:dyDescent="0.25">
      <c r="A1406" s="30">
        <v>1</v>
      </c>
      <c r="B1406" s="2" t="s">
        <v>7398</v>
      </c>
      <c r="C1406" s="2" t="s">
        <v>7399</v>
      </c>
      <c r="D1406" s="2" t="s">
        <v>6808</v>
      </c>
      <c r="E1406" s="5">
        <v>24</v>
      </c>
      <c r="F1406" s="2" t="s">
        <v>1976</v>
      </c>
      <c r="G1406" s="2" t="s">
        <v>7413</v>
      </c>
      <c r="H1406" s="2" t="s">
        <v>1361</v>
      </c>
      <c r="I1406" s="4">
        <v>2295</v>
      </c>
      <c r="J1406" s="4">
        <v>5280</v>
      </c>
      <c r="L1406" s="31">
        <v>313.14</v>
      </c>
      <c r="M1406" s="32">
        <v>24.2</v>
      </c>
      <c r="N1406" s="33">
        <v>7.3</v>
      </c>
    </row>
    <row r="1407" spans="1:14" x14ac:dyDescent="0.25">
      <c r="A1407" s="30">
        <v>1</v>
      </c>
      <c r="B1407" s="2" t="s">
        <v>7398</v>
      </c>
      <c r="C1407" s="2" t="s">
        <v>7399</v>
      </c>
      <c r="D1407" s="2" t="s">
        <v>6809</v>
      </c>
      <c r="E1407" s="5">
        <v>24</v>
      </c>
      <c r="F1407" s="2" t="s">
        <v>2027</v>
      </c>
      <c r="G1407" s="2" t="s">
        <v>7410</v>
      </c>
      <c r="H1407" s="2" t="s">
        <v>1362</v>
      </c>
      <c r="I1407" s="4">
        <v>12342</v>
      </c>
      <c r="J1407" s="4">
        <v>0</v>
      </c>
      <c r="L1407" s="31">
        <v>1121.57</v>
      </c>
      <c r="M1407" s="32">
        <v>11</v>
      </c>
      <c r="N1407" s="33">
        <v>11</v>
      </c>
    </row>
    <row r="1408" spans="1:14" x14ac:dyDescent="0.25">
      <c r="A1408" s="30">
        <v>1</v>
      </c>
      <c r="B1408" s="2" t="s">
        <v>7398</v>
      </c>
      <c r="C1408" s="2" t="s">
        <v>7399</v>
      </c>
      <c r="D1408" s="2" t="s">
        <v>6810</v>
      </c>
      <c r="E1408" s="5">
        <v>24</v>
      </c>
      <c r="F1408" s="2" t="s">
        <v>2026</v>
      </c>
      <c r="G1408" s="2" t="s">
        <v>7410</v>
      </c>
      <c r="H1408" s="2" t="s">
        <v>1363</v>
      </c>
      <c r="I1408" s="4">
        <v>226</v>
      </c>
      <c r="J1408" s="4">
        <v>0</v>
      </c>
      <c r="L1408" s="31">
        <v>7.71</v>
      </c>
      <c r="M1408" s="32">
        <v>29.3</v>
      </c>
      <c r="N1408" s="33">
        <v>29.3</v>
      </c>
    </row>
    <row r="1409" spans="1:14" x14ac:dyDescent="0.25">
      <c r="A1409" s="30">
        <v>1</v>
      </c>
      <c r="B1409" s="2" t="s">
        <v>7398</v>
      </c>
      <c r="C1409" s="2" t="s">
        <v>7399</v>
      </c>
      <c r="D1409" s="2" t="s">
        <v>6811</v>
      </c>
      <c r="E1409" s="5">
        <v>12</v>
      </c>
      <c r="F1409" s="2" t="s">
        <v>2010</v>
      </c>
      <c r="G1409" s="2" t="s">
        <v>7410</v>
      </c>
      <c r="H1409" s="2" t="s">
        <v>1364</v>
      </c>
      <c r="I1409" s="4">
        <v>62</v>
      </c>
      <c r="J1409" s="4">
        <v>0</v>
      </c>
      <c r="L1409" s="31">
        <v>3.57</v>
      </c>
      <c r="M1409" s="32">
        <v>17.399999999999999</v>
      </c>
      <c r="N1409" s="33">
        <v>17.399999999999999</v>
      </c>
    </row>
    <row r="1410" spans="1:14" x14ac:dyDescent="0.25">
      <c r="A1410" s="30">
        <v>1</v>
      </c>
      <c r="B1410" s="2" t="s">
        <v>7398</v>
      </c>
      <c r="C1410" s="2" t="s">
        <v>7399</v>
      </c>
      <c r="D1410" s="2" t="s">
        <v>6812</v>
      </c>
      <c r="E1410" s="5">
        <v>4</v>
      </c>
      <c r="F1410" s="2" t="s">
        <v>1907</v>
      </c>
      <c r="G1410" s="2" t="s">
        <v>7409</v>
      </c>
      <c r="H1410" s="2" t="s">
        <v>1365</v>
      </c>
      <c r="I1410" s="4">
        <v>841</v>
      </c>
      <c r="J1410" s="4">
        <v>0</v>
      </c>
      <c r="L1410" s="31">
        <v>24.57</v>
      </c>
      <c r="M1410" s="32">
        <v>34.200000000000003</v>
      </c>
      <c r="N1410" s="33">
        <v>34.200000000000003</v>
      </c>
    </row>
    <row r="1411" spans="1:14" x14ac:dyDescent="0.25">
      <c r="A1411" s="30">
        <v>1</v>
      </c>
      <c r="B1411" s="2" t="s">
        <v>7398</v>
      </c>
      <c r="C1411" s="2" t="s">
        <v>7399</v>
      </c>
      <c r="D1411" s="2" t="s">
        <v>6813</v>
      </c>
      <c r="E1411" s="5">
        <v>12</v>
      </c>
      <c r="F1411" s="2" t="s">
        <v>1866</v>
      </c>
      <c r="G1411" s="2" t="s">
        <v>7405</v>
      </c>
      <c r="H1411" s="2" t="s">
        <v>1366</v>
      </c>
      <c r="I1411" s="4">
        <v>155</v>
      </c>
      <c r="J1411" s="4">
        <v>900</v>
      </c>
      <c r="L1411" s="31">
        <v>18.850000000000001</v>
      </c>
      <c r="M1411" s="32">
        <v>56</v>
      </c>
      <c r="N1411" s="33">
        <v>8.1999999999999993</v>
      </c>
    </row>
    <row r="1412" spans="1:14" x14ac:dyDescent="0.25">
      <c r="A1412" s="30">
        <v>1</v>
      </c>
      <c r="B1412" s="2" t="s">
        <v>7398</v>
      </c>
      <c r="C1412" s="2" t="s">
        <v>7399</v>
      </c>
      <c r="D1412" s="2" t="s">
        <v>6814</v>
      </c>
      <c r="E1412" s="5">
        <v>12</v>
      </c>
      <c r="F1412" s="2" t="s">
        <v>1874</v>
      </c>
      <c r="G1412" s="2" t="s">
        <v>7405</v>
      </c>
      <c r="H1412" s="2" t="s">
        <v>1367</v>
      </c>
      <c r="I1412" s="4">
        <v>0</v>
      </c>
      <c r="J1412" s="4">
        <v>0</v>
      </c>
      <c r="L1412" s="31">
        <v>0</v>
      </c>
      <c r="M1412" s="32">
        <v>0</v>
      </c>
      <c r="N1412" s="33">
        <v>9999</v>
      </c>
    </row>
    <row r="1413" spans="1:14" x14ac:dyDescent="0.25">
      <c r="A1413" s="30">
        <v>1</v>
      </c>
      <c r="B1413" s="2" t="s">
        <v>7398</v>
      </c>
      <c r="C1413" s="2" t="s">
        <v>7399</v>
      </c>
      <c r="D1413" s="2" t="s">
        <v>6815</v>
      </c>
      <c r="E1413" s="5">
        <v>12</v>
      </c>
      <c r="F1413" s="2" t="s">
        <v>1840</v>
      </c>
      <c r="G1413" s="2" t="s">
        <v>7405</v>
      </c>
      <c r="H1413" s="2" t="s">
        <v>1368</v>
      </c>
      <c r="I1413" s="4">
        <v>0</v>
      </c>
      <c r="J1413" s="4">
        <v>0</v>
      </c>
      <c r="L1413" s="31">
        <v>0</v>
      </c>
      <c r="M1413" s="32">
        <v>0</v>
      </c>
      <c r="N1413" s="33">
        <v>9999</v>
      </c>
    </row>
    <row r="1414" spans="1:14" x14ac:dyDescent="0.25">
      <c r="A1414" s="30">
        <v>1</v>
      </c>
      <c r="B1414" s="2" t="s">
        <v>7398</v>
      </c>
      <c r="C1414" s="2" t="s">
        <v>7399</v>
      </c>
      <c r="D1414" s="2" t="s">
        <v>6816</v>
      </c>
      <c r="E1414" s="5">
        <v>12</v>
      </c>
      <c r="F1414" s="2" t="s">
        <v>1874</v>
      </c>
      <c r="G1414" s="2" t="s">
        <v>7409</v>
      </c>
      <c r="H1414" s="2" t="s">
        <v>1369</v>
      </c>
      <c r="I1414" s="4">
        <v>1228</v>
      </c>
      <c r="J1414" s="4">
        <v>0</v>
      </c>
      <c r="L1414" s="31">
        <v>8.57</v>
      </c>
      <c r="M1414" s="32">
        <v>143.30000000000001</v>
      </c>
      <c r="N1414" s="33">
        <v>143.30000000000001</v>
      </c>
    </row>
    <row r="1415" spans="1:14" x14ac:dyDescent="0.25">
      <c r="A1415" s="30">
        <v>1</v>
      </c>
      <c r="B1415" s="2" t="s">
        <v>7398</v>
      </c>
      <c r="C1415" s="2" t="s">
        <v>7399</v>
      </c>
      <c r="D1415" s="2" t="s">
        <v>6817</v>
      </c>
      <c r="E1415" s="5">
        <v>12</v>
      </c>
      <c r="F1415" s="2" t="s">
        <v>1874</v>
      </c>
      <c r="G1415" s="2" t="s">
        <v>7409</v>
      </c>
      <c r="H1415" s="2" t="s">
        <v>1370</v>
      </c>
      <c r="I1415" s="4">
        <v>122</v>
      </c>
      <c r="J1415" s="4">
        <v>0</v>
      </c>
      <c r="L1415" s="31">
        <v>11.85</v>
      </c>
      <c r="M1415" s="32">
        <v>10.3</v>
      </c>
      <c r="N1415" s="33">
        <v>10.3</v>
      </c>
    </row>
    <row r="1416" spans="1:14" x14ac:dyDescent="0.25">
      <c r="A1416" s="30">
        <v>1</v>
      </c>
      <c r="B1416" s="2" t="s">
        <v>7398</v>
      </c>
      <c r="C1416" s="2" t="s">
        <v>7399</v>
      </c>
      <c r="D1416" s="2" t="s">
        <v>6818</v>
      </c>
      <c r="E1416" s="5">
        <v>12</v>
      </c>
      <c r="F1416" s="2" t="s">
        <v>1874</v>
      </c>
      <c r="G1416" s="2" t="s">
        <v>7409</v>
      </c>
      <c r="H1416" s="2" t="s">
        <v>1371</v>
      </c>
      <c r="I1416" s="4">
        <v>661</v>
      </c>
      <c r="J1416" s="4">
        <v>648</v>
      </c>
      <c r="L1416" s="31">
        <v>60.14</v>
      </c>
      <c r="M1416" s="32">
        <v>21.8</v>
      </c>
      <c r="N1416" s="33">
        <v>11</v>
      </c>
    </row>
    <row r="1417" spans="1:14" x14ac:dyDescent="0.25">
      <c r="A1417" s="30">
        <v>1</v>
      </c>
      <c r="B1417" s="2" t="s">
        <v>7398</v>
      </c>
      <c r="C1417" s="2" t="s">
        <v>7399</v>
      </c>
      <c r="D1417" s="2" t="s">
        <v>6819</v>
      </c>
      <c r="E1417" s="5">
        <v>12</v>
      </c>
      <c r="F1417" s="2" t="s">
        <v>1874</v>
      </c>
      <c r="G1417" s="2" t="s">
        <v>7409</v>
      </c>
      <c r="H1417" s="2" t="s">
        <v>1372</v>
      </c>
      <c r="I1417" s="4">
        <v>245</v>
      </c>
      <c r="J1417" s="4">
        <v>324</v>
      </c>
      <c r="L1417" s="31">
        <v>7.42</v>
      </c>
      <c r="M1417" s="32">
        <v>76.7</v>
      </c>
      <c r="N1417" s="33">
        <v>33</v>
      </c>
    </row>
    <row r="1418" spans="1:14" x14ac:dyDescent="0.25">
      <c r="A1418" s="30">
        <v>1</v>
      </c>
      <c r="B1418" s="2" t="s">
        <v>7398</v>
      </c>
      <c r="C1418" s="2" t="s">
        <v>7399</v>
      </c>
      <c r="D1418" s="2" t="s">
        <v>6820</v>
      </c>
      <c r="E1418" s="5">
        <v>12</v>
      </c>
      <c r="F1418" s="2" t="s">
        <v>1874</v>
      </c>
      <c r="G1418" s="2" t="s">
        <v>7409</v>
      </c>
      <c r="H1418" s="2" t="s">
        <v>1373</v>
      </c>
      <c r="I1418" s="4">
        <v>277</v>
      </c>
      <c r="J1418" s="4">
        <v>9234</v>
      </c>
      <c r="L1418" s="31">
        <v>126.85</v>
      </c>
      <c r="M1418" s="32">
        <v>75</v>
      </c>
      <c r="N1418" s="33">
        <v>2.2000000000000002</v>
      </c>
    </row>
    <row r="1419" spans="1:14" x14ac:dyDescent="0.25">
      <c r="A1419" s="30">
        <v>1</v>
      </c>
      <c r="B1419" s="2" t="s">
        <v>7398</v>
      </c>
      <c r="C1419" s="2" t="s">
        <v>7399</v>
      </c>
      <c r="D1419" s="2" t="s">
        <v>6821</v>
      </c>
      <c r="E1419" s="5">
        <v>12</v>
      </c>
      <c r="F1419" s="2" t="s">
        <v>1928</v>
      </c>
      <c r="G1419" s="2" t="s">
        <v>7405</v>
      </c>
      <c r="H1419" s="2" t="s">
        <v>1374</v>
      </c>
      <c r="I1419" s="4">
        <v>122</v>
      </c>
      <c r="J1419" s="4">
        <v>900</v>
      </c>
      <c r="L1419" s="31">
        <v>24</v>
      </c>
      <c r="M1419" s="32">
        <v>42.6</v>
      </c>
      <c r="N1419" s="33">
        <v>5.0999999999999996</v>
      </c>
    </row>
    <row r="1420" spans="1:14" x14ac:dyDescent="0.25">
      <c r="A1420" s="30">
        <v>1</v>
      </c>
      <c r="B1420" s="2" t="s">
        <v>7398</v>
      </c>
      <c r="C1420" s="2" t="s">
        <v>7399</v>
      </c>
      <c r="D1420" s="2" t="s">
        <v>6822</v>
      </c>
      <c r="E1420" s="5">
        <v>24</v>
      </c>
      <c r="F1420" s="2" t="s">
        <v>1840</v>
      </c>
      <c r="G1420" s="2" t="s">
        <v>7413</v>
      </c>
      <c r="H1420" s="2" t="s">
        <v>1375</v>
      </c>
      <c r="I1420" s="4">
        <v>0</v>
      </c>
      <c r="J1420" s="4">
        <v>0</v>
      </c>
      <c r="L1420" s="31">
        <v>0</v>
      </c>
      <c r="M1420" s="32">
        <v>0</v>
      </c>
      <c r="N1420" s="33">
        <v>9999</v>
      </c>
    </row>
    <row r="1421" spans="1:14" x14ac:dyDescent="0.25">
      <c r="A1421" s="30">
        <v>1</v>
      </c>
      <c r="B1421" s="2" t="s">
        <v>7398</v>
      </c>
      <c r="C1421" s="2" t="s">
        <v>7399</v>
      </c>
      <c r="D1421" s="2" t="s">
        <v>6823</v>
      </c>
      <c r="E1421" s="5">
        <v>12</v>
      </c>
      <c r="F1421" s="2" t="s">
        <v>1918</v>
      </c>
      <c r="G1421" s="2" t="s">
        <v>7409</v>
      </c>
      <c r="H1421" s="2" t="s">
        <v>7438</v>
      </c>
      <c r="I1421" s="4">
        <v>0</v>
      </c>
      <c r="J1421" s="4">
        <v>0</v>
      </c>
      <c r="L1421" s="31">
        <v>0</v>
      </c>
      <c r="M1421" s="32">
        <v>0</v>
      </c>
      <c r="N1421" s="33">
        <v>9999</v>
      </c>
    </row>
    <row r="1422" spans="1:14" x14ac:dyDescent="0.25">
      <c r="A1422" s="30">
        <v>1</v>
      </c>
      <c r="B1422" s="2" t="s">
        <v>7398</v>
      </c>
      <c r="C1422" s="2" t="s">
        <v>7399</v>
      </c>
      <c r="D1422" s="2" t="s">
        <v>6824</v>
      </c>
      <c r="E1422" s="5">
        <v>12</v>
      </c>
      <c r="F1422" s="2" t="s">
        <v>2029</v>
      </c>
      <c r="G1422" s="2" t="s">
        <v>7412</v>
      </c>
      <c r="H1422" s="2" t="s">
        <v>1376</v>
      </c>
      <c r="I1422" s="4">
        <v>146</v>
      </c>
      <c r="J1422" s="4">
        <v>0</v>
      </c>
      <c r="L1422" s="31">
        <v>4.8499999999999996</v>
      </c>
      <c r="M1422" s="32">
        <v>30.1</v>
      </c>
      <c r="N1422" s="33">
        <v>30.1</v>
      </c>
    </row>
    <row r="1423" spans="1:14" x14ac:dyDescent="0.25">
      <c r="A1423" s="30">
        <v>1</v>
      </c>
      <c r="B1423" s="2" t="s">
        <v>7398</v>
      </c>
      <c r="C1423" s="2" t="s">
        <v>7399</v>
      </c>
      <c r="D1423" s="2" t="s">
        <v>6825</v>
      </c>
      <c r="E1423" s="5">
        <v>12</v>
      </c>
      <c r="F1423" s="2" t="s">
        <v>2030</v>
      </c>
      <c r="G1423" s="2" t="s">
        <v>7412</v>
      </c>
      <c r="H1423" s="2" t="s">
        <v>1376</v>
      </c>
      <c r="I1423" s="4">
        <v>289</v>
      </c>
      <c r="J1423" s="4">
        <v>100</v>
      </c>
      <c r="L1423" s="31">
        <v>25.71</v>
      </c>
      <c r="M1423" s="32">
        <v>15.1</v>
      </c>
      <c r="N1423" s="33">
        <v>11.2</v>
      </c>
    </row>
    <row r="1424" spans="1:14" x14ac:dyDescent="0.25">
      <c r="A1424" s="30">
        <v>1</v>
      </c>
      <c r="B1424" s="2" t="s">
        <v>7398</v>
      </c>
      <c r="C1424" s="2" t="s">
        <v>7399</v>
      </c>
      <c r="D1424" s="2" t="s">
        <v>6826</v>
      </c>
      <c r="E1424" s="5">
        <v>12</v>
      </c>
      <c r="F1424" s="2" t="s">
        <v>2030</v>
      </c>
      <c r="G1424" s="2" t="s">
        <v>7412</v>
      </c>
      <c r="H1424" s="2" t="s">
        <v>1377</v>
      </c>
      <c r="I1424" s="4">
        <v>861</v>
      </c>
      <c r="J1424" s="4">
        <v>600</v>
      </c>
      <c r="L1424" s="31">
        <v>117.28</v>
      </c>
      <c r="M1424" s="32">
        <v>12.5</v>
      </c>
      <c r="N1424" s="33">
        <v>7.3</v>
      </c>
    </row>
    <row r="1425" spans="1:14" x14ac:dyDescent="0.25">
      <c r="A1425" s="30">
        <v>1</v>
      </c>
      <c r="B1425" s="2" t="s">
        <v>7398</v>
      </c>
      <c r="C1425" s="2" t="s">
        <v>7399</v>
      </c>
      <c r="D1425" s="2" t="s">
        <v>6827</v>
      </c>
      <c r="E1425" s="5">
        <v>12</v>
      </c>
      <c r="F1425" s="2" t="s">
        <v>2030</v>
      </c>
      <c r="G1425" s="2" t="s">
        <v>7412</v>
      </c>
      <c r="H1425" s="2" t="s">
        <v>1378</v>
      </c>
      <c r="I1425" s="4">
        <v>2299</v>
      </c>
      <c r="J1425" s="4">
        <v>800</v>
      </c>
      <c r="L1425" s="31">
        <v>162.13999999999999</v>
      </c>
      <c r="M1425" s="32">
        <v>19.100000000000001</v>
      </c>
      <c r="N1425" s="33">
        <v>14.2</v>
      </c>
    </row>
    <row r="1426" spans="1:14" x14ac:dyDescent="0.25">
      <c r="A1426" s="30">
        <v>1</v>
      </c>
      <c r="B1426" s="2" t="s">
        <v>7398</v>
      </c>
      <c r="C1426" s="2" t="s">
        <v>7399</v>
      </c>
      <c r="D1426" s="2" t="s">
        <v>6828</v>
      </c>
      <c r="E1426" s="5">
        <v>12</v>
      </c>
      <c r="F1426" s="2" t="s">
        <v>2030</v>
      </c>
      <c r="G1426" s="2" t="s">
        <v>7412</v>
      </c>
      <c r="H1426" s="2" t="s">
        <v>1379</v>
      </c>
      <c r="I1426" s="4">
        <v>1948</v>
      </c>
      <c r="J1426" s="4">
        <v>700</v>
      </c>
      <c r="L1426" s="31">
        <v>106.57</v>
      </c>
      <c r="M1426" s="32">
        <v>24.8</v>
      </c>
      <c r="N1426" s="33">
        <v>18.3</v>
      </c>
    </row>
    <row r="1427" spans="1:14" x14ac:dyDescent="0.25">
      <c r="A1427" s="30">
        <v>1</v>
      </c>
      <c r="B1427" s="2" t="s">
        <v>7398</v>
      </c>
      <c r="C1427" s="2" t="s">
        <v>7399</v>
      </c>
      <c r="D1427" s="2" t="s">
        <v>6829</v>
      </c>
      <c r="E1427" s="5">
        <v>12</v>
      </c>
      <c r="F1427" s="2" t="s">
        <v>2030</v>
      </c>
      <c r="G1427" s="2" t="s">
        <v>7412</v>
      </c>
      <c r="H1427" s="2" t="s">
        <v>1380</v>
      </c>
      <c r="I1427" s="4">
        <v>1070</v>
      </c>
      <c r="J1427" s="4">
        <v>300</v>
      </c>
      <c r="L1427" s="31">
        <v>51.57</v>
      </c>
      <c r="M1427" s="32">
        <v>26.6</v>
      </c>
      <c r="N1427" s="33">
        <v>20.7</v>
      </c>
    </row>
    <row r="1428" spans="1:14" x14ac:dyDescent="0.25">
      <c r="A1428" s="30">
        <v>1</v>
      </c>
      <c r="B1428" s="2" t="s">
        <v>7398</v>
      </c>
      <c r="C1428" s="2" t="s">
        <v>7399</v>
      </c>
      <c r="D1428" s="2" t="s">
        <v>6830</v>
      </c>
      <c r="E1428" s="5">
        <v>12</v>
      </c>
      <c r="F1428" s="2" t="s">
        <v>2029</v>
      </c>
      <c r="G1428" s="2" t="s">
        <v>7412</v>
      </c>
      <c r="H1428" s="2" t="s">
        <v>1381</v>
      </c>
      <c r="I1428" s="4">
        <v>223</v>
      </c>
      <c r="J1428" s="4">
        <v>168</v>
      </c>
      <c r="L1428" s="31">
        <v>30.14</v>
      </c>
      <c r="M1428" s="32">
        <v>13</v>
      </c>
      <c r="N1428" s="33">
        <v>7.4</v>
      </c>
    </row>
    <row r="1429" spans="1:14" x14ac:dyDescent="0.25">
      <c r="A1429" s="30">
        <v>1</v>
      </c>
      <c r="B1429" s="2" t="s">
        <v>7398</v>
      </c>
      <c r="C1429" s="2" t="s">
        <v>7399</v>
      </c>
      <c r="D1429" s="2" t="s">
        <v>6831</v>
      </c>
      <c r="E1429" s="5">
        <v>12</v>
      </c>
      <c r="F1429" s="2" t="s">
        <v>2029</v>
      </c>
      <c r="G1429" s="2" t="s">
        <v>7412</v>
      </c>
      <c r="H1429" s="2" t="s">
        <v>1378</v>
      </c>
      <c r="I1429" s="4">
        <v>390</v>
      </c>
      <c r="J1429" s="4">
        <v>112</v>
      </c>
      <c r="L1429" s="31">
        <v>25.14</v>
      </c>
      <c r="M1429" s="32">
        <v>20</v>
      </c>
      <c r="N1429" s="33">
        <v>15.5</v>
      </c>
    </row>
    <row r="1430" spans="1:14" x14ac:dyDescent="0.25">
      <c r="A1430" s="30">
        <v>1</v>
      </c>
      <c r="B1430" s="2" t="s">
        <v>7398</v>
      </c>
      <c r="C1430" s="2" t="s">
        <v>7399</v>
      </c>
      <c r="D1430" s="2" t="s">
        <v>6832</v>
      </c>
      <c r="E1430" s="5">
        <v>1</v>
      </c>
      <c r="F1430" s="2" t="s">
        <v>2000</v>
      </c>
      <c r="G1430" s="2" t="s">
        <v>7409</v>
      </c>
      <c r="H1430" s="2" t="s">
        <v>1382</v>
      </c>
      <c r="I1430" s="4">
        <v>82</v>
      </c>
      <c r="J1430" s="4">
        <v>168</v>
      </c>
      <c r="L1430" s="31">
        <v>15.42</v>
      </c>
      <c r="M1430" s="32">
        <v>16.2</v>
      </c>
      <c r="N1430" s="33">
        <v>5.3</v>
      </c>
    </row>
    <row r="1431" spans="1:14" x14ac:dyDescent="0.25">
      <c r="A1431" s="30">
        <v>1</v>
      </c>
      <c r="B1431" s="2" t="s">
        <v>7398</v>
      </c>
      <c r="C1431" s="2" t="s">
        <v>7399</v>
      </c>
      <c r="D1431" s="2" t="s">
        <v>6833</v>
      </c>
      <c r="E1431" s="5">
        <v>16</v>
      </c>
      <c r="F1431" s="2" t="s">
        <v>1927</v>
      </c>
      <c r="G1431" s="2" t="s">
        <v>7409</v>
      </c>
      <c r="H1431" s="2" t="s">
        <v>1383</v>
      </c>
      <c r="I1431" s="4">
        <v>0</v>
      </c>
      <c r="J1431" s="4">
        <v>0</v>
      </c>
      <c r="L1431" s="31">
        <v>0</v>
      </c>
      <c r="M1431" s="32">
        <v>0</v>
      </c>
      <c r="N1431" s="33">
        <v>9999</v>
      </c>
    </row>
    <row r="1432" spans="1:14" x14ac:dyDescent="0.25">
      <c r="A1432" s="30">
        <v>1</v>
      </c>
      <c r="B1432" s="2" t="s">
        <v>7398</v>
      </c>
      <c r="C1432" s="2" t="s">
        <v>7399</v>
      </c>
      <c r="D1432" s="2" t="s">
        <v>6834</v>
      </c>
      <c r="E1432" s="5">
        <v>12</v>
      </c>
      <c r="F1432" s="2" t="s">
        <v>2031</v>
      </c>
      <c r="G1432" s="2" t="s">
        <v>7412</v>
      </c>
      <c r="H1432" s="2" t="s">
        <v>1384</v>
      </c>
      <c r="I1432" s="4">
        <v>57</v>
      </c>
      <c r="J1432" s="4">
        <v>0</v>
      </c>
      <c r="L1432" s="31">
        <v>2.71</v>
      </c>
      <c r="M1432" s="32">
        <v>21</v>
      </c>
      <c r="N1432" s="33">
        <v>21</v>
      </c>
    </row>
    <row r="1433" spans="1:14" x14ac:dyDescent="0.25">
      <c r="A1433" s="30">
        <v>1</v>
      </c>
      <c r="B1433" s="2" t="s">
        <v>7398</v>
      </c>
      <c r="C1433" s="2" t="s">
        <v>7399</v>
      </c>
      <c r="D1433" s="2" t="s">
        <v>6835</v>
      </c>
      <c r="E1433" s="5">
        <v>12</v>
      </c>
      <c r="F1433" s="2" t="s">
        <v>2032</v>
      </c>
      <c r="G1433" s="2" t="s">
        <v>7412</v>
      </c>
      <c r="H1433" s="2" t="s">
        <v>1384</v>
      </c>
      <c r="I1433" s="4">
        <v>87</v>
      </c>
      <c r="J1433" s="4">
        <v>56</v>
      </c>
      <c r="L1433" s="31">
        <v>9.57</v>
      </c>
      <c r="M1433" s="32">
        <v>14.9</v>
      </c>
      <c r="N1433" s="33">
        <v>9.1</v>
      </c>
    </row>
    <row r="1434" spans="1:14" x14ac:dyDescent="0.25">
      <c r="A1434" s="30">
        <v>1</v>
      </c>
      <c r="B1434" s="2" t="s">
        <v>7398</v>
      </c>
      <c r="C1434" s="2" t="s">
        <v>7399</v>
      </c>
      <c r="D1434" s="2" t="s">
        <v>6836</v>
      </c>
      <c r="E1434" s="5">
        <v>20</v>
      </c>
      <c r="F1434" s="2" t="s">
        <v>1910</v>
      </c>
      <c r="G1434" s="2" t="s">
        <v>7409</v>
      </c>
      <c r="H1434" s="2" t="s">
        <v>1385</v>
      </c>
      <c r="I1434" s="4">
        <v>446</v>
      </c>
      <c r="J1434" s="4">
        <v>0</v>
      </c>
      <c r="L1434" s="31">
        <v>18.14</v>
      </c>
      <c r="M1434" s="32">
        <v>24.6</v>
      </c>
      <c r="N1434" s="33">
        <v>24.6</v>
      </c>
    </row>
    <row r="1435" spans="1:14" x14ac:dyDescent="0.25">
      <c r="A1435" s="30">
        <v>1</v>
      </c>
      <c r="B1435" s="2" t="s">
        <v>7398</v>
      </c>
      <c r="C1435" s="2" t="s">
        <v>7399</v>
      </c>
      <c r="D1435" s="2" t="s">
        <v>6837</v>
      </c>
      <c r="E1435" s="5">
        <v>8</v>
      </c>
      <c r="F1435" s="2" t="s">
        <v>1907</v>
      </c>
      <c r="G1435" s="2" t="s">
        <v>7409</v>
      </c>
      <c r="H1435" s="2" t="s">
        <v>1386</v>
      </c>
      <c r="I1435" s="4">
        <v>1787</v>
      </c>
      <c r="J1435" s="4">
        <v>0</v>
      </c>
      <c r="L1435" s="31">
        <v>13.57</v>
      </c>
      <c r="M1435" s="32">
        <v>131.69999999999999</v>
      </c>
      <c r="N1435" s="33">
        <v>131.69999999999999</v>
      </c>
    </row>
    <row r="1436" spans="1:14" x14ac:dyDescent="0.25">
      <c r="A1436" s="30">
        <v>1</v>
      </c>
      <c r="B1436" s="2" t="s">
        <v>7398</v>
      </c>
      <c r="C1436" s="2" t="s">
        <v>7399</v>
      </c>
      <c r="D1436" s="2" t="s">
        <v>6838</v>
      </c>
      <c r="E1436" s="5">
        <v>12</v>
      </c>
      <c r="F1436" s="2" t="s">
        <v>1866</v>
      </c>
      <c r="G1436" s="2" t="s">
        <v>7410</v>
      </c>
      <c r="H1436" s="2" t="s">
        <v>1387</v>
      </c>
      <c r="I1436" s="4">
        <v>0</v>
      </c>
      <c r="J1436" s="4">
        <v>0</v>
      </c>
      <c r="L1436" s="31">
        <v>0</v>
      </c>
      <c r="M1436" s="32">
        <v>0</v>
      </c>
      <c r="N1436" s="33">
        <v>9999</v>
      </c>
    </row>
    <row r="1437" spans="1:14" x14ac:dyDescent="0.25">
      <c r="A1437" s="30">
        <v>1</v>
      </c>
      <c r="B1437" s="2" t="s">
        <v>7398</v>
      </c>
      <c r="C1437" s="2" t="s">
        <v>7399</v>
      </c>
      <c r="D1437" s="2" t="s">
        <v>6839</v>
      </c>
      <c r="E1437" s="5">
        <v>12</v>
      </c>
      <c r="F1437" s="2" t="s">
        <v>2001</v>
      </c>
      <c r="G1437" s="2" t="s">
        <v>7405</v>
      </c>
      <c r="H1437" s="2" t="s">
        <v>1388</v>
      </c>
      <c r="I1437" s="4">
        <v>0</v>
      </c>
      <c r="J1437" s="4">
        <v>0</v>
      </c>
      <c r="L1437" s="31">
        <v>0</v>
      </c>
      <c r="M1437" s="32">
        <v>0</v>
      </c>
      <c r="N1437" s="33">
        <v>9999</v>
      </c>
    </row>
    <row r="1438" spans="1:14" x14ac:dyDescent="0.25">
      <c r="A1438" s="30">
        <v>1</v>
      </c>
      <c r="B1438" s="2" t="s">
        <v>7398</v>
      </c>
      <c r="C1438" s="2" t="s">
        <v>7399</v>
      </c>
      <c r="D1438" s="2" t="s">
        <v>6840</v>
      </c>
      <c r="E1438" s="5">
        <v>12</v>
      </c>
      <c r="F1438" s="2" t="s">
        <v>2001</v>
      </c>
      <c r="G1438" s="2" t="s">
        <v>7405</v>
      </c>
      <c r="H1438" s="2" t="s">
        <v>1389</v>
      </c>
      <c r="I1438" s="4">
        <v>0</v>
      </c>
      <c r="J1438" s="4">
        <v>0</v>
      </c>
      <c r="L1438" s="31">
        <v>0</v>
      </c>
      <c r="M1438" s="32">
        <v>0</v>
      </c>
      <c r="N1438" s="33">
        <v>9999</v>
      </c>
    </row>
    <row r="1439" spans="1:14" x14ac:dyDescent="0.25">
      <c r="A1439" s="30">
        <v>1</v>
      </c>
      <c r="B1439" s="2" t="s">
        <v>7398</v>
      </c>
      <c r="C1439" s="2" t="s">
        <v>7399</v>
      </c>
      <c r="D1439" s="2" t="s">
        <v>6841</v>
      </c>
      <c r="E1439" s="5">
        <v>12</v>
      </c>
      <c r="F1439" s="2" t="s">
        <v>2001</v>
      </c>
      <c r="G1439" s="2" t="s">
        <v>7405</v>
      </c>
      <c r="H1439" s="2" t="s">
        <v>1390</v>
      </c>
      <c r="I1439" s="4">
        <v>0</v>
      </c>
      <c r="J1439" s="4">
        <v>0</v>
      </c>
      <c r="L1439" s="31">
        <v>0</v>
      </c>
      <c r="M1439" s="32">
        <v>0</v>
      </c>
      <c r="N1439" s="33">
        <v>9999</v>
      </c>
    </row>
    <row r="1440" spans="1:14" x14ac:dyDescent="0.25">
      <c r="A1440" s="30">
        <v>1</v>
      </c>
      <c r="B1440" s="2" t="s">
        <v>7398</v>
      </c>
      <c r="C1440" s="2" t="s">
        <v>7399</v>
      </c>
      <c r="D1440" s="2" t="s">
        <v>6842</v>
      </c>
      <c r="E1440" s="5">
        <v>1</v>
      </c>
      <c r="F1440" s="2" t="s">
        <v>1975</v>
      </c>
      <c r="H1440" s="2" t="s">
        <v>1391</v>
      </c>
      <c r="I1440" s="4">
        <v>166914</v>
      </c>
      <c r="J1440" s="4">
        <v>10560</v>
      </c>
      <c r="L1440" s="31">
        <v>3429</v>
      </c>
      <c r="M1440" s="32">
        <v>51.8</v>
      </c>
      <c r="N1440" s="33">
        <v>48.7</v>
      </c>
    </row>
    <row r="1441" spans="1:14" x14ac:dyDescent="0.25">
      <c r="A1441" s="30">
        <v>1</v>
      </c>
      <c r="B1441" s="2" t="s">
        <v>7398</v>
      </c>
      <c r="C1441" s="2" t="s">
        <v>7399</v>
      </c>
      <c r="D1441" s="2" t="s">
        <v>6843</v>
      </c>
      <c r="E1441" s="5">
        <v>1</v>
      </c>
      <c r="F1441" s="2" t="s">
        <v>2033</v>
      </c>
      <c r="G1441" s="2" t="s">
        <v>7401</v>
      </c>
      <c r="H1441" s="2" t="s">
        <v>1392</v>
      </c>
      <c r="I1441" s="4">
        <v>14995</v>
      </c>
      <c r="J1441" s="4">
        <v>15600</v>
      </c>
      <c r="L1441" s="31">
        <v>901.71</v>
      </c>
      <c r="M1441" s="32">
        <v>33.9</v>
      </c>
      <c r="N1441" s="33">
        <v>16.600000000000001</v>
      </c>
    </row>
    <row r="1442" spans="1:14" x14ac:dyDescent="0.25">
      <c r="A1442" s="30">
        <v>1</v>
      </c>
      <c r="B1442" s="2" t="s">
        <v>7398</v>
      </c>
      <c r="C1442" s="2" t="s">
        <v>7399</v>
      </c>
      <c r="D1442" s="2" t="s">
        <v>6844</v>
      </c>
      <c r="E1442" s="5">
        <v>1</v>
      </c>
      <c r="F1442" s="2" t="s">
        <v>2033</v>
      </c>
      <c r="G1442" s="2" t="s">
        <v>7401</v>
      </c>
      <c r="H1442" s="2" t="s">
        <v>1393</v>
      </c>
      <c r="I1442" s="4">
        <v>240</v>
      </c>
      <c r="J1442" s="4">
        <v>0</v>
      </c>
      <c r="L1442" s="31">
        <v>171.42</v>
      </c>
      <c r="M1442" s="32">
        <v>1.4</v>
      </c>
      <c r="N1442" s="33">
        <v>1.4</v>
      </c>
    </row>
    <row r="1443" spans="1:14" x14ac:dyDescent="0.25">
      <c r="A1443" s="30">
        <v>1</v>
      </c>
      <c r="B1443" s="2" t="s">
        <v>7398</v>
      </c>
      <c r="C1443" s="2" t="s">
        <v>7399</v>
      </c>
      <c r="D1443" s="2" t="s">
        <v>6845</v>
      </c>
      <c r="E1443" s="5">
        <v>1</v>
      </c>
      <c r="F1443" s="2" t="s">
        <v>2033</v>
      </c>
      <c r="G1443" s="2" t="s">
        <v>7401</v>
      </c>
      <c r="H1443" s="2" t="s">
        <v>1394</v>
      </c>
      <c r="I1443" s="4">
        <v>2558</v>
      </c>
      <c r="J1443" s="4">
        <v>5280</v>
      </c>
      <c r="L1443" s="31">
        <v>373.85</v>
      </c>
      <c r="M1443" s="32">
        <v>21</v>
      </c>
      <c r="N1443" s="33">
        <v>6.8</v>
      </c>
    </row>
    <row r="1444" spans="1:14" x14ac:dyDescent="0.25">
      <c r="A1444" s="30">
        <v>1</v>
      </c>
      <c r="B1444" s="2" t="s">
        <v>7398</v>
      </c>
      <c r="C1444" s="2" t="s">
        <v>7399</v>
      </c>
      <c r="D1444" s="2" t="s">
        <v>6846</v>
      </c>
      <c r="E1444" s="5">
        <v>1</v>
      </c>
      <c r="F1444" s="2" t="s">
        <v>2033</v>
      </c>
      <c r="G1444" s="2" t="s">
        <v>7401</v>
      </c>
      <c r="H1444" s="2" t="s">
        <v>1395</v>
      </c>
      <c r="I1444" s="4">
        <v>848</v>
      </c>
      <c r="J1444" s="4">
        <v>14560</v>
      </c>
      <c r="L1444" s="31">
        <v>841.14</v>
      </c>
      <c r="M1444" s="32">
        <v>18.3</v>
      </c>
      <c r="N1444" s="33">
        <v>1</v>
      </c>
    </row>
    <row r="1445" spans="1:14" x14ac:dyDescent="0.25">
      <c r="A1445" s="30">
        <v>1</v>
      </c>
      <c r="B1445" s="2" t="s">
        <v>7398</v>
      </c>
      <c r="C1445" s="2" t="s">
        <v>7399</v>
      </c>
      <c r="D1445" s="2" t="s">
        <v>6847</v>
      </c>
      <c r="E1445" s="5">
        <v>1</v>
      </c>
      <c r="F1445" s="2" t="s">
        <v>2033</v>
      </c>
      <c r="G1445" s="2" t="s">
        <v>7401</v>
      </c>
      <c r="H1445" s="2" t="s">
        <v>1396</v>
      </c>
      <c r="I1445" s="4">
        <v>11771</v>
      </c>
      <c r="J1445" s="4">
        <v>14400</v>
      </c>
      <c r="L1445" s="31">
        <v>1333</v>
      </c>
      <c r="M1445" s="32">
        <v>19.600000000000001</v>
      </c>
      <c r="N1445" s="33">
        <v>8.8000000000000007</v>
      </c>
    </row>
    <row r="1446" spans="1:14" x14ac:dyDescent="0.25">
      <c r="A1446" s="30">
        <v>1</v>
      </c>
      <c r="B1446" s="2" t="s">
        <v>7398</v>
      </c>
      <c r="C1446" s="2" t="s">
        <v>7399</v>
      </c>
      <c r="D1446" s="2" t="s">
        <v>6848</v>
      </c>
      <c r="E1446" s="5">
        <v>48</v>
      </c>
      <c r="F1446" s="2" t="s">
        <v>1869</v>
      </c>
      <c r="G1446" s="2" t="s">
        <v>7401</v>
      </c>
      <c r="H1446" s="2" t="s">
        <v>1397</v>
      </c>
      <c r="I1446" s="4">
        <v>2523</v>
      </c>
      <c r="J1446" s="4">
        <v>5589</v>
      </c>
      <c r="L1446" s="31">
        <v>91</v>
      </c>
      <c r="M1446" s="32">
        <v>89.1</v>
      </c>
      <c r="N1446" s="33">
        <v>27.7</v>
      </c>
    </row>
    <row r="1447" spans="1:14" x14ac:dyDescent="0.25">
      <c r="A1447" s="30">
        <v>1</v>
      </c>
      <c r="B1447" s="2" t="s">
        <v>7398</v>
      </c>
      <c r="C1447" s="2" t="s">
        <v>7399</v>
      </c>
      <c r="D1447" s="2" t="s">
        <v>6849</v>
      </c>
      <c r="E1447" s="5">
        <v>1</v>
      </c>
      <c r="F1447" s="2" t="s">
        <v>2034</v>
      </c>
      <c r="G1447" s="2" t="s">
        <v>7401</v>
      </c>
      <c r="H1447" s="2" t="s">
        <v>1398</v>
      </c>
      <c r="I1447" s="4">
        <v>0</v>
      </c>
      <c r="J1447" s="4">
        <v>0</v>
      </c>
      <c r="L1447" s="31">
        <v>0</v>
      </c>
      <c r="M1447" s="32">
        <v>0</v>
      </c>
      <c r="N1447" s="33">
        <v>9999</v>
      </c>
    </row>
    <row r="1448" spans="1:14" x14ac:dyDescent="0.25">
      <c r="A1448" s="30">
        <v>1</v>
      </c>
      <c r="B1448" s="2" t="s">
        <v>7398</v>
      </c>
      <c r="C1448" s="2" t="s">
        <v>7399</v>
      </c>
      <c r="D1448" s="2" t="s">
        <v>6850</v>
      </c>
      <c r="E1448" s="5">
        <v>1</v>
      </c>
      <c r="F1448" s="2" t="s">
        <v>2034</v>
      </c>
      <c r="G1448" s="2" t="s">
        <v>7401</v>
      </c>
      <c r="H1448" s="2" t="s">
        <v>1399</v>
      </c>
      <c r="I1448" s="4">
        <v>0</v>
      </c>
      <c r="J1448" s="4">
        <v>0</v>
      </c>
      <c r="L1448" s="31">
        <v>0</v>
      </c>
      <c r="M1448" s="32">
        <v>0</v>
      </c>
      <c r="N1448" s="33">
        <v>9999</v>
      </c>
    </row>
    <row r="1449" spans="1:14" x14ac:dyDescent="0.25">
      <c r="A1449" s="30">
        <v>1</v>
      </c>
      <c r="B1449" s="2" t="s">
        <v>7398</v>
      </c>
      <c r="C1449" s="2" t="s">
        <v>7399</v>
      </c>
      <c r="D1449" s="2" t="s">
        <v>6851</v>
      </c>
      <c r="E1449" s="5">
        <v>12</v>
      </c>
      <c r="F1449" s="2" t="s">
        <v>1866</v>
      </c>
      <c r="G1449" s="2" t="s">
        <v>7410</v>
      </c>
      <c r="H1449" s="2" t="s">
        <v>421</v>
      </c>
      <c r="I1449" s="4">
        <v>5558</v>
      </c>
      <c r="J1449" s="4">
        <v>0</v>
      </c>
      <c r="L1449" s="31">
        <v>806.85</v>
      </c>
      <c r="M1449" s="32">
        <v>6.9</v>
      </c>
      <c r="N1449" s="33">
        <v>6.9</v>
      </c>
    </row>
    <row r="1450" spans="1:14" x14ac:dyDescent="0.25">
      <c r="A1450" s="30">
        <v>1</v>
      </c>
      <c r="B1450" s="2" t="s">
        <v>7398</v>
      </c>
      <c r="C1450" s="2" t="s">
        <v>7399</v>
      </c>
      <c r="D1450" s="2" t="s">
        <v>6852</v>
      </c>
      <c r="E1450" s="5">
        <v>12</v>
      </c>
      <c r="F1450" s="2" t="s">
        <v>1866</v>
      </c>
      <c r="G1450" s="2" t="s">
        <v>7410</v>
      </c>
      <c r="H1450" s="2" t="s">
        <v>1400</v>
      </c>
      <c r="I1450" s="4">
        <v>4523</v>
      </c>
      <c r="J1450" s="4">
        <v>0</v>
      </c>
      <c r="L1450" s="31">
        <v>380.14</v>
      </c>
      <c r="M1450" s="32">
        <v>11.9</v>
      </c>
      <c r="N1450" s="33">
        <v>11.9</v>
      </c>
    </row>
    <row r="1451" spans="1:14" x14ac:dyDescent="0.25">
      <c r="A1451" s="30">
        <v>1</v>
      </c>
      <c r="B1451" s="2" t="s">
        <v>7398</v>
      </c>
      <c r="C1451" s="2" t="s">
        <v>7399</v>
      </c>
      <c r="D1451" s="2" t="s">
        <v>6853</v>
      </c>
      <c r="E1451" s="5">
        <v>12</v>
      </c>
      <c r="F1451" s="2" t="s">
        <v>1866</v>
      </c>
      <c r="G1451" s="2" t="s">
        <v>7410</v>
      </c>
      <c r="H1451" s="2" t="s">
        <v>424</v>
      </c>
      <c r="I1451" s="4">
        <v>370</v>
      </c>
      <c r="J1451" s="4">
        <v>0</v>
      </c>
      <c r="L1451" s="31">
        <v>41</v>
      </c>
      <c r="M1451" s="32">
        <v>9</v>
      </c>
      <c r="N1451" s="33">
        <v>9</v>
      </c>
    </row>
    <row r="1452" spans="1:14" x14ac:dyDescent="0.25">
      <c r="A1452" s="30">
        <v>1</v>
      </c>
      <c r="B1452" s="2" t="s">
        <v>7398</v>
      </c>
      <c r="C1452" s="2" t="s">
        <v>7399</v>
      </c>
      <c r="D1452" s="2" t="s">
        <v>6854</v>
      </c>
      <c r="E1452" s="5">
        <v>12</v>
      </c>
      <c r="F1452" s="2" t="s">
        <v>1866</v>
      </c>
      <c r="G1452" s="2" t="s">
        <v>7410</v>
      </c>
      <c r="H1452" s="2" t="s">
        <v>425</v>
      </c>
      <c r="I1452" s="4">
        <v>1026</v>
      </c>
      <c r="J1452" s="4">
        <v>0</v>
      </c>
      <c r="L1452" s="31">
        <v>30</v>
      </c>
      <c r="M1452" s="32">
        <v>34.200000000000003</v>
      </c>
      <c r="N1452" s="33">
        <v>34.200000000000003</v>
      </c>
    </row>
    <row r="1453" spans="1:14" x14ac:dyDescent="0.25">
      <c r="A1453" s="30">
        <v>1</v>
      </c>
      <c r="B1453" s="2" t="s">
        <v>7398</v>
      </c>
      <c r="C1453" s="2" t="s">
        <v>7399</v>
      </c>
      <c r="D1453" s="2" t="s">
        <v>6855</v>
      </c>
      <c r="E1453" s="5">
        <v>1</v>
      </c>
      <c r="F1453" s="2" t="s">
        <v>2033</v>
      </c>
      <c r="G1453" s="2" t="s">
        <v>7401</v>
      </c>
      <c r="H1453" s="2" t="s">
        <v>1401</v>
      </c>
      <c r="I1453" s="4">
        <v>12939</v>
      </c>
      <c r="J1453" s="4">
        <v>0</v>
      </c>
      <c r="L1453" s="31">
        <v>122.14</v>
      </c>
      <c r="M1453" s="32">
        <v>105.9</v>
      </c>
      <c r="N1453" s="33">
        <v>105.9</v>
      </c>
    </row>
    <row r="1454" spans="1:14" x14ac:dyDescent="0.25">
      <c r="A1454" s="30">
        <v>1</v>
      </c>
      <c r="B1454" s="2" t="s">
        <v>7398</v>
      </c>
      <c r="C1454" s="2" t="s">
        <v>7399</v>
      </c>
      <c r="D1454" s="2" t="s">
        <v>6856</v>
      </c>
      <c r="E1454" s="5">
        <v>1</v>
      </c>
      <c r="F1454" s="2" t="s">
        <v>2033</v>
      </c>
      <c r="G1454" s="2" t="s">
        <v>7401</v>
      </c>
      <c r="H1454" s="2" t="s">
        <v>1402</v>
      </c>
      <c r="I1454" s="4">
        <v>4937</v>
      </c>
      <c r="J1454" s="4">
        <v>0</v>
      </c>
      <c r="L1454" s="31">
        <v>64.849999999999994</v>
      </c>
      <c r="M1454" s="32">
        <v>76.099999999999994</v>
      </c>
      <c r="N1454" s="33">
        <v>76.099999999999994</v>
      </c>
    </row>
    <row r="1455" spans="1:14" x14ac:dyDescent="0.25">
      <c r="A1455" s="30">
        <v>1</v>
      </c>
      <c r="B1455" s="2" t="s">
        <v>7398</v>
      </c>
      <c r="C1455" s="2" t="s">
        <v>7399</v>
      </c>
      <c r="D1455" s="2" t="s">
        <v>6857</v>
      </c>
      <c r="E1455" s="5">
        <v>1</v>
      </c>
      <c r="F1455" s="2" t="s">
        <v>2033</v>
      </c>
      <c r="G1455" s="2" t="s">
        <v>7401</v>
      </c>
      <c r="H1455" s="2" t="s">
        <v>1403</v>
      </c>
      <c r="I1455" s="4">
        <v>21799</v>
      </c>
      <c r="J1455" s="4">
        <v>0</v>
      </c>
      <c r="L1455" s="31">
        <v>189</v>
      </c>
      <c r="M1455" s="32">
        <v>115.3</v>
      </c>
      <c r="N1455" s="33">
        <v>115.3</v>
      </c>
    </row>
    <row r="1456" spans="1:14" x14ac:dyDescent="0.25">
      <c r="A1456" s="30">
        <v>1</v>
      </c>
      <c r="B1456" s="2" t="s">
        <v>7398</v>
      </c>
      <c r="C1456" s="2" t="s">
        <v>7399</v>
      </c>
      <c r="D1456" s="2" t="s">
        <v>6858</v>
      </c>
      <c r="E1456" s="5">
        <v>1</v>
      </c>
      <c r="F1456" s="2" t="s">
        <v>2033</v>
      </c>
      <c r="G1456" s="2" t="s">
        <v>7401</v>
      </c>
      <c r="H1456" s="2" t="s">
        <v>1404</v>
      </c>
      <c r="I1456" s="4">
        <v>0</v>
      </c>
      <c r="J1456" s="4">
        <v>0</v>
      </c>
      <c r="L1456" s="31">
        <v>0</v>
      </c>
      <c r="M1456" s="32">
        <v>0</v>
      </c>
      <c r="N1456" s="33">
        <v>9999</v>
      </c>
    </row>
    <row r="1457" spans="1:14" x14ac:dyDescent="0.25">
      <c r="A1457" s="30">
        <v>1</v>
      </c>
      <c r="B1457" s="2" t="s">
        <v>7398</v>
      </c>
      <c r="C1457" s="2" t="s">
        <v>7399</v>
      </c>
      <c r="D1457" s="2" t="s">
        <v>6859</v>
      </c>
      <c r="E1457" s="5">
        <v>4</v>
      </c>
      <c r="F1457" s="2" t="s">
        <v>2035</v>
      </c>
      <c r="G1457" s="2" t="s">
        <v>7409</v>
      </c>
      <c r="H1457" s="2" t="s">
        <v>1405</v>
      </c>
      <c r="I1457" s="4">
        <v>399</v>
      </c>
      <c r="J1457" s="4">
        <v>0</v>
      </c>
      <c r="L1457" s="31">
        <v>21.71</v>
      </c>
      <c r="M1457" s="32">
        <v>18.399999999999999</v>
      </c>
      <c r="N1457" s="33">
        <v>18.399999999999999</v>
      </c>
    </row>
    <row r="1458" spans="1:14" x14ac:dyDescent="0.25">
      <c r="A1458" s="30">
        <v>1</v>
      </c>
      <c r="B1458" s="2" t="s">
        <v>7398</v>
      </c>
      <c r="C1458" s="2" t="s">
        <v>7399</v>
      </c>
      <c r="D1458" s="2" t="s">
        <v>6860</v>
      </c>
      <c r="E1458" s="5">
        <v>4</v>
      </c>
      <c r="F1458" s="2" t="s">
        <v>1881</v>
      </c>
      <c r="G1458" s="2" t="s">
        <v>7409</v>
      </c>
      <c r="H1458" s="2" t="s">
        <v>1406</v>
      </c>
      <c r="I1458" s="4">
        <v>0</v>
      </c>
      <c r="J1458" s="4">
        <v>0</v>
      </c>
      <c r="L1458" s="31">
        <v>85.14</v>
      </c>
      <c r="M1458" s="32">
        <v>0</v>
      </c>
      <c r="N1458" s="33">
        <v>0</v>
      </c>
    </row>
    <row r="1459" spans="1:14" x14ac:dyDescent="0.25">
      <c r="A1459" s="30">
        <v>1</v>
      </c>
      <c r="B1459" s="2" t="s">
        <v>7398</v>
      </c>
      <c r="C1459" s="2" t="s">
        <v>7399</v>
      </c>
      <c r="D1459" s="2" t="s">
        <v>6861</v>
      </c>
      <c r="E1459" s="5">
        <v>4</v>
      </c>
      <c r="F1459" s="2" t="s">
        <v>1881</v>
      </c>
      <c r="G1459" s="2" t="s">
        <v>7409</v>
      </c>
      <c r="H1459" s="2" t="s">
        <v>1407</v>
      </c>
      <c r="I1459" s="4">
        <v>42</v>
      </c>
      <c r="J1459" s="4">
        <v>0</v>
      </c>
      <c r="L1459" s="31">
        <v>36.42</v>
      </c>
      <c r="M1459" s="32">
        <v>1.2</v>
      </c>
      <c r="N1459" s="33">
        <v>1.2</v>
      </c>
    </row>
    <row r="1460" spans="1:14" x14ac:dyDescent="0.25">
      <c r="A1460" s="30">
        <v>1</v>
      </c>
      <c r="B1460" s="2" t="s">
        <v>7398</v>
      </c>
      <c r="C1460" s="2" t="s">
        <v>7399</v>
      </c>
      <c r="D1460" s="2" t="s">
        <v>6862</v>
      </c>
      <c r="E1460" s="5">
        <v>4</v>
      </c>
      <c r="F1460" s="2" t="s">
        <v>2036</v>
      </c>
      <c r="G1460" s="2" t="s">
        <v>7409</v>
      </c>
      <c r="H1460" s="2" t="s">
        <v>1408</v>
      </c>
      <c r="I1460" s="4">
        <v>105</v>
      </c>
      <c r="J1460" s="4">
        <v>0</v>
      </c>
      <c r="L1460" s="31">
        <v>71.28</v>
      </c>
      <c r="M1460" s="32">
        <v>1.5</v>
      </c>
      <c r="N1460" s="33">
        <v>1.5</v>
      </c>
    </row>
    <row r="1461" spans="1:14" x14ac:dyDescent="0.25">
      <c r="A1461" s="30">
        <v>1</v>
      </c>
      <c r="B1461" s="2" t="s">
        <v>7398</v>
      </c>
      <c r="C1461" s="2" t="s">
        <v>7399</v>
      </c>
      <c r="D1461" s="2" t="s">
        <v>6863</v>
      </c>
      <c r="E1461" s="5">
        <v>12</v>
      </c>
      <c r="F1461" s="2" t="s">
        <v>1866</v>
      </c>
      <c r="G1461" s="2" t="s">
        <v>7410</v>
      </c>
      <c r="H1461" s="2" t="s">
        <v>1409</v>
      </c>
      <c r="I1461" s="4">
        <v>7</v>
      </c>
      <c r="J1461" s="4">
        <v>0</v>
      </c>
      <c r="L1461" s="31">
        <v>0</v>
      </c>
      <c r="M1461" s="32">
        <v>0</v>
      </c>
      <c r="N1461" s="33">
        <v>9999</v>
      </c>
    </row>
    <row r="1462" spans="1:14" x14ac:dyDescent="0.25">
      <c r="A1462" s="30">
        <v>1</v>
      </c>
      <c r="B1462" s="2" t="s">
        <v>7398</v>
      </c>
      <c r="C1462" s="2" t="s">
        <v>7399</v>
      </c>
      <c r="D1462" s="2" t="s">
        <v>6864</v>
      </c>
      <c r="E1462" s="5">
        <v>12</v>
      </c>
      <c r="F1462" s="2" t="s">
        <v>1866</v>
      </c>
      <c r="G1462" s="2" t="s">
        <v>7410</v>
      </c>
      <c r="H1462" s="2" t="s">
        <v>1410</v>
      </c>
      <c r="I1462" s="4">
        <v>65</v>
      </c>
      <c r="J1462" s="4">
        <v>0</v>
      </c>
      <c r="L1462" s="31">
        <v>0.14000000000000001</v>
      </c>
      <c r="M1462" s="32">
        <v>464.3</v>
      </c>
      <c r="N1462" s="33">
        <v>464.3</v>
      </c>
    </row>
    <row r="1463" spans="1:14" x14ac:dyDescent="0.25">
      <c r="A1463" s="30">
        <v>1</v>
      </c>
      <c r="B1463" s="2" t="s">
        <v>7398</v>
      </c>
      <c r="C1463" s="2" t="s">
        <v>7399</v>
      </c>
      <c r="D1463" s="2" t="s">
        <v>6865</v>
      </c>
      <c r="E1463" s="5">
        <v>12</v>
      </c>
      <c r="F1463" s="2" t="s">
        <v>2037</v>
      </c>
      <c r="G1463" s="2" t="s">
        <v>7409</v>
      </c>
      <c r="H1463" s="2" t="s">
        <v>1411</v>
      </c>
      <c r="I1463" s="4">
        <v>760</v>
      </c>
      <c r="J1463" s="4">
        <v>0</v>
      </c>
      <c r="L1463" s="31">
        <v>0.14000000000000001</v>
      </c>
      <c r="M1463" s="32">
        <v>5428.6</v>
      </c>
      <c r="N1463" s="33">
        <v>5428.6</v>
      </c>
    </row>
    <row r="1464" spans="1:14" x14ac:dyDescent="0.25">
      <c r="A1464" s="30">
        <v>1</v>
      </c>
      <c r="B1464" s="2" t="s">
        <v>7398</v>
      </c>
      <c r="C1464" s="2" t="s">
        <v>7399</v>
      </c>
      <c r="D1464" s="2" t="s">
        <v>6866</v>
      </c>
      <c r="E1464" s="5">
        <v>12</v>
      </c>
      <c r="F1464" s="2" t="s">
        <v>1949</v>
      </c>
      <c r="G1464" s="2" t="s">
        <v>7409</v>
      </c>
      <c r="H1464" s="2" t="s">
        <v>1412</v>
      </c>
      <c r="I1464" s="4">
        <v>101</v>
      </c>
      <c r="J1464" s="4">
        <v>0</v>
      </c>
      <c r="L1464" s="31">
        <v>0</v>
      </c>
      <c r="M1464" s="32">
        <v>0</v>
      </c>
      <c r="N1464" s="33">
        <v>9999</v>
      </c>
    </row>
    <row r="1465" spans="1:14" x14ac:dyDescent="0.25">
      <c r="A1465" s="30">
        <v>1</v>
      </c>
      <c r="B1465" s="2" t="s">
        <v>7398</v>
      </c>
      <c r="C1465" s="2" t="s">
        <v>7399</v>
      </c>
      <c r="D1465" s="2" t="s">
        <v>6867</v>
      </c>
      <c r="E1465" s="5">
        <v>12</v>
      </c>
      <c r="F1465" s="2" t="s">
        <v>1967</v>
      </c>
      <c r="G1465" s="2" t="s">
        <v>7404</v>
      </c>
      <c r="H1465" s="2" t="s">
        <v>1413</v>
      </c>
      <c r="I1465" s="4">
        <v>299</v>
      </c>
      <c r="J1465" s="4">
        <v>0</v>
      </c>
      <c r="L1465" s="31">
        <v>0</v>
      </c>
      <c r="M1465" s="32">
        <v>0</v>
      </c>
      <c r="N1465" s="33">
        <v>9999</v>
      </c>
    </row>
    <row r="1466" spans="1:14" x14ac:dyDescent="0.25">
      <c r="A1466" s="30">
        <v>1</v>
      </c>
      <c r="B1466" s="2" t="s">
        <v>7398</v>
      </c>
      <c r="C1466" s="2" t="s">
        <v>7399</v>
      </c>
      <c r="D1466" s="2" t="s">
        <v>6868</v>
      </c>
      <c r="E1466" s="5">
        <v>12</v>
      </c>
      <c r="F1466" s="2" t="s">
        <v>2038</v>
      </c>
      <c r="G1466" s="2" t="s">
        <v>7439</v>
      </c>
      <c r="H1466" s="2" t="s">
        <v>1414</v>
      </c>
      <c r="I1466" s="4">
        <v>611</v>
      </c>
      <c r="J1466" s="4">
        <v>0</v>
      </c>
      <c r="L1466" s="31">
        <v>0.14000000000000001</v>
      </c>
      <c r="M1466" s="32">
        <v>4364.3</v>
      </c>
      <c r="N1466" s="33">
        <v>4364.3</v>
      </c>
    </row>
    <row r="1467" spans="1:14" x14ac:dyDescent="0.25">
      <c r="A1467" s="30">
        <v>1</v>
      </c>
      <c r="B1467" s="2" t="s">
        <v>7398</v>
      </c>
      <c r="C1467" s="2" t="s">
        <v>7399</v>
      </c>
      <c r="D1467" s="2" t="s">
        <v>6869</v>
      </c>
      <c r="E1467" s="5">
        <v>12</v>
      </c>
      <c r="F1467" s="2" t="s">
        <v>1866</v>
      </c>
      <c r="G1467" s="2" t="s">
        <v>7410</v>
      </c>
      <c r="H1467" s="2" t="s">
        <v>1415</v>
      </c>
      <c r="I1467" s="4">
        <v>0</v>
      </c>
      <c r="J1467" s="4">
        <v>0</v>
      </c>
      <c r="L1467" s="31">
        <v>0</v>
      </c>
      <c r="M1467" s="32">
        <v>0</v>
      </c>
      <c r="N1467" s="33">
        <v>9999</v>
      </c>
    </row>
    <row r="1468" spans="1:14" x14ac:dyDescent="0.25">
      <c r="A1468" s="30">
        <v>1</v>
      </c>
      <c r="B1468" s="2" t="s">
        <v>7398</v>
      </c>
      <c r="C1468" s="2" t="s">
        <v>7399</v>
      </c>
      <c r="D1468" s="2" t="s">
        <v>6870</v>
      </c>
      <c r="E1468" s="5">
        <v>12</v>
      </c>
      <c r="F1468" s="2" t="s">
        <v>1866</v>
      </c>
      <c r="G1468" s="2" t="s">
        <v>7410</v>
      </c>
      <c r="H1468" s="2" t="s">
        <v>1416</v>
      </c>
      <c r="I1468" s="4">
        <v>0</v>
      </c>
      <c r="J1468" s="4">
        <v>0</v>
      </c>
      <c r="L1468" s="31">
        <v>0</v>
      </c>
      <c r="M1468" s="32">
        <v>0</v>
      </c>
      <c r="N1468" s="33">
        <v>9999</v>
      </c>
    </row>
    <row r="1469" spans="1:14" x14ac:dyDescent="0.25">
      <c r="A1469" s="30">
        <v>1</v>
      </c>
      <c r="B1469" s="2" t="s">
        <v>7398</v>
      </c>
      <c r="C1469" s="2" t="s">
        <v>7399</v>
      </c>
      <c r="D1469" s="2" t="s">
        <v>6871</v>
      </c>
      <c r="E1469" s="5">
        <v>12</v>
      </c>
      <c r="F1469" s="2" t="s">
        <v>1866</v>
      </c>
      <c r="G1469" s="2" t="s">
        <v>7410</v>
      </c>
      <c r="H1469" s="2" t="s">
        <v>1417</v>
      </c>
      <c r="I1469" s="4">
        <v>8</v>
      </c>
      <c r="J1469" s="4">
        <v>0</v>
      </c>
      <c r="L1469" s="31">
        <v>0</v>
      </c>
      <c r="M1469" s="32">
        <v>0</v>
      </c>
      <c r="N1469" s="33">
        <v>9999</v>
      </c>
    </row>
    <row r="1470" spans="1:14" x14ac:dyDescent="0.25">
      <c r="A1470" s="30">
        <v>1</v>
      </c>
      <c r="B1470" s="2" t="s">
        <v>7398</v>
      </c>
      <c r="C1470" s="2" t="s">
        <v>7399</v>
      </c>
      <c r="D1470" s="2" t="s">
        <v>6872</v>
      </c>
      <c r="E1470" s="5">
        <v>12</v>
      </c>
      <c r="F1470" s="2" t="s">
        <v>1866</v>
      </c>
      <c r="G1470" s="2" t="s">
        <v>7410</v>
      </c>
      <c r="H1470" s="2" t="s">
        <v>1418</v>
      </c>
      <c r="I1470" s="4">
        <v>0</v>
      </c>
      <c r="J1470" s="4">
        <v>0</v>
      </c>
      <c r="L1470" s="31">
        <v>0</v>
      </c>
      <c r="M1470" s="32">
        <v>0</v>
      </c>
      <c r="N1470" s="33">
        <v>9999</v>
      </c>
    </row>
    <row r="1471" spans="1:14" x14ac:dyDescent="0.25">
      <c r="A1471" s="30">
        <v>1</v>
      </c>
      <c r="B1471" s="2" t="s">
        <v>7398</v>
      </c>
      <c r="C1471" s="2" t="s">
        <v>7399</v>
      </c>
      <c r="D1471" s="2" t="s">
        <v>6873</v>
      </c>
      <c r="E1471" s="5">
        <v>12</v>
      </c>
      <c r="F1471" s="2" t="s">
        <v>1882</v>
      </c>
      <c r="G1471" s="2" t="s">
        <v>7410</v>
      </c>
      <c r="H1471" s="2" t="s">
        <v>1419</v>
      </c>
      <c r="I1471" s="4">
        <v>2</v>
      </c>
      <c r="J1471" s="4">
        <v>0</v>
      </c>
      <c r="L1471" s="31">
        <v>0.28000000000000003</v>
      </c>
      <c r="M1471" s="32">
        <v>7.1</v>
      </c>
      <c r="N1471" s="33">
        <v>7.1</v>
      </c>
    </row>
    <row r="1472" spans="1:14" x14ac:dyDescent="0.25">
      <c r="A1472" s="30">
        <v>1</v>
      </c>
      <c r="B1472" s="2" t="s">
        <v>7398</v>
      </c>
      <c r="C1472" s="2" t="s">
        <v>7399</v>
      </c>
      <c r="D1472" s="2" t="s">
        <v>6874</v>
      </c>
      <c r="E1472" s="5">
        <v>12</v>
      </c>
      <c r="F1472" s="2" t="s">
        <v>1866</v>
      </c>
      <c r="G1472" s="2" t="s">
        <v>7410</v>
      </c>
      <c r="H1472" s="2" t="s">
        <v>1420</v>
      </c>
      <c r="I1472" s="4">
        <v>0</v>
      </c>
      <c r="J1472" s="4">
        <v>0</v>
      </c>
      <c r="L1472" s="31">
        <v>0</v>
      </c>
      <c r="M1472" s="32">
        <v>0</v>
      </c>
      <c r="N1472" s="33">
        <v>9999</v>
      </c>
    </row>
    <row r="1473" spans="1:14" x14ac:dyDescent="0.25">
      <c r="A1473" s="30">
        <v>1</v>
      </c>
      <c r="B1473" s="2" t="s">
        <v>7398</v>
      </c>
      <c r="C1473" s="2" t="s">
        <v>7399</v>
      </c>
      <c r="D1473" s="2" t="s">
        <v>6875</v>
      </c>
      <c r="E1473" s="5">
        <v>6</v>
      </c>
      <c r="F1473" s="2" t="s">
        <v>1842</v>
      </c>
      <c r="G1473" s="2" t="s">
        <v>7400</v>
      </c>
      <c r="H1473" s="2" t="s">
        <v>1421</v>
      </c>
      <c r="I1473" s="4">
        <v>0</v>
      </c>
      <c r="J1473" s="4">
        <v>0</v>
      </c>
      <c r="L1473" s="31">
        <v>0</v>
      </c>
      <c r="M1473" s="32">
        <v>0</v>
      </c>
      <c r="N1473" s="33">
        <v>9999</v>
      </c>
    </row>
    <row r="1474" spans="1:14" x14ac:dyDescent="0.25">
      <c r="A1474" s="30">
        <v>1</v>
      </c>
      <c r="B1474" s="2" t="s">
        <v>7398</v>
      </c>
      <c r="C1474" s="2" t="s">
        <v>7399</v>
      </c>
      <c r="D1474" s="2" t="s">
        <v>6876</v>
      </c>
      <c r="E1474" s="5">
        <v>6</v>
      </c>
      <c r="F1474" s="2" t="s">
        <v>1842</v>
      </c>
      <c r="G1474" s="2" t="s">
        <v>7400</v>
      </c>
      <c r="H1474" s="2" t="s">
        <v>1422</v>
      </c>
      <c r="I1474" s="4">
        <v>0</v>
      </c>
      <c r="J1474" s="4">
        <v>0</v>
      </c>
      <c r="L1474" s="31">
        <v>0</v>
      </c>
      <c r="M1474" s="32">
        <v>0</v>
      </c>
      <c r="N1474" s="33">
        <v>9999</v>
      </c>
    </row>
    <row r="1475" spans="1:14" x14ac:dyDescent="0.25">
      <c r="A1475" s="30">
        <v>1</v>
      </c>
      <c r="B1475" s="2" t="s">
        <v>7398</v>
      </c>
      <c r="C1475" s="2" t="s">
        <v>7399</v>
      </c>
      <c r="D1475" s="2" t="s">
        <v>6877</v>
      </c>
      <c r="E1475" s="5">
        <v>6</v>
      </c>
      <c r="F1475" s="2" t="s">
        <v>1842</v>
      </c>
      <c r="G1475" s="2" t="s">
        <v>7400</v>
      </c>
      <c r="H1475" s="2" t="s">
        <v>1423</v>
      </c>
      <c r="I1475" s="4">
        <v>0</v>
      </c>
      <c r="J1475" s="4">
        <v>0</v>
      </c>
      <c r="L1475" s="31">
        <v>0</v>
      </c>
      <c r="M1475" s="32">
        <v>0</v>
      </c>
      <c r="N1475" s="33">
        <v>9999</v>
      </c>
    </row>
    <row r="1476" spans="1:14" x14ac:dyDescent="0.25">
      <c r="A1476" s="30">
        <v>1</v>
      </c>
      <c r="B1476" s="2" t="s">
        <v>7398</v>
      </c>
      <c r="C1476" s="2" t="s">
        <v>7399</v>
      </c>
      <c r="D1476" s="2" t="s">
        <v>6878</v>
      </c>
      <c r="E1476" s="5">
        <v>10</v>
      </c>
      <c r="F1476" s="2" t="s">
        <v>1853</v>
      </c>
      <c r="G1476" s="2" t="s">
        <v>7410</v>
      </c>
      <c r="H1476" s="2" t="s">
        <v>1424</v>
      </c>
      <c r="I1476" s="4">
        <v>1671</v>
      </c>
      <c r="J1476" s="4">
        <v>0</v>
      </c>
      <c r="L1476" s="31">
        <v>0</v>
      </c>
      <c r="M1476" s="32">
        <v>0</v>
      </c>
      <c r="N1476" s="33">
        <v>9999</v>
      </c>
    </row>
    <row r="1477" spans="1:14" x14ac:dyDescent="0.25">
      <c r="A1477" s="30">
        <v>1</v>
      </c>
      <c r="B1477" s="2" t="s">
        <v>7398</v>
      </c>
      <c r="C1477" s="2" t="s">
        <v>7399</v>
      </c>
      <c r="D1477" s="2" t="s">
        <v>6879</v>
      </c>
      <c r="E1477" s="5">
        <v>6</v>
      </c>
      <c r="F1477" s="2" t="s">
        <v>1842</v>
      </c>
      <c r="G1477" s="2" t="s">
        <v>7400</v>
      </c>
      <c r="H1477" s="2" t="s">
        <v>1425</v>
      </c>
      <c r="I1477" s="4">
        <v>5892</v>
      </c>
      <c r="J1477" s="4">
        <v>0</v>
      </c>
      <c r="L1477" s="31">
        <v>15.28</v>
      </c>
      <c r="M1477" s="32">
        <v>385.6</v>
      </c>
      <c r="N1477" s="33">
        <v>385.6</v>
      </c>
    </row>
    <row r="1478" spans="1:14" x14ac:dyDescent="0.25">
      <c r="A1478" s="30">
        <v>1</v>
      </c>
      <c r="B1478" s="2" t="s">
        <v>7398</v>
      </c>
      <c r="C1478" s="2" t="s">
        <v>7399</v>
      </c>
      <c r="D1478" s="2" t="s">
        <v>6880</v>
      </c>
      <c r="E1478" s="5">
        <v>6</v>
      </c>
      <c r="F1478" s="2" t="s">
        <v>2039</v>
      </c>
      <c r="G1478" s="2" t="s">
        <v>7410</v>
      </c>
      <c r="H1478" s="2" t="s">
        <v>1426</v>
      </c>
      <c r="I1478" s="4">
        <v>124</v>
      </c>
      <c r="J1478" s="4">
        <v>0</v>
      </c>
      <c r="L1478" s="31">
        <v>1.28</v>
      </c>
      <c r="M1478" s="32">
        <v>96.9</v>
      </c>
      <c r="N1478" s="33">
        <v>96.9</v>
      </c>
    </row>
    <row r="1479" spans="1:14" x14ac:dyDescent="0.25">
      <c r="A1479" s="30">
        <v>1</v>
      </c>
      <c r="B1479" s="2" t="s">
        <v>7398</v>
      </c>
      <c r="C1479" s="2" t="s">
        <v>7399</v>
      </c>
      <c r="D1479" s="2" t="s">
        <v>6881</v>
      </c>
      <c r="E1479" s="5">
        <v>6</v>
      </c>
      <c r="F1479" s="2" t="s">
        <v>1979</v>
      </c>
      <c r="G1479" s="2" t="s">
        <v>7410</v>
      </c>
      <c r="H1479" s="2" t="s">
        <v>1427</v>
      </c>
      <c r="I1479" s="4">
        <v>25</v>
      </c>
      <c r="J1479" s="4">
        <v>0</v>
      </c>
      <c r="L1479" s="31">
        <v>16</v>
      </c>
      <c r="M1479" s="32">
        <v>1.6</v>
      </c>
      <c r="N1479" s="33">
        <v>1.6</v>
      </c>
    </row>
    <row r="1480" spans="1:14" x14ac:dyDescent="0.25">
      <c r="A1480" s="30">
        <v>1</v>
      </c>
      <c r="B1480" s="2" t="s">
        <v>7398</v>
      </c>
      <c r="C1480" s="2" t="s">
        <v>7399</v>
      </c>
      <c r="D1480" s="2" t="s">
        <v>6882</v>
      </c>
      <c r="E1480" s="5">
        <v>10</v>
      </c>
      <c r="F1480" s="2" t="s">
        <v>2040</v>
      </c>
      <c r="G1480" s="2" t="s">
        <v>7410</v>
      </c>
      <c r="H1480" s="2" t="s">
        <v>1428</v>
      </c>
      <c r="I1480" s="4">
        <v>762</v>
      </c>
      <c r="J1480" s="4">
        <v>0</v>
      </c>
      <c r="L1480" s="31">
        <v>0</v>
      </c>
      <c r="M1480" s="32">
        <v>0</v>
      </c>
      <c r="N1480" s="33">
        <v>9999</v>
      </c>
    </row>
    <row r="1481" spans="1:14" x14ac:dyDescent="0.25">
      <c r="A1481" s="30">
        <v>1</v>
      </c>
      <c r="B1481" s="2" t="s">
        <v>7398</v>
      </c>
      <c r="C1481" s="2" t="s">
        <v>7399</v>
      </c>
      <c r="D1481" s="2" t="s">
        <v>6883</v>
      </c>
      <c r="E1481" s="5">
        <v>6</v>
      </c>
      <c r="F1481" s="2" t="s">
        <v>1979</v>
      </c>
      <c r="G1481" s="2" t="s">
        <v>7410</v>
      </c>
      <c r="H1481" s="2" t="s">
        <v>1426</v>
      </c>
      <c r="I1481" s="4">
        <v>0</v>
      </c>
      <c r="J1481" s="4">
        <v>0</v>
      </c>
      <c r="L1481" s="31">
        <v>48.42</v>
      </c>
      <c r="M1481" s="32">
        <v>0</v>
      </c>
      <c r="N1481" s="33">
        <v>0</v>
      </c>
    </row>
    <row r="1482" spans="1:14" x14ac:dyDescent="0.25">
      <c r="A1482" s="30">
        <v>1</v>
      </c>
      <c r="B1482" s="2" t="s">
        <v>7398</v>
      </c>
      <c r="C1482" s="2" t="s">
        <v>7399</v>
      </c>
      <c r="D1482" s="2" t="s">
        <v>6884</v>
      </c>
      <c r="E1482" s="5">
        <v>270</v>
      </c>
      <c r="G1482" s="2" t="s">
        <v>7410</v>
      </c>
      <c r="H1482" s="2" t="s">
        <v>1429</v>
      </c>
      <c r="I1482" s="4">
        <v>0</v>
      </c>
      <c r="J1482" s="4">
        <v>0</v>
      </c>
      <c r="L1482" s="31">
        <v>0</v>
      </c>
      <c r="M1482" s="32">
        <v>0</v>
      </c>
      <c r="N1482" s="33">
        <v>9999</v>
      </c>
    </row>
    <row r="1483" spans="1:14" x14ac:dyDescent="0.25">
      <c r="A1483" s="30">
        <v>1</v>
      </c>
      <c r="B1483" s="2" t="s">
        <v>7398</v>
      </c>
      <c r="C1483" s="2" t="s">
        <v>7399</v>
      </c>
      <c r="D1483" s="2" t="s">
        <v>6885</v>
      </c>
      <c r="E1483" s="5">
        <v>54</v>
      </c>
      <c r="F1483" s="2" t="s">
        <v>1979</v>
      </c>
      <c r="G1483" s="2" t="s">
        <v>7410</v>
      </c>
      <c r="H1483" s="2" t="s">
        <v>1430</v>
      </c>
      <c r="I1483" s="4">
        <v>0</v>
      </c>
      <c r="J1483" s="4">
        <v>0</v>
      </c>
      <c r="L1483" s="31">
        <v>0</v>
      </c>
      <c r="M1483" s="32">
        <v>0</v>
      </c>
      <c r="N1483" s="33">
        <v>9999</v>
      </c>
    </row>
    <row r="1484" spans="1:14" x14ac:dyDescent="0.25">
      <c r="A1484" s="30">
        <v>1</v>
      </c>
      <c r="B1484" s="2" t="s">
        <v>7398</v>
      </c>
      <c r="C1484" s="2" t="s">
        <v>7399</v>
      </c>
      <c r="D1484" s="2" t="s">
        <v>6886</v>
      </c>
      <c r="E1484" s="5">
        <v>54</v>
      </c>
      <c r="F1484" s="2" t="s">
        <v>1979</v>
      </c>
      <c r="H1484" s="2" t="s">
        <v>1431</v>
      </c>
      <c r="I1484" s="4">
        <v>0</v>
      </c>
      <c r="J1484" s="4">
        <v>0</v>
      </c>
      <c r="L1484" s="31">
        <v>0</v>
      </c>
      <c r="M1484" s="32">
        <v>0</v>
      </c>
      <c r="N1484" s="33">
        <v>9999</v>
      </c>
    </row>
    <row r="1485" spans="1:14" x14ac:dyDescent="0.25">
      <c r="A1485" s="30">
        <v>1</v>
      </c>
      <c r="B1485" s="2" t="s">
        <v>7398</v>
      </c>
      <c r="C1485" s="2" t="s">
        <v>7399</v>
      </c>
      <c r="D1485" s="2" t="s">
        <v>6887</v>
      </c>
      <c r="E1485" s="5">
        <v>108</v>
      </c>
      <c r="F1485" s="2" t="s">
        <v>1979</v>
      </c>
      <c r="G1485" s="2" t="s">
        <v>7410</v>
      </c>
      <c r="H1485" s="2" t="s">
        <v>1432</v>
      </c>
      <c r="I1485" s="4">
        <v>0</v>
      </c>
      <c r="J1485" s="4">
        <v>0</v>
      </c>
      <c r="L1485" s="31">
        <v>0</v>
      </c>
      <c r="M1485" s="32">
        <v>0</v>
      </c>
      <c r="N1485" s="33">
        <v>9999</v>
      </c>
    </row>
    <row r="1486" spans="1:14" x14ac:dyDescent="0.25">
      <c r="A1486" s="30">
        <v>1</v>
      </c>
      <c r="B1486" s="2" t="s">
        <v>7398</v>
      </c>
      <c r="C1486" s="2" t="s">
        <v>7399</v>
      </c>
      <c r="D1486" s="2" t="s">
        <v>6888</v>
      </c>
      <c r="E1486" s="5">
        <v>32</v>
      </c>
      <c r="F1486" s="2" t="s">
        <v>1866</v>
      </c>
      <c r="G1486" s="2" t="s">
        <v>7410</v>
      </c>
      <c r="H1486" s="2" t="s">
        <v>1433</v>
      </c>
      <c r="I1486" s="4">
        <v>209</v>
      </c>
      <c r="J1486" s="4">
        <v>0</v>
      </c>
      <c r="L1486" s="31">
        <v>1.1399999999999999</v>
      </c>
      <c r="M1486" s="32">
        <v>183.3</v>
      </c>
      <c r="N1486" s="33">
        <v>183.3</v>
      </c>
    </row>
    <row r="1487" spans="1:14" x14ac:dyDescent="0.25">
      <c r="A1487" s="30">
        <v>1</v>
      </c>
      <c r="B1487" s="2" t="s">
        <v>7398</v>
      </c>
      <c r="C1487" s="2" t="s">
        <v>7399</v>
      </c>
      <c r="D1487" s="2" t="s">
        <v>6889</v>
      </c>
      <c r="E1487" s="5">
        <v>32</v>
      </c>
      <c r="F1487" s="2" t="s">
        <v>1936</v>
      </c>
      <c r="G1487" s="2" t="s">
        <v>7410</v>
      </c>
      <c r="H1487" s="2" t="s">
        <v>1434</v>
      </c>
      <c r="I1487" s="4">
        <v>61</v>
      </c>
      <c r="J1487" s="4">
        <v>0</v>
      </c>
      <c r="L1487" s="31">
        <v>0.28000000000000003</v>
      </c>
      <c r="M1487" s="32">
        <v>217.9</v>
      </c>
      <c r="N1487" s="33">
        <v>217.9</v>
      </c>
    </row>
    <row r="1488" spans="1:14" x14ac:dyDescent="0.25">
      <c r="A1488" s="30">
        <v>1</v>
      </c>
      <c r="B1488" s="2" t="s">
        <v>7398</v>
      </c>
      <c r="C1488" s="2" t="s">
        <v>7399</v>
      </c>
      <c r="D1488" s="2" t="s">
        <v>6890</v>
      </c>
      <c r="E1488" s="5">
        <v>32</v>
      </c>
      <c r="F1488" s="2" t="s">
        <v>1866</v>
      </c>
      <c r="G1488" s="2" t="s">
        <v>7410</v>
      </c>
      <c r="H1488" s="2" t="s">
        <v>1435</v>
      </c>
      <c r="I1488" s="4">
        <v>18</v>
      </c>
      <c r="J1488" s="4">
        <v>0</v>
      </c>
      <c r="L1488" s="31">
        <v>0.42</v>
      </c>
      <c r="M1488" s="32">
        <v>42.9</v>
      </c>
      <c r="N1488" s="33">
        <v>42.9</v>
      </c>
    </row>
    <row r="1489" spans="1:14" x14ac:dyDescent="0.25">
      <c r="A1489" s="30">
        <v>1</v>
      </c>
      <c r="B1489" s="2" t="s">
        <v>7398</v>
      </c>
      <c r="C1489" s="2" t="s">
        <v>7399</v>
      </c>
      <c r="D1489" s="2" t="s">
        <v>6891</v>
      </c>
      <c r="E1489" s="5">
        <v>18</v>
      </c>
      <c r="F1489" s="2" t="s">
        <v>1866</v>
      </c>
      <c r="G1489" s="2" t="s">
        <v>7410</v>
      </c>
      <c r="H1489" s="2" t="s">
        <v>1436</v>
      </c>
      <c r="I1489" s="4">
        <v>0</v>
      </c>
      <c r="J1489" s="4">
        <v>0</v>
      </c>
      <c r="L1489" s="31">
        <v>0</v>
      </c>
      <c r="M1489" s="32">
        <v>0</v>
      </c>
      <c r="N1489" s="33">
        <v>9999</v>
      </c>
    </row>
    <row r="1490" spans="1:14" x14ac:dyDescent="0.25">
      <c r="A1490" s="30">
        <v>1</v>
      </c>
      <c r="B1490" s="2" t="s">
        <v>7398</v>
      </c>
      <c r="C1490" s="2" t="s">
        <v>7399</v>
      </c>
      <c r="D1490" s="2" t="s">
        <v>6892</v>
      </c>
      <c r="E1490" s="5">
        <v>96</v>
      </c>
      <c r="F1490" s="2" t="s">
        <v>2041</v>
      </c>
      <c r="G1490" s="2" t="s">
        <v>7410</v>
      </c>
      <c r="H1490" s="2" t="s">
        <v>1437</v>
      </c>
      <c r="I1490" s="4">
        <v>46</v>
      </c>
      <c r="J1490" s="4">
        <v>0</v>
      </c>
      <c r="L1490" s="31">
        <v>1.28</v>
      </c>
      <c r="M1490" s="32">
        <v>35.9</v>
      </c>
      <c r="N1490" s="33">
        <v>35.9</v>
      </c>
    </row>
    <row r="1491" spans="1:14" x14ac:dyDescent="0.25">
      <c r="A1491" s="30">
        <v>1</v>
      </c>
      <c r="B1491" s="2" t="s">
        <v>7398</v>
      </c>
      <c r="C1491" s="2" t="s">
        <v>7399</v>
      </c>
      <c r="D1491" s="2" t="s">
        <v>6893</v>
      </c>
      <c r="E1491" s="5">
        <v>15</v>
      </c>
      <c r="F1491" s="2" t="s">
        <v>1866</v>
      </c>
      <c r="G1491" s="2" t="s">
        <v>7410</v>
      </c>
      <c r="H1491" s="2" t="s">
        <v>1438</v>
      </c>
      <c r="I1491" s="4">
        <v>2</v>
      </c>
      <c r="J1491" s="4">
        <v>0</v>
      </c>
      <c r="L1491" s="31">
        <v>0</v>
      </c>
      <c r="M1491" s="32">
        <v>0</v>
      </c>
      <c r="N1491" s="33">
        <v>9999</v>
      </c>
    </row>
    <row r="1492" spans="1:14" x14ac:dyDescent="0.25">
      <c r="A1492" s="30">
        <v>1</v>
      </c>
      <c r="B1492" s="2" t="s">
        <v>7398</v>
      </c>
      <c r="C1492" s="2" t="s">
        <v>7399</v>
      </c>
      <c r="D1492" s="2" t="s">
        <v>6894</v>
      </c>
      <c r="E1492" s="5">
        <v>12</v>
      </c>
      <c r="F1492" s="2" t="s">
        <v>1866</v>
      </c>
      <c r="G1492" s="2" t="s">
        <v>7410</v>
      </c>
      <c r="H1492" s="2" t="s">
        <v>1439</v>
      </c>
      <c r="I1492" s="4">
        <v>0</v>
      </c>
      <c r="J1492" s="4">
        <v>0</v>
      </c>
      <c r="L1492" s="31">
        <v>0</v>
      </c>
      <c r="M1492" s="32">
        <v>0</v>
      </c>
      <c r="N1492" s="33">
        <v>9999</v>
      </c>
    </row>
    <row r="1493" spans="1:14" x14ac:dyDescent="0.25">
      <c r="A1493" s="30">
        <v>1</v>
      </c>
      <c r="B1493" s="2" t="s">
        <v>7398</v>
      </c>
      <c r="C1493" s="2" t="s">
        <v>7399</v>
      </c>
      <c r="D1493" s="2" t="s">
        <v>6895</v>
      </c>
      <c r="E1493" s="5">
        <v>20</v>
      </c>
      <c r="F1493" s="2" t="s">
        <v>2042</v>
      </c>
      <c r="G1493" s="2" t="s">
        <v>7410</v>
      </c>
      <c r="H1493" s="2" t="s">
        <v>1440</v>
      </c>
      <c r="I1493" s="4">
        <v>7</v>
      </c>
      <c r="J1493" s="4">
        <v>0</v>
      </c>
      <c r="L1493" s="31">
        <v>0</v>
      </c>
      <c r="M1493" s="32">
        <v>0</v>
      </c>
      <c r="N1493" s="33">
        <v>9999</v>
      </c>
    </row>
    <row r="1494" spans="1:14" x14ac:dyDescent="0.25">
      <c r="A1494" s="30">
        <v>1</v>
      </c>
      <c r="B1494" s="2" t="s">
        <v>7398</v>
      </c>
      <c r="C1494" s="2" t="s">
        <v>7399</v>
      </c>
      <c r="D1494" s="2" t="s">
        <v>6896</v>
      </c>
      <c r="E1494" s="5">
        <v>12</v>
      </c>
      <c r="F1494" s="2" t="s">
        <v>1882</v>
      </c>
      <c r="G1494" s="2" t="s">
        <v>7410</v>
      </c>
      <c r="H1494" s="2" t="s">
        <v>1441</v>
      </c>
      <c r="I1494" s="4">
        <v>14</v>
      </c>
      <c r="J1494" s="4">
        <v>0</v>
      </c>
      <c r="L1494" s="31">
        <v>0.14000000000000001</v>
      </c>
      <c r="M1494" s="32">
        <v>100</v>
      </c>
      <c r="N1494" s="33">
        <v>100</v>
      </c>
    </row>
    <row r="1495" spans="1:14" x14ac:dyDescent="0.25">
      <c r="A1495" s="30">
        <v>1</v>
      </c>
      <c r="B1495" s="2" t="s">
        <v>7398</v>
      </c>
      <c r="C1495" s="2" t="s">
        <v>7399</v>
      </c>
      <c r="D1495" s="2" t="s">
        <v>6897</v>
      </c>
      <c r="E1495" s="5">
        <v>12</v>
      </c>
      <c r="F1495" s="2" t="s">
        <v>1866</v>
      </c>
      <c r="G1495" s="2" t="s">
        <v>7410</v>
      </c>
      <c r="H1495" s="2" t="s">
        <v>1442</v>
      </c>
      <c r="I1495" s="4">
        <v>0</v>
      </c>
      <c r="J1495" s="4">
        <v>0</v>
      </c>
      <c r="L1495" s="31">
        <v>0</v>
      </c>
      <c r="M1495" s="32">
        <v>0</v>
      </c>
      <c r="N1495" s="33">
        <v>9999</v>
      </c>
    </row>
    <row r="1496" spans="1:14" x14ac:dyDescent="0.25">
      <c r="A1496" s="30">
        <v>1</v>
      </c>
      <c r="B1496" s="2" t="s">
        <v>7398</v>
      </c>
      <c r="C1496" s="2" t="s">
        <v>7399</v>
      </c>
      <c r="D1496" s="2" t="s">
        <v>6898</v>
      </c>
      <c r="E1496" s="5">
        <v>12</v>
      </c>
      <c r="F1496" s="2" t="s">
        <v>1866</v>
      </c>
      <c r="G1496" s="2" t="s">
        <v>7410</v>
      </c>
      <c r="H1496" s="2" t="s">
        <v>1443</v>
      </c>
      <c r="I1496" s="4">
        <v>0</v>
      </c>
      <c r="J1496" s="4">
        <v>0</v>
      </c>
      <c r="L1496" s="31">
        <v>0</v>
      </c>
      <c r="M1496" s="32">
        <v>0</v>
      </c>
      <c r="N1496" s="33">
        <v>9999</v>
      </c>
    </row>
    <row r="1497" spans="1:14" x14ac:dyDescent="0.25">
      <c r="A1497" s="30">
        <v>1</v>
      </c>
      <c r="B1497" s="2" t="s">
        <v>7398</v>
      </c>
      <c r="C1497" s="2" t="s">
        <v>7399</v>
      </c>
      <c r="D1497" s="2" t="s">
        <v>6899</v>
      </c>
      <c r="E1497" s="5">
        <v>12</v>
      </c>
      <c r="F1497" s="2" t="s">
        <v>1866</v>
      </c>
      <c r="G1497" s="2" t="s">
        <v>7410</v>
      </c>
      <c r="H1497" s="2" t="s">
        <v>1444</v>
      </c>
      <c r="I1497" s="4">
        <v>0</v>
      </c>
      <c r="J1497" s="4">
        <v>0</v>
      </c>
      <c r="L1497" s="31">
        <v>0</v>
      </c>
      <c r="M1497" s="32">
        <v>0</v>
      </c>
      <c r="N1497" s="33">
        <v>9999</v>
      </c>
    </row>
    <row r="1498" spans="1:14" x14ac:dyDescent="0.25">
      <c r="A1498" s="30">
        <v>1</v>
      </c>
      <c r="B1498" s="2" t="s">
        <v>7398</v>
      </c>
      <c r="C1498" s="2" t="s">
        <v>7399</v>
      </c>
      <c r="D1498" s="2" t="s">
        <v>6900</v>
      </c>
      <c r="E1498" s="5">
        <v>12</v>
      </c>
      <c r="F1498" s="2" t="s">
        <v>1866</v>
      </c>
      <c r="G1498" s="2" t="s">
        <v>7410</v>
      </c>
      <c r="H1498" s="2" t="s">
        <v>1445</v>
      </c>
      <c r="I1498" s="4">
        <v>42</v>
      </c>
      <c r="J1498" s="4">
        <v>0</v>
      </c>
      <c r="L1498" s="31">
        <v>1</v>
      </c>
      <c r="M1498" s="32">
        <v>42</v>
      </c>
      <c r="N1498" s="33">
        <v>42</v>
      </c>
    </row>
    <row r="1499" spans="1:14" x14ac:dyDescent="0.25">
      <c r="A1499" s="30">
        <v>1</v>
      </c>
      <c r="B1499" s="2" t="s">
        <v>7398</v>
      </c>
      <c r="C1499" s="2" t="s">
        <v>7399</v>
      </c>
      <c r="D1499" s="2" t="s">
        <v>6901</v>
      </c>
      <c r="E1499" s="5">
        <v>12</v>
      </c>
      <c r="F1499" s="2" t="s">
        <v>1949</v>
      </c>
      <c r="G1499" s="2" t="s">
        <v>7409</v>
      </c>
      <c r="H1499" s="2" t="s">
        <v>1446</v>
      </c>
      <c r="I1499" s="4">
        <v>2</v>
      </c>
      <c r="J1499" s="4">
        <v>0</v>
      </c>
      <c r="L1499" s="31">
        <v>0</v>
      </c>
      <c r="M1499" s="32">
        <v>0</v>
      </c>
      <c r="N1499" s="33">
        <v>9999</v>
      </c>
    </row>
    <row r="1500" spans="1:14" x14ac:dyDescent="0.25">
      <c r="A1500" s="30">
        <v>1</v>
      </c>
      <c r="B1500" s="2" t="s">
        <v>7398</v>
      </c>
      <c r="C1500" s="2" t="s">
        <v>7399</v>
      </c>
      <c r="D1500" s="2" t="s">
        <v>6902</v>
      </c>
      <c r="E1500" s="5">
        <v>12</v>
      </c>
      <c r="F1500" s="2" t="s">
        <v>1949</v>
      </c>
      <c r="G1500" s="2" t="s">
        <v>7409</v>
      </c>
      <c r="H1500" s="2" t="s">
        <v>1447</v>
      </c>
      <c r="I1500" s="4">
        <v>0</v>
      </c>
      <c r="J1500" s="4">
        <v>0</v>
      </c>
      <c r="L1500" s="31">
        <v>0</v>
      </c>
      <c r="M1500" s="32">
        <v>0</v>
      </c>
      <c r="N1500" s="33">
        <v>9999</v>
      </c>
    </row>
    <row r="1501" spans="1:14" x14ac:dyDescent="0.25">
      <c r="A1501" s="30">
        <v>1</v>
      </c>
      <c r="B1501" s="2" t="s">
        <v>7398</v>
      </c>
      <c r="C1501" s="2" t="s">
        <v>7399</v>
      </c>
      <c r="D1501" s="2" t="s">
        <v>6903</v>
      </c>
      <c r="E1501" s="5">
        <v>120</v>
      </c>
      <c r="F1501" s="2" t="s">
        <v>2043</v>
      </c>
      <c r="G1501" s="2" t="s">
        <v>7410</v>
      </c>
      <c r="H1501" s="2" t="s">
        <v>1448</v>
      </c>
      <c r="I1501" s="4">
        <v>119</v>
      </c>
      <c r="J1501" s="4">
        <v>0</v>
      </c>
      <c r="L1501" s="31">
        <v>0.85</v>
      </c>
      <c r="M1501" s="32">
        <v>140</v>
      </c>
      <c r="N1501" s="33">
        <v>140</v>
      </c>
    </row>
    <row r="1502" spans="1:14" x14ac:dyDescent="0.25">
      <c r="A1502" s="30">
        <v>1</v>
      </c>
      <c r="B1502" s="2" t="s">
        <v>7398</v>
      </c>
      <c r="C1502" s="2" t="s">
        <v>7399</v>
      </c>
      <c r="D1502" s="2" t="s">
        <v>6904</v>
      </c>
      <c r="E1502" s="5">
        <v>30</v>
      </c>
      <c r="F1502" s="2" t="s">
        <v>2043</v>
      </c>
      <c r="G1502" s="2" t="s">
        <v>7410</v>
      </c>
      <c r="H1502" s="2" t="s">
        <v>1449</v>
      </c>
      <c r="I1502" s="4">
        <v>639</v>
      </c>
      <c r="J1502" s="4">
        <v>0</v>
      </c>
      <c r="L1502" s="31">
        <v>9.14</v>
      </c>
      <c r="M1502" s="32">
        <v>69.900000000000006</v>
      </c>
      <c r="N1502" s="33">
        <v>69.900000000000006</v>
      </c>
    </row>
    <row r="1503" spans="1:14" x14ac:dyDescent="0.25">
      <c r="A1503" s="30">
        <v>1</v>
      </c>
      <c r="B1503" s="2" t="s">
        <v>7398</v>
      </c>
      <c r="C1503" s="2" t="s">
        <v>7399</v>
      </c>
      <c r="D1503" s="2" t="s">
        <v>6905</v>
      </c>
      <c r="E1503" s="5">
        <v>30</v>
      </c>
      <c r="F1503" s="2" t="s">
        <v>2043</v>
      </c>
      <c r="G1503" s="2" t="s">
        <v>7410</v>
      </c>
      <c r="H1503" s="2" t="s">
        <v>1450</v>
      </c>
      <c r="I1503" s="4">
        <v>548</v>
      </c>
      <c r="J1503" s="4">
        <v>0</v>
      </c>
      <c r="L1503" s="31">
        <v>12.14</v>
      </c>
      <c r="M1503" s="32">
        <v>45.1</v>
      </c>
      <c r="N1503" s="33">
        <v>45.1</v>
      </c>
    </row>
    <row r="1504" spans="1:14" x14ac:dyDescent="0.25">
      <c r="A1504" s="30">
        <v>1</v>
      </c>
      <c r="B1504" s="2" t="s">
        <v>7398</v>
      </c>
      <c r="C1504" s="2" t="s">
        <v>7399</v>
      </c>
      <c r="D1504" s="2" t="s">
        <v>6906</v>
      </c>
      <c r="E1504" s="5">
        <v>30</v>
      </c>
      <c r="F1504" s="2" t="s">
        <v>2043</v>
      </c>
      <c r="G1504" s="2" t="s">
        <v>7410</v>
      </c>
      <c r="H1504" s="2" t="s">
        <v>1451</v>
      </c>
      <c r="I1504" s="4">
        <v>420</v>
      </c>
      <c r="J1504" s="4">
        <v>0</v>
      </c>
      <c r="L1504" s="31">
        <v>9.2799999999999994</v>
      </c>
      <c r="M1504" s="32">
        <v>45.3</v>
      </c>
      <c r="N1504" s="33">
        <v>45.3</v>
      </c>
    </row>
    <row r="1505" spans="1:14" x14ac:dyDescent="0.25">
      <c r="A1505" s="30">
        <v>1</v>
      </c>
      <c r="B1505" s="2" t="s">
        <v>7398</v>
      </c>
      <c r="C1505" s="2" t="s">
        <v>7399</v>
      </c>
      <c r="D1505" s="2" t="s">
        <v>6907</v>
      </c>
      <c r="E1505" s="5">
        <v>6</v>
      </c>
      <c r="F1505" s="2" t="s">
        <v>1866</v>
      </c>
      <c r="G1505" s="2" t="s">
        <v>7409</v>
      </c>
      <c r="H1505" s="2" t="s">
        <v>5354</v>
      </c>
      <c r="I1505" s="4">
        <v>0</v>
      </c>
      <c r="J1505" s="4">
        <v>13780</v>
      </c>
      <c r="L1505" s="31">
        <v>201</v>
      </c>
      <c r="M1505" s="32">
        <v>68.599999999999994</v>
      </c>
      <c r="N1505" s="33">
        <v>0</v>
      </c>
    </row>
    <row r="1506" spans="1:14" x14ac:dyDescent="0.25">
      <c r="A1506" s="30">
        <v>1</v>
      </c>
      <c r="B1506" s="2" t="s">
        <v>7398</v>
      </c>
      <c r="C1506" s="2" t="s">
        <v>7399</v>
      </c>
      <c r="D1506" s="2" t="s">
        <v>6908</v>
      </c>
      <c r="E1506" s="5">
        <v>6</v>
      </c>
      <c r="F1506" s="2" t="s">
        <v>1866</v>
      </c>
      <c r="G1506" s="2" t="s">
        <v>7409</v>
      </c>
      <c r="H1506" s="2" t="s">
        <v>5355</v>
      </c>
      <c r="I1506" s="4">
        <v>2275</v>
      </c>
      <c r="J1506" s="4">
        <v>6110</v>
      </c>
      <c r="L1506" s="31">
        <v>144</v>
      </c>
      <c r="M1506" s="32">
        <v>58.2</v>
      </c>
      <c r="N1506" s="33">
        <v>15.8</v>
      </c>
    </row>
    <row r="1507" spans="1:14" x14ac:dyDescent="0.25">
      <c r="A1507" s="30">
        <v>1</v>
      </c>
      <c r="B1507" s="2" t="s">
        <v>7398</v>
      </c>
      <c r="C1507" s="2" t="s">
        <v>7399</v>
      </c>
      <c r="D1507" s="2" t="s">
        <v>6909</v>
      </c>
      <c r="E1507" s="5">
        <v>6</v>
      </c>
      <c r="F1507" s="2" t="s">
        <v>1866</v>
      </c>
      <c r="G1507" s="2" t="s">
        <v>7409</v>
      </c>
      <c r="H1507" s="2" t="s">
        <v>5356</v>
      </c>
      <c r="I1507" s="4">
        <v>1856</v>
      </c>
      <c r="J1507" s="4">
        <v>2110</v>
      </c>
      <c r="L1507" s="31">
        <v>139.13999999999999</v>
      </c>
      <c r="M1507" s="32">
        <v>28.5</v>
      </c>
      <c r="N1507" s="33">
        <v>13.3</v>
      </c>
    </row>
    <row r="1508" spans="1:14" x14ac:dyDescent="0.25">
      <c r="A1508" s="30">
        <v>1</v>
      </c>
      <c r="B1508" s="2" t="s">
        <v>7398</v>
      </c>
      <c r="C1508" s="2" t="s">
        <v>7399</v>
      </c>
      <c r="D1508" s="2" t="s">
        <v>6910</v>
      </c>
      <c r="E1508" s="5">
        <v>48</v>
      </c>
      <c r="F1508" s="2" t="s">
        <v>2044</v>
      </c>
      <c r="G1508" s="2" t="s">
        <v>7404</v>
      </c>
      <c r="H1508" s="2" t="s">
        <v>1452</v>
      </c>
      <c r="I1508" s="4">
        <v>0</v>
      </c>
      <c r="J1508" s="4">
        <v>0</v>
      </c>
      <c r="L1508" s="31">
        <v>0</v>
      </c>
      <c r="M1508" s="32">
        <v>0</v>
      </c>
      <c r="N1508" s="33">
        <v>9999</v>
      </c>
    </row>
    <row r="1509" spans="1:14" x14ac:dyDescent="0.25">
      <c r="A1509" s="30">
        <v>1</v>
      </c>
      <c r="B1509" s="2" t="s">
        <v>7398</v>
      </c>
      <c r="C1509" s="2" t="s">
        <v>7399</v>
      </c>
      <c r="D1509" s="2" t="s">
        <v>6911</v>
      </c>
      <c r="E1509" s="5">
        <v>24</v>
      </c>
      <c r="F1509" s="2" t="s">
        <v>1849</v>
      </c>
      <c r="G1509" s="2" t="s">
        <v>7409</v>
      </c>
      <c r="H1509" s="2" t="s">
        <v>278</v>
      </c>
      <c r="I1509" s="4">
        <v>0</v>
      </c>
      <c r="J1509" s="4">
        <v>0</v>
      </c>
      <c r="L1509" s="31">
        <v>0</v>
      </c>
      <c r="M1509" s="32">
        <v>0</v>
      </c>
      <c r="N1509" s="33">
        <v>9999</v>
      </c>
    </row>
    <row r="1510" spans="1:14" x14ac:dyDescent="0.25">
      <c r="A1510" s="30">
        <v>1</v>
      </c>
      <c r="B1510" s="2" t="s">
        <v>7398</v>
      </c>
      <c r="C1510" s="2" t="s">
        <v>7399</v>
      </c>
      <c r="D1510" s="2" t="s">
        <v>6912</v>
      </c>
      <c r="E1510" s="5">
        <v>24</v>
      </c>
      <c r="F1510" s="2" t="s">
        <v>1849</v>
      </c>
      <c r="G1510" s="2" t="s">
        <v>7409</v>
      </c>
      <c r="H1510" s="2" t="s">
        <v>275</v>
      </c>
      <c r="I1510" s="4">
        <v>0</v>
      </c>
      <c r="J1510" s="4">
        <v>0</v>
      </c>
      <c r="L1510" s="31">
        <v>0</v>
      </c>
      <c r="M1510" s="32">
        <v>0</v>
      </c>
      <c r="N1510" s="33">
        <v>9999</v>
      </c>
    </row>
    <row r="1511" spans="1:14" x14ac:dyDescent="0.25">
      <c r="A1511" s="30">
        <v>1</v>
      </c>
      <c r="B1511" s="2" t="s">
        <v>7398</v>
      </c>
      <c r="C1511" s="2" t="s">
        <v>7399</v>
      </c>
      <c r="D1511" s="2" t="s">
        <v>6913</v>
      </c>
      <c r="E1511" s="5">
        <v>24</v>
      </c>
      <c r="F1511" s="2" t="s">
        <v>1849</v>
      </c>
      <c r="G1511" s="2" t="s">
        <v>7409</v>
      </c>
      <c r="H1511" s="2" t="s">
        <v>286</v>
      </c>
      <c r="I1511" s="4">
        <v>0</v>
      </c>
      <c r="J1511" s="4">
        <v>0</v>
      </c>
      <c r="L1511" s="31">
        <v>0</v>
      </c>
      <c r="M1511" s="32">
        <v>0</v>
      </c>
      <c r="N1511" s="33">
        <v>9999</v>
      </c>
    </row>
    <row r="1512" spans="1:14" x14ac:dyDescent="0.25">
      <c r="A1512" s="30">
        <v>1</v>
      </c>
      <c r="B1512" s="2" t="s">
        <v>7398</v>
      </c>
      <c r="C1512" s="2" t="s">
        <v>7399</v>
      </c>
      <c r="D1512" s="2" t="s">
        <v>6914</v>
      </c>
      <c r="E1512" s="5">
        <v>24</v>
      </c>
      <c r="F1512" s="2" t="s">
        <v>1849</v>
      </c>
      <c r="G1512" s="2" t="s">
        <v>7409</v>
      </c>
      <c r="H1512" s="2" t="s">
        <v>1453</v>
      </c>
      <c r="I1512" s="4">
        <v>0</v>
      </c>
      <c r="J1512" s="4">
        <v>0</v>
      </c>
      <c r="L1512" s="31">
        <v>0</v>
      </c>
      <c r="M1512" s="32">
        <v>0</v>
      </c>
      <c r="N1512" s="33">
        <v>9999</v>
      </c>
    </row>
    <row r="1513" spans="1:14" x14ac:dyDescent="0.25">
      <c r="A1513" s="30">
        <v>1</v>
      </c>
      <c r="B1513" s="2" t="s">
        <v>7398</v>
      </c>
      <c r="C1513" s="2" t="s">
        <v>7399</v>
      </c>
      <c r="D1513" s="2" t="s">
        <v>6915</v>
      </c>
      <c r="E1513" s="5">
        <v>24</v>
      </c>
      <c r="F1513" s="2" t="s">
        <v>1849</v>
      </c>
      <c r="G1513" s="2" t="s">
        <v>7409</v>
      </c>
      <c r="H1513" s="2" t="s">
        <v>271</v>
      </c>
      <c r="I1513" s="4">
        <v>0</v>
      </c>
      <c r="J1513" s="4">
        <v>0</v>
      </c>
      <c r="L1513" s="31">
        <v>0</v>
      </c>
      <c r="M1513" s="32">
        <v>0</v>
      </c>
      <c r="N1513" s="33">
        <v>9999</v>
      </c>
    </row>
    <row r="1514" spans="1:14" x14ac:dyDescent="0.25">
      <c r="A1514" s="30">
        <v>1</v>
      </c>
      <c r="B1514" s="2" t="s">
        <v>7398</v>
      </c>
      <c r="C1514" s="2" t="s">
        <v>7399</v>
      </c>
      <c r="D1514" s="2" t="s">
        <v>6916</v>
      </c>
      <c r="E1514" s="5">
        <v>24</v>
      </c>
      <c r="F1514" s="2" t="s">
        <v>1849</v>
      </c>
      <c r="G1514" s="2" t="s">
        <v>7409</v>
      </c>
      <c r="H1514" s="2" t="s">
        <v>277</v>
      </c>
      <c r="I1514" s="4">
        <v>0</v>
      </c>
      <c r="J1514" s="4">
        <v>0</v>
      </c>
      <c r="L1514" s="31">
        <v>0</v>
      </c>
      <c r="M1514" s="32">
        <v>0</v>
      </c>
      <c r="N1514" s="33">
        <v>9999</v>
      </c>
    </row>
    <row r="1515" spans="1:14" x14ac:dyDescent="0.25">
      <c r="A1515" s="30">
        <v>1</v>
      </c>
      <c r="B1515" s="2" t="s">
        <v>7398</v>
      </c>
      <c r="C1515" s="2" t="s">
        <v>7399</v>
      </c>
      <c r="D1515" s="2" t="s">
        <v>6917</v>
      </c>
      <c r="E1515" s="5">
        <v>24</v>
      </c>
      <c r="F1515" s="2" t="s">
        <v>1849</v>
      </c>
      <c r="G1515" s="2" t="s">
        <v>7409</v>
      </c>
      <c r="H1515" s="2" t="s">
        <v>295</v>
      </c>
      <c r="I1515" s="4">
        <v>0</v>
      </c>
      <c r="J1515" s="4">
        <v>0</v>
      </c>
      <c r="L1515" s="31">
        <v>0</v>
      </c>
      <c r="M1515" s="32">
        <v>0</v>
      </c>
      <c r="N1515" s="33">
        <v>9999</v>
      </c>
    </row>
    <row r="1516" spans="1:14" x14ac:dyDescent="0.25">
      <c r="A1516" s="30">
        <v>1</v>
      </c>
      <c r="B1516" s="2" t="s">
        <v>7398</v>
      </c>
      <c r="C1516" s="2" t="s">
        <v>7399</v>
      </c>
      <c r="D1516" s="2" t="s">
        <v>6918</v>
      </c>
      <c r="E1516" s="5">
        <v>24</v>
      </c>
      <c r="F1516" s="2" t="s">
        <v>1849</v>
      </c>
      <c r="G1516" s="2" t="s">
        <v>7409</v>
      </c>
      <c r="H1516" s="2" t="s">
        <v>293</v>
      </c>
      <c r="I1516" s="4">
        <v>0</v>
      </c>
      <c r="J1516" s="4">
        <v>0</v>
      </c>
      <c r="L1516" s="31">
        <v>0</v>
      </c>
      <c r="M1516" s="32">
        <v>0</v>
      </c>
      <c r="N1516" s="33">
        <v>9999</v>
      </c>
    </row>
    <row r="1517" spans="1:14" x14ac:dyDescent="0.25">
      <c r="A1517" s="30">
        <v>1</v>
      </c>
      <c r="B1517" s="2" t="s">
        <v>7398</v>
      </c>
      <c r="C1517" s="2" t="s">
        <v>7399</v>
      </c>
      <c r="D1517" s="2" t="s">
        <v>6919</v>
      </c>
      <c r="E1517" s="5">
        <v>24</v>
      </c>
      <c r="F1517" s="2" t="s">
        <v>1849</v>
      </c>
      <c r="G1517" s="2" t="s">
        <v>7409</v>
      </c>
      <c r="H1517" s="2" t="s">
        <v>290</v>
      </c>
      <c r="I1517" s="4">
        <v>0</v>
      </c>
      <c r="J1517" s="4">
        <v>0</v>
      </c>
      <c r="L1517" s="31">
        <v>0</v>
      </c>
      <c r="M1517" s="32">
        <v>0</v>
      </c>
      <c r="N1517" s="33">
        <v>9999</v>
      </c>
    </row>
    <row r="1518" spans="1:14" x14ac:dyDescent="0.25">
      <c r="A1518" s="30">
        <v>1</v>
      </c>
      <c r="B1518" s="2" t="s">
        <v>7398</v>
      </c>
      <c r="C1518" s="2" t="s">
        <v>7399</v>
      </c>
      <c r="D1518" s="2" t="s">
        <v>6920</v>
      </c>
      <c r="E1518" s="5">
        <v>12</v>
      </c>
      <c r="F1518" s="2" t="s">
        <v>1943</v>
      </c>
      <c r="G1518" s="2" t="s">
        <v>7410</v>
      </c>
      <c r="H1518" s="2" t="s">
        <v>1454</v>
      </c>
      <c r="I1518" s="4">
        <v>3372</v>
      </c>
      <c r="J1518" s="4">
        <v>5850</v>
      </c>
      <c r="L1518" s="31">
        <v>238.71</v>
      </c>
      <c r="M1518" s="32">
        <v>38.6</v>
      </c>
      <c r="N1518" s="33">
        <v>14.1</v>
      </c>
    </row>
    <row r="1519" spans="1:14" x14ac:dyDescent="0.25">
      <c r="A1519" s="30">
        <v>1</v>
      </c>
      <c r="B1519" s="2" t="s">
        <v>7398</v>
      </c>
      <c r="C1519" s="2" t="s">
        <v>7399</v>
      </c>
      <c r="D1519" s="2" t="s">
        <v>6921</v>
      </c>
      <c r="E1519" s="5">
        <v>12</v>
      </c>
      <c r="F1519" s="2" t="s">
        <v>2045</v>
      </c>
      <c r="G1519" s="2" t="s">
        <v>7409</v>
      </c>
      <c r="H1519" s="2" t="s">
        <v>1455</v>
      </c>
      <c r="I1519" s="4">
        <v>697</v>
      </c>
      <c r="J1519" s="4">
        <v>1092</v>
      </c>
      <c r="L1519" s="31">
        <v>96.57</v>
      </c>
      <c r="M1519" s="32">
        <v>18.5</v>
      </c>
      <c r="N1519" s="33">
        <v>7.2</v>
      </c>
    </row>
    <row r="1520" spans="1:14" x14ac:dyDescent="0.25">
      <c r="A1520" s="30">
        <v>1</v>
      </c>
      <c r="B1520" s="2" t="s">
        <v>7398</v>
      </c>
      <c r="C1520" s="2" t="s">
        <v>7399</v>
      </c>
      <c r="D1520" s="2" t="s">
        <v>6922</v>
      </c>
      <c r="E1520" s="5">
        <v>12</v>
      </c>
      <c r="F1520" s="2" t="s">
        <v>2045</v>
      </c>
      <c r="G1520" s="2" t="s">
        <v>7409</v>
      </c>
      <c r="H1520" s="2" t="s">
        <v>1456</v>
      </c>
      <c r="I1520" s="4">
        <v>341</v>
      </c>
      <c r="J1520" s="4">
        <v>672</v>
      </c>
      <c r="L1520" s="31">
        <v>44.42</v>
      </c>
      <c r="M1520" s="32">
        <v>22.8</v>
      </c>
      <c r="N1520" s="33">
        <v>7.7</v>
      </c>
    </row>
    <row r="1521" spans="1:14" x14ac:dyDescent="0.25">
      <c r="A1521" s="30">
        <v>1</v>
      </c>
      <c r="B1521" s="2" t="s">
        <v>7398</v>
      </c>
      <c r="C1521" s="2" t="s">
        <v>7399</v>
      </c>
      <c r="D1521" s="2" t="s">
        <v>6923</v>
      </c>
      <c r="E1521" s="5">
        <v>12</v>
      </c>
      <c r="F1521" s="2" t="s">
        <v>2046</v>
      </c>
      <c r="G1521" s="2" t="s">
        <v>7409</v>
      </c>
      <c r="H1521" s="2" t="s">
        <v>1457</v>
      </c>
      <c r="I1521" s="4">
        <v>455</v>
      </c>
      <c r="J1521" s="4">
        <v>350</v>
      </c>
      <c r="L1521" s="31">
        <v>31.28</v>
      </c>
      <c r="M1521" s="32">
        <v>25.7</v>
      </c>
      <c r="N1521" s="33">
        <v>14.5</v>
      </c>
    </row>
    <row r="1522" spans="1:14" x14ac:dyDescent="0.25">
      <c r="A1522" s="30">
        <v>1</v>
      </c>
      <c r="B1522" s="2" t="s">
        <v>7398</v>
      </c>
      <c r="C1522" s="2" t="s">
        <v>7399</v>
      </c>
      <c r="D1522" s="2" t="s">
        <v>6924</v>
      </c>
      <c r="E1522" s="5">
        <v>12</v>
      </c>
      <c r="F1522" s="2" t="s">
        <v>2046</v>
      </c>
      <c r="G1522" s="2" t="s">
        <v>7409</v>
      </c>
      <c r="H1522" s="2" t="s">
        <v>1458</v>
      </c>
      <c r="I1522" s="4">
        <v>182</v>
      </c>
      <c r="J1522" s="4">
        <v>770</v>
      </c>
      <c r="L1522" s="31">
        <v>26.42</v>
      </c>
      <c r="M1522" s="32">
        <v>36</v>
      </c>
      <c r="N1522" s="33">
        <v>6.9</v>
      </c>
    </row>
    <row r="1523" spans="1:14" x14ac:dyDescent="0.25">
      <c r="A1523" s="30">
        <v>1</v>
      </c>
      <c r="B1523" s="2" t="s">
        <v>7398</v>
      </c>
      <c r="C1523" s="2" t="s">
        <v>7399</v>
      </c>
      <c r="D1523" s="2" t="s">
        <v>6925</v>
      </c>
      <c r="E1523" s="5">
        <v>12</v>
      </c>
      <c r="F1523" s="2" t="s">
        <v>2047</v>
      </c>
      <c r="G1523" s="2" t="s">
        <v>7409</v>
      </c>
      <c r="H1523" s="2" t="s">
        <v>1459</v>
      </c>
      <c r="I1523" s="4">
        <v>168</v>
      </c>
      <c r="J1523" s="4">
        <v>630</v>
      </c>
      <c r="L1523" s="31">
        <v>87.14</v>
      </c>
      <c r="M1523" s="32">
        <v>9.1999999999999993</v>
      </c>
      <c r="N1523" s="33">
        <v>1.9</v>
      </c>
    </row>
    <row r="1524" spans="1:14" x14ac:dyDescent="0.25">
      <c r="A1524" s="30">
        <v>1</v>
      </c>
      <c r="B1524" s="2" t="s">
        <v>7398</v>
      </c>
      <c r="C1524" s="2" t="s">
        <v>7399</v>
      </c>
      <c r="D1524" s="2" t="s">
        <v>6926</v>
      </c>
      <c r="E1524" s="5">
        <v>12</v>
      </c>
      <c r="F1524" s="2" t="s">
        <v>2048</v>
      </c>
      <c r="G1524" s="2" t="s">
        <v>7410</v>
      </c>
      <c r="H1524" s="2" t="s">
        <v>1460</v>
      </c>
      <c r="I1524" s="4">
        <v>3422</v>
      </c>
      <c r="J1524" s="4">
        <v>1764</v>
      </c>
      <c r="L1524" s="31">
        <v>152.28</v>
      </c>
      <c r="M1524" s="32">
        <v>34.1</v>
      </c>
      <c r="N1524" s="33">
        <v>22.5</v>
      </c>
    </row>
    <row r="1525" spans="1:14" x14ac:dyDescent="0.25">
      <c r="A1525" s="30">
        <v>1</v>
      </c>
      <c r="B1525" s="2" t="s">
        <v>7398</v>
      </c>
      <c r="C1525" s="2" t="s">
        <v>7399</v>
      </c>
      <c r="D1525" s="2" t="s">
        <v>6927</v>
      </c>
      <c r="E1525" s="5">
        <v>12</v>
      </c>
      <c r="F1525" s="2" t="s">
        <v>2048</v>
      </c>
      <c r="G1525" s="2" t="s">
        <v>7410</v>
      </c>
      <c r="H1525" s="2" t="s">
        <v>1461</v>
      </c>
      <c r="I1525" s="4">
        <v>6538</v>
      </c>
      <c r="J1525" s="4">
        <v>1260</v>
      </c>
      <c r="L1525" s="31">
        <v>150</v>
      </c>
      <c r="M1525" s="32">
        <v>52</v>
      </c>
      <c r="N1525" s="33">
        <v>43.6</v>
      </c>
    </row>
    <row r="1526" spans="1:14" x14ac:dyDescent="0.25">
      <c r="A1526" s="30">
        <v>1</v>
      </c>
      <c r="B1526" s="2" t="s">
        <v>7398</v>
      </c>
      <c r="C1526" s="2" t="s">
        <v>7399</v>
      </c>
      <c r="D1526" s="2" t="s">
        <v>6928</v>
      </c>
      <c r="E1526" s="5">
        <v>12</v>
      </c>
      <c r="F1526" s="2" t="s">
        <v>2048</v>
      </c>
      <c r="G1526" s="2" t="s">
        <v>7410</v>
      </c>
      <c r="H1526" s="2" t="s">
        <v>1462</v>
      </c>
      <c r="I1526" s="4">
        <v>1509</v>
      </c>
      <c r="J1526" s="4">
        <v>1701</v>
      </c>
      <c r="L1526" s="31">
        <v>102</v>
      </c>
      <c r="M1526" s="32">
        <v>31.5</v>
      </c>
      <c r="N1526" s="33">
        <v>14.8</v>
      </c>
    </row>
    <row r="1527" spans="1:14" x14ac:dyDescent="0.25">
      <c r="A1527" s="30">
        <v>1</v>
      </c>
      <c r="B1527" s="2" t="s">
        <v>7398</v>
      </c>
      <c r="C1527" s="2" t="s">
        <v>7399</v>
      </c>
      <c r="D1527" s="2" t="s">
        <v>6929</v>
      </c>
      <c r="E1527" s="5">
        <v>12</v>
      </c>
      <c r="F1527" s="2" t="s">
        <v>2048</v>
      </c>
      <c r="G1527" s="2" t="s">
        <v>7409</v>
      </c>
      <c r="H1527" s="2" t="s">
        <v>1463</v>
      </c>
      <c r="I1527" s="4">
        <v>1529</v>
      </c>
      <c r="J1527" s="4">
        <v>0</v>
      </c>
      <c r="L1527" s="31">
        <v>56.85</v>
      </c>
      <c r="M1527" s="32">
        <v>26.9</v>
      </c>
      <c r="N1527" s="33">
        <v>26.9</v>
      </c>
    </row>
    <row r="1528" spans="1:14" x14ac:dyDescent="0.25">
      <c r="A1528" s="30">
        <v>1</v>
      </c>
      <c r="B1528" s="2" t="s">
        <v>7398</v>
      </c>
      <c r="C1528" s="2" t="s">
        <v>7399</v>
      </c>
      <c r="D1528" s="2" t="s">
        <v>6930</v>
      </c>
      <c r="E1528" s="5">
        <v>12</v>
      </c>
      <c r="F1528" s="2" t="s">
        <v>2048</v>
      </c>
      <c r="G1528" s="2" t="s">
        <v>7409</v>
      </c>
      <c r="H1528" s="2" t="s">
        <v>1464</v>
      </c>
      <c r="I1528" s="4">
        <v>1222</v>
      </c>
      <c r="J1528" s="4">
        <v>620</v>
      </c>
      <c r="L1528" s="31">
        <v>38.85</v>
      </c>
      <c r="M1528" s="32">
        <v>47.4</v>
      </c>
      <c r="N1528" s="33">
        <v>31.5</v>
      </c>
    </row>
    <row r="1529" spans="1:14" x14ac:dyDescent="0.25">
      <c r="A1529" s="30">
        <v>1</v>
      </c>
      <c r="B1529" s="2" t="s">
        <v>7398</v>
      </c>
      <c r="C1529" s="2" t="s">
        <v>7399</v>
      </c>
      <c r="D1529" s="2" t="s">
        <v>6931</v>
      </c>
      <c r="E1529" s="5">
        <v>12</v>
      </c>
      <c r="F1529" s="2" t="s">
        <v>7440</v>
      </c>
      <c r="G1529" s="2" t="s">
        <v>7409</v>
      </c>
      <c r="H1529" s="2" t="s">
        <v>5374</v>
      </c>
      <c r="I1529" s="4">
        <v>318</v>
      </c>
      <c r="J1529" s="4">
        <v>270</v>
      </c>
      <c r="L1529" s="31">
        <v>45</v>
      </c>
      <c r="M1529" s="32">
        <v>13.1</v>
      </c>
      <c r="N1529" s="33">
        <v>7.1</v>
      </c>
    </row>
    <row r="1530" spans="1:14" x14ac:dyDescent="0.25">
      <c r="A1530" s="30">
        <v>1</v>
      </c>
      <c r="B1530" s="2" t="s">
        <v>7398</v>
      </c>
      <c r="C1530" s="2" t="s">
        <v>7399</v>
      </c>
      <c r="D1530" s="2" t="s">
        <v>6932</v>
      </c>
      <c r="E1530" s="5">
        <v>6</v>
      </c>
      <c r="F1530" s="2" t="s">
        <v>2049</v>
      </c>
      <c r="G1530" s="2" t="s">
        <v>7439</v>
      </c>
      <c r="H1530" s="2" t="s">
        <v>1465</v>
      </c>
      <c r="I1530" s="4">
        <v>657</v>
      </c>
      <c r="J1530" s="4">
        <v>0</v>
      </c>
      <c r="L1530" s="31">
        <v>52.85</v>
      </c>
      <c r="M1530" s="32">
        <v>12.4</v>
      </c>
      <c r="N1530" s="33">
        <v>12.4</v>
      </c>
    </row>
    <row r="1531" spans="1:14" x14ac:dyDescent="0.25">
      <c r="A1531" s="30">
        <v>1</v>
      </c>
      <c r="B1531" s="2" t="s">
        <v>7398</v>
      </c>
      <c r="C1531" s="2" t="s">
        <v>7399</v>
      </c>
      <c r="D1531" s="2" t="s">
        <v>6933</v>
      </c>
      <c r="E1531" s="5">
        <v>12</v>
      </c>
      <c r="F1531" s="2" t="s">
        <v>2048</v>
      </c>
      <c r="G1531" s="2" t="s">
        <v>7410</v>
      </c>
      <c r="H1531" s="2" t="s">
        <v>5368</v>
      </c>
      <c r="I1531" s="4">
        <v>0</v>
      </c>
      <c r="J1531" s="4">
        <v>0</v>
      </c>
      <c r="L1531" s="31">
        <v>0</v>
      </c>
      <c r="M1531" s="32">
        <v>0</v>
      </c>
      <c r="N1531" s="33">
        <v>9999</v>
      </c>
    </row>
    <row r="1532" spans="1:14" x14ac:dyDescent="0.25">
      <c r="A1532" s="30">
        <v>1</v>
      </c>
      <c r="B1532" s="2" t="s">
        <v>7398</v>
      </c>
      <c r="C1532" s="2" t="s">
        <v>7399</v>
      </c>
      <c r="D1532" s="2" t="s">
        <v>6934</v>
      </c>
      <c r="E1532" s="5">
        <v>12</v>
      </c>
      <c r="F1532" s="2" t="s">
        <v>2048</v>
      </c>
      <c r="G1532" s="2" t="s">
        <v>7410</v>
      </c>
      <c r="H1532" s="2" t="s">
        <v>5369</v>
      </c>
      <c r="I1532" s="4">
        <v>0</v>
      </c>
      <c r="J1532" s="4">
        <v>0</v>
      </c>
      <c r="L1532" s="31">
        <v>0</v>
      </c>
      <c r="M1532" s="32">
        <v>0</v>
      </c>
      <c r="N1532" s="33">
        <v>9999</v>
      </c>
    </row>
    <row r="1533" spans="1:14" x14ac:dyDescent="0.25">
      <c r="A1533" s="30">
        <v>1</v>
      </c>
      <c r="B1533" s="2" t="s">
        <v>7398</v>
      </c>
      <c r="C1533" s="2" t="s">
        <v>7399</v>
      </c>
      <c r="D1533" s="2" t="s">
        <v>6935</v>
      </c>
      <c r="E1533" s="5">
        <v>48</v>
      </c>
      <c r="F1533" s="2" t="s">
        <v>2048</v>
      </c>
      <c r="G1533" s="2" t="s">
        <v>7410</v>
      </c>
      <c r="H1533" s="2" t="s">
        <v>5370</v>
      </c>
      <c r="I1533" s="4">
        <v>0</v>
      </c>
      <c r="J1533" s="4">
        <v>0</v>
      </c>
      <c r="L1533" s="31">
        <v>0</v>
      </c>
      <c r="M1533" s="32">
        <v>0</v>
      </c>
      <c r="N1533" s="33">
        <v>9999</v>
      </c>
    </row>
    <row r="1534" spans="1:14" x14ac:dyDescent="0.25">
      <c r="A1534" s="30">
        <v>1</v>
      </c>
      <c r="B1534" s="2" t="s">
        <v>7398</v>
      </c>
      <c r="C1534" s="2" t="s">
        <v>7399</v>
      </c>
      <c r="D1534" s="2" t="s">
        <v>6936</v>
      </c>
      <c r="E1534" s="5">
        <v>44</v>
      </c>
      <c r="F1534" s="2" t="s">
        <v>2048</v>
      </c>
      <c r="G1534" s="2" t="s">
        <v>7410</v>
      </c>
      <c r="H1534" s="2" t="s">
        <v>5376</v>
      </c>
      <c r="I1534" s="4">
        <v>0</v>
      </c>
      <c r="J1534" s="4">
        <v>0</v>
      </c>
      <c r="L1534" s="31">
        <v>0</v>
      </c>
      <c r="M1534" s="32">
        <v>0</v>
      </c>
      <c r="N1534" s="33">
        <v>9999</v>
      </c>
    </row>
    <row r="1535" spans="1:14" x14ac:dyDescent="0.25">
      <c r="A1535" s="30">
        <v>1</v>
      </c>
      <c r="B1535" s="2" t="s">
        <v>7398</v>
      </c>
      <c r="C1535" s="2" t="s">
        <v>7399</v>
      </c>
      <c r="D1535" s="2" t="s">
        <v>6937</v>
      </c>
      <c r="E1535" s="5">
        <v>12</v>
      </c>
      <c r="F1535" s="2" t="s">
        <v>5378</v>
      </c>
      <c r="G1535" s="2" t="s">
        <v>7410</v>
      </c>
      <c r="H1535" s="2" t="s">
        <v>5377</v>
      </c>
      <c r="I1535" s="4">
        <v>454</v>
      </c>
      <c r="J1535" s="4">
        <v>0</v>
      </c>
      <c r="L1535" s="31">
        <v>27.14</v>
      </c>
      <c r="M1535" s="32">
        <v>16.7</v>
      </c>
      <c r="N1535" s="33">
        <v>16.7</v>
      </c>
    </row>
    <row r="1536" spans="1:14" x14ac:dyDescent="0.25">
      <c r="A1536" s="30">
        <v>1</v>
      </c>
      <c r="B1536" s="2" t="s">
        <v>7398</v>
      </c>
      <c r="C1536" s="2" t="s">
        <v>7399</v>
      </c>
      <c r="D1536" s="2" t="s">
        <v>6938</v>
      </c>
      <c r="E1536" s="5">
        <v>8</v>
      </c>
      <c r="F1536" s="2" t="s">
        <v>1880</v>
      </c>
      <c r="H1536" s="2" t="s">
        <v>1466</v>
      </c>
      <c r="I1536" s="4">
        <v>1321</v>
      </c>
      <c r="J1536" s="4">
        <v>0</v>
      </c>
      <c r="L1536" s="31">
        <v>25.57</v>
      </c>
      <c r="M1536" s="32">
        <v>51.7</v>
      </c>
      <c r="N1536" s="33">
        <v>51.7</v>
      </c>
    </row>
    <row r="1537" spans="1:14" x14ac:dyDescent="0.25">
      <c r="A1537" s="30">
        <v>1</v>
      </c>
      <c r="B1537" s="2" t="s">
        <v>7398</v>
      </c>
      <c r="C1537" s="2" t="s">
        <v>7399</v>
      </c>
      <c r="D1537" s="2" t="s">
        <v>6939</v>
      </c>
      <c r="E1537" s="5">
        <v>4</v>
      </c>
      <c r="F1537" s="2" t="s">
        <v>1914</v>
      </c>
      <c r="G1537" s="2" t="s">
        <v>7401</v>
      </c>
      <c r="H1537" s="2" t="s">
        <v>7441</v>
      </c>
      <c r="I1537" s="4">
        <v>0</v>
      </c>
      <c r="J1537" s="4">
        <v>0</v>
      </c>
      <c r="L1537" s="31">
        <v>0</v>
      </c>
      <c r="M1537" s="32">
        <v>0</v>
      </c>
      <c r="N1537" s="33">
        <v>9999</v>
      </c>
    </row>
    <row r="1538" spans="1:14" x14ac:dyDescent="0.25">
      <c r="A1538" s="30">
        <v>1</v>
      </c>
      <c r="B1538" s="2" t="s">
        <v>7398</v>
      </c>
      <c r="C1538" s="2" t="s">
        <v>7399</v>
      </c>
      <c r="D1538" s="2" t="s">
        <v>6940</v>
      </c>
      <c r="E1538" s="5">
        <v>12</v>
      </c>
      <c r="F1538" s="2" t="s">
        <v>1896</v>
      </c>
      <c r="G1538" s="2" t="s">
        <v>7409</v>
      </c>
      <c r="H1538" s="2" t="s">
        <v>1468</v>
      </c>
      <c r="I1538" s="4">
        <v>0</v>
      </c>
      <c r="J1538" s="4">
        <v>0</v>
      </c>
      <c r="L1538" s="31">
        <v>0</v>
      </c>
      <c r="M1538" s="32">
        <v>0</v>
      </c>
      <c r="N1538" s="33">
        <v>9999</v>
      </c>
    </row>
    <row r="1539" spans="1:14" x14ac:dyDescent="0.25">
      <c r="A1539" s="30">
        <v>1</v>
      </c>
      <c r="B1539" s="2" t="s">
        <v>7398</v>
      </c>
      <c r="C1539" s="2" t="s">
        <v>7399</v>
      </c>
      <c r="D1539" s="2" t="s">
        <v>6941</v>
      </c>
      <c r="E1539" s="5">
        <v>12</v>
      </c>
      <c r="F1539" s="2" t="s">
        <v>1896</v>
      </c>
      <c r="G1539" s="2" t="s">
        <v>7409</v>
      </c>
      <c r="H1539" s="2" t="s">
        <v>1469</v>
      </c>
      <c r="I1539" s="4">
        <v>0</v>
      </c>
      <c r="J1539" s="4">
        <v>0</v>
      </c>
      <c r="L1539" s="31">
        <v>0</v>
      </c>
      <c r="M1539" s="32">
        <v>0</v>
      </c>
      <c r="N1539" s="33">
        <v>9999</v>
      </c>
    </row>
    <row r="1540" spans="1:14" x14ac:dyDescent="0.25">
      <c r="A1540" s="30">
        <v>1</v>
      </c>
      <c r="B1540" s="2" t="s">
        <v>7398</v>
      </c>
      <c r="C1540" s="2" t="s">
        <v>7399</v>
      </c>
      <c r="D1540" s="2" t="s">
        <v>6942</v>
      </c>
      <c r="E1540" s="5">
        <v>12</v>
      </c>
      <c r="F1540" s="2" t="s">
        <v>1896</v>
      </c>
      <c r="G1540" s="2" t="s">
        <v>7409</v>
      </c>
      <c r="H1540" s="2" t="s">
        <v>1470</v>
      </c>
      <c r="I1540" s="4">
        <v>0</v>
      </c>
      <c r="J1540" s="4">
        <v>0</v>
      </c>
      <c r="L1540" s="31">
        <v>0</v>
      </c>
      <c r="M1540" s="32">
        <v>0</v>
      </c>
      <c r="N1540" s="33">
        <v>9999</v>
      </c>
    </row>
    <row r="1541" spans="1:14" x14ac:dyDescent="0.25">
      <c r="A1541" s="30">
        <v>1</v>
      </c>
      <c r="B1541" s="2" t="s">
        <v>7398</v>
      </c>
      <c r="C1541" s="2" t="s">
        <v>7399</v>
      </c>
      <c r="D1541" s="2" t="s">
        <v>6943</v>
      </c>
      <c r="E1541" s="5">
        <v>12</v>
      </c>
      <c r="F1541" s="2" t="s">
        <v>1896</v>
      </c>
      <c r="G1541" s="2" t="s">
        <v>7409</v>
      </c>
      <c r="H1541" s="2" t="s">
        <v>1471</v>
      </c>
      <c r="I1541" s="4">
        <v>0</v>
      </c>
      <c r="J1541" s="4">
        <v>0</v>
      </c>
      <c r="L1541" s="31">
        <v>0</v>
      </c>
      <c r="M1541" s="32">
        <v>0</v>
      </c>
      <c r="N1541" s="33">
        <v>9999</v>
      </c>
    </row>
    <row r="1542" spans="1:14" x14ac:dyDescent="0.25">
      <c r="A1542" s="30">
        <v>1</v>
      </c>
      <c r="B1542" s="2" t="s">
        <v>7398</v>
      </c>
      <c r="C1542" s="2" t="s">
        <v>7399</v>
      </c>
      <c r="D1542" s="2" t="s">
        <v>6944</v>
      </c>
      <c r="E1542" s="5">
        <v>4</v>
      </c>
      <c r="F1542" s="2" t="s">
        <v>2050</v>
      </c>
      <c r="G1542" s="2" t="s">
        <v>7409</v>
      </c>
      <c r="H1542" s="2" t="s">
        <v>1472</v>
      </c>
      <c r="I1542" s="4">
        <v>1008</v>
      </c>
      <c r="J1542" s="4">
        <v>0</v>
      </c>
      <c r="L1542" s="31">
        <v>174</v>
      </c>
      <c r="M1542" s="32">
        <v>5.8</v>
      </c>
      <c r="N1542" s="33">
        <v>5.8</v>
      </c>
    </row>
    <row r="1543" spans="1:14" x14ac:dyDescent="0.25">
      <c r="A1543" s="30">
        <v>1</v>
      </c>
      <c r="B1543" s="2" t="s">
        <v>7398</v>
      </c>
      <c r="C1543" s="2" t="s">
        <v>7399</v>
      </c>
      <c r="D1543" s="2" t="s">
        <v>6945</v>
      </c>
      <c r="E1543" s="5">
        <v>4</v>
      </c>
      <c r="F1543" s="2" t="s">
        <v>1897</v>
      </c>
      <c r="G1543" s="2" t="s">
        <v>7409</v>
      </c>
      <c r="H1543" s="2" t="s">
        <v>1473</v>
      </c>
      <c r="I1543" s="4">
        <v>966</v>
      </c>
      <c r="J1543" s="4">
        <v>0</v>
      </c>
      <c r="L1543" s="31">
        <v>198</v>
      </c>
      <c r="M1543" s="32">
        <v>4.9000000000000004</v>
      </c>
      <c r="N1543" s="33">
        <v>4.9000000000000004</v>
      </c>
    </row>
    <row r="1544" spans="1:14" x14ac:dyDescent="0.25">
      <c r="A1544" s="30">
        <v>1</v>
      </c>
      <c r="B1544" s="2" t="s">
        <v>7398</v>
      </c>
      <c r="C1544" s="2" t="s">
        <v>7399</v>
      </c>
      <c r="D1544" s="2" t="s">
        <v>6946</v>
      </c>
      <c r="E1544" s="5">
        <v>4</v>
      </c>
      <c r="F1544" s="2" t="s">
        <v>1897</v>
      </c>
      <c r="G1544" s="2" t="s">
        <v>7410</v>
      </c>
      <c r="H1544" s="2" t="s">
        <v>1474</v>
      </c>
      <c r="I1544" s="4">
        <v>1008</v>
      </c>
      <c r="J1544" s="4">
        <v>0</v>
      </c>
      <c r="L1544" s="31">
        <v>366</v>
      </c>
      <c r="M1544" s="32">
        <v>2.8</v>
      </c>
      <c r="N1544" s="33">
        <v>2.8</v>
      </c>
    </row>
    <row r="1545" spans="1:14" x14ac:dyDescent="0.25">
      <c r="A1545" s="30">
        <v>1</v>
      </c>
      <c r="B1545" s="2" t="s">
        <v>7398</v>
      </c>
      <c r="C1545" s="2" t="s">
        <v>7399</v>
      </c>
      <c r="D1545" s="2" t="s">
        <v>6947</v>
      </c>
      <c r="E1545" s="5">
        <v>4</v>
      </c>
      <c r="F1545" s="2" t="s">
        <v>1897</v>
      </c>
      <c r="G1545" s="2" t="s">
        <v>7410</v>
      </c>
      <c r="H1545" s="2" t="s">
        <v>1475</v>
      </c>
      <c r="I1545" s="4">
        <v>504</v>
      </c>
      <c r="J1545" s="4">
        <v>0</v>
      </c>
      <c r="L1545" s="31">
        <v>108</v>
      </c>
      <c r="M1545" s="32">
        <v>4.7</v>
      </c>
      <c r="N1545" s="33">
        <v>4.7</v>
      </c>
    </row>
    <row r="1546" spans="1:14" x14ac:dyDescent="0.25">
      <c r="A1546" s="30">
        <v>1</v>
      </c>
      <c r="B1546" s="2" t="s">
        <v>7398</v>
      </c>
      <c r="C1546" s="2" t="s">
        <v>7399</v>
      </c>
      <c r="D1546" s="2" t="s">
        <v>6948</v>
      </c>
      <c r="E1546" s="5">
        <v>6</v>
      </c>
      <c r="F1546" s="2" t="s">
        <v>1880</v>
      </c>
      <c r="G1546" s="2" t="s">
        <v>7401</v>
      </c>
      <c r="H1546" s="2" t="s">
        <v>1476</v>
      </c>
      <c r="I1546" s="4">
        <v>0</v>
      </c>
      <c r="J1546" s="4">
        <v>0</v>
      </c>
      <c r="L1546" s="31">
        <v>0</v>
      </c>
      <c r="M1546" s="32">
        <v>0</v>
      </c>
      <c r="N1546" s="33">
        <v>9999</v>
      </c>
    </row>
    <row r="1547" spans="1:14" x14ac:dyDescent="0.25">
      <c r="A1547" s="30">
        <v>1</v>
      </c>
      <c r="B1547" s="2" t="s">
        <v>7398</v>
      </c>
      <c r="C1547" s="2" t="s">
        <v>7399</v>
      </c>
      <c r="D1547" s="2" t="s">
        <v>6949</v>
      </c>
      <c r="E1547" s="5">
        <v>6</v>
      </c>
      <c r="F1547" s="2" t="s">
        <v>1880</v>
      </c>
      <c r="G1547" s="2" t="s">
        <v>7401</v>
      </c>
      <c r="H1547" s="2" t="s">
        <v>1477</v>
      </c>
      <c r="I1547" s="4">
        <v>0</v>
      </c>
      <c r="J1547" s="4">
        <v>0</v>
      </c>
      <c r="L1547" s="31">
        <v>0</v>
      </c>
      <c r="M1547" s="32">
        <v>0</v>
      </c>
      <c r="N1547" s="33">
        <v>9999</v>
      </c>
    </row>
    <row r="1548" spans="1:14" x14ac:dyDescent="0.25">
      <c r="A1548" s="30">
        <v>1</v>
      </c>
      <c r="B1548" s="2" t="s">
        <v>7398</v>
      </c>
      <c r="C1548" s="2" t="s">
        <v>7399</v>
      </c>
      <c r="D1548" s="2" t="s">
        <v>6950</v>
      </c>
      <c r="E1548" s="5">
        <v>6</v>
      </c>
      <c r="F1548" s="2" t="s">
        <v>1880</v>
      </c>
      <c r="G1548" s="2" t="s">
        <v>7401</v>
      </c>
      <c r="H1548" s="2" t="s">
        <v>1478</v>
      </c>
      <c r="I1548" s="4">
        <v>0</v>
      </c>
      <c r="J1548" s="4">
        <v>0</v>
      </c>
      <c r="L1548" s="31">
        <v>0</v>
      </c>
      <c r="M1548" s="32">
        <v>0</v>
      </c>
      <c r="N1548" s="33">
        <v>9999</v>
      </c>
    </row>
    <row r="1549" spans="1:14" x14ac:dyDescent="0.25">
      <c r="A1549" s="30">
        <v>1</v>
      </c>
      <c r="B1549" s="2" t="s">
        <v>7398</v>
      </c>
      <c r="C1549" s="2" t="s">
        <v>7399</v>
      </c>
      <c r="D1549" s="2" t="s">
        <v>6951</v>
      </c>
      <c r="E1549" s="5">
        <v>6</v>
      </c>
      <c r="F1549" s="2" t="s">
        <v>1880</v>
      </c>
      <c r="G1549" s="2" t="s">
        <v>7401</v>
      </c>
      <c r="H1549" s="2" t="s">
        <v>1479</v>
      </c>
      <c r="I1549" s="4">
        <v>0</v>
      </c>
      <c r="J1549" s="4">
        <v>0</v>
      </c>
      <c r="L1549" s="31">
        <v>0</v>
      </c>
      <c r="M1549" s="32">
        <v>0</v>
      </c>
      <c r="N1549" s="33">
        <v>9999</v>
      </c>
    </row>
    <row r="1550" spans="1:14" x14ac:dyDescent="0.25">
      <c r="A1550" s="30">
        <v>1</v>
      </c>
      <c r="B1550" s="2" t="s">
        <v>7398</v>
      </c>
      <c r="C1550" s="2" t="s">
        <v>7399</v>
      </c>
      <c r="D1550" s="2" t="s">
        <v>6952</v>
      </c>
      <c r="E1550" s="5">
        <v>6</v>
      </c>
      <c r="F1550" s="2" t="s">
        <v>1880</v>
      </c>
      <c r="G1550" s="2" t="s">
        <v>7401</v>
      </c>
      <c r="H1550" s="2" t="s">
        <v>1480</v>
      </c>
      <c r="I1550" s="4">
        <v>0</v>
      </c>
      <c r="J1550" s="4">
        <v>0</v>
      </c>
      <c r="L1550" s="31">
        <v>0</v>
      </c>
      <c r="M1550" s="32">
        <v>0</v>
      </c>
      <c r="N1550" s="33">
        <v>9999</v>
      </c>
    </row>
    <row r="1551" spans="1:14" x14ac:dyDescent="0.25">
      <c r="A1551" s="30">
        <v>1</v>
      </c>
      <c r="B1551" s="2" t="s">
        <v>7398</v>
      </c>
      <c r="C1551" s="2" t="s">
        <v>7399</v>
      </c>
      <c r="D1551" s="2" t="s">
        <v>6953</v>
      </c>
      <c r="E1551" s="5">
        <v>6</v>
      </c>
      <c r="F1551" s="2" t="s">
        <v>1880</v>
      </c>
      <c r="G1551" s="2" t="s">
        <v>7401</v>
      </c>
      <c r="H1551" s="2" t="s">
        <v>1481</v>
      </c>
      <c r="I1551" s="4">
        <v>0</v>
      </c>
      <c r="J1551" s="4">
        <v>0</v>
      </c>
      <c r="L1551" s="31">
        <v>0</v>
      </c>
      <c r="M1551" s="32">
        <v>0</v>
      </c>
      <c r="N1551" s="33">
        <v>9999</v>
      </c>
    </row>
    <row r="1552" spans="1:14" x14ac:dyDescent="0.25">
      <c r="A1552" s="30">
        <v>1</v>
      </c>
      <c r="B1552" s="2" t="s">
        <v>7398</v>
      </c>
      <c r="C1552" s="2" t="s">
        <v>7399</v>
      </c>
      <c r="D1552" s="2" t="s">
        <v>6954</v>
      </c>
      <c r="E1552" s="5">
        <v>6</v>
      </c>
      <c r="F1552" s="2" t="s">
        <v>1880</v>
      </c>
      <c r="G1552" s="2" t="s">
        <v>7401</v>
      </c>
      <c r="H1552" s="2" t="s">
        <v>1482</v>
      </c>
      <c r="I1552" s="4">
        <v>0</v>
      </c>
      <c r="J1552" s="4">
        <v>0</v>
      </c>
      <c r="L1552" s="31">
        <v>0</v>
      </c>
      <c r="M1552" s="32">
        <v>0</v>
      </c>
      <c r="N1552" s="33">
        <v>9999</v>
      </c>
    </row>
    <row r="1553" spans="1:14" x14ac:dyDescent="0.25">
      <c r="A1553" s="30">
        <v>1</v>
      </c>
      <c r="B1553" s="2" t="s">
        <v>7398</v>
      </c>
      <c r="C1553" s="2" t="s">
        <v>7399</v>
      </c>
      <c r="D1553" s="2" t="s">
        <v>6955</v>
      </c>
      <c r="E1553" s="5">
        <v>6</v>
      </c>
      <c r="F1553" s="2" t="s">
        <v>1880</v>
      </c>
      <c r="G1553" s="2" t="s">
        <v>7401</v>
      </c>
      <c r="H1553" s="2" t="s">
        <v>1483</v>
      </c>
      <c r="I1553" s="4">
        <v>0</v>
      </c>
      <c r="J1553" s="4">
        <v>0</v>
      </c>
      <c r="L1553" s="31">
        <v>0</v>
      </c>
      <c r="M1553" s="32">
        <v>0</v>
      </c>
      <c r="N1553" s="33">
        <v>9999</v>
      </c>
    </row>
    <row r="1554" spans="1:14" x14ac:dyDescent="0.25">
      <c r="A1554" s="30">
        <v>1</v>
      </c>
      <c r="B1554" s="2" t="s">
        <v>7398</v>
      </c>
      <c r="C1554" s="2" t="s">
        <v>7399</v>
      </c>
      <c r="D1554" s="2" t="s">
        <v>6956</v>
      </c>
      <c r="E1554" s="5">
        <v>6</v>
      </c>
      <c r="F1554" s="2" t="s">
        <v>1880</v>
      </c>
      <c r="G1554" s="2" t="s">
        <v>7401</v>
      </c>
      <c r="H1554" s="2" t="s">
        <v>1484</v>
      </c>
      <c r="I1554" s="4">
        <v>0</v>
      </c>
      <c r="J1554" s="4">
        <v>0</v>
      </c>
      <c r="L1554" s="31">
        <v>0</v>
      </c>
      <c r="M1554" s="32">
        <v>0</v>
      </c>
      <c r="N1554" s="33">
        <v>9999</v>
      </c>
    </row>
    <row r="1555" spans="1:14" x14ac:dyDescent="0.25">
      <c r="A1555" s="30">
        <v>1</v>
      </c>
      <c r="B1555" s="2" t="s">
        <v>7398</v>
      </c>
      <c r="C1555" s="2" t="s">
        <v>7399</v>
      </c>
      <c r="D1555" s="2" t="s">
        <v>6957</v>
      </c>
      <c r="E1555" s="5">
        <v>2</v>
      </c>
      <c r="F1555" s="2" t="s">
        <v>1905</v>
      </c>
      <c r="G1555" s="2" t="s">
        <v>7410</v>
      </c>
      <c r="H1555" s="2" t="s">
        <v>1485</v>
      </c>
      <c r="I1555" s="4">
        <v>0</v>
      </c>
      <c r="J1555" s="4">
        <v>0</v>
      </c>
      <c r="L1555" s="31">
        <v>0</v>
      </c>
      <c r="M1555" s="32">
        <v>0</v>
      </c>
      <c r="N1555" s="33">
        <v>9999</v>
      </c>
    </row>
    <row r="1556" spans="1:14" x14ac:dyDescent="0.25">
      <c r="A1556" s="30">
        <v>1</v>
      </c>
      <c r="B1556" s="2" t="s">
        <v>7398</v>
      </c>
      <c r="C1556" s="2" t="s">
        <v>7399</v>
      </c>
      <c r="D1556" s="2" t="s">
        <v>6958</v>
      </c>
      <c r="E1556" s="5">
        <v>6</v>
      </c>
      <c r="F1556" s="2" t="s">
        <v>2051</v>
      </c>
      <c r="G1556" s="2" t="s">
        <v>7403</v>
      </c>
      <c r="H1556" s="2" t="s">
        <v>1486</v>
      </c>
      <c r="I1556" s="4">
        <v>4224</v>
      </c>
      <c r="J1556" s="4">
        <v>0</v>
      </c>
      <c r="L1556" s="31">
        <v>608.41999999999996</v>
      </c>
      <c r="M1556" s="32">
        <v>6.9</v>
      </c>
      <c r="N1556" s="33">
        <v>6.9</v>
      </c>
    </row>
    <row r="1557" spans="1:14" x14ac:dyDescent="0.25">
      <c r="A1557" s="30">
        <v>1</v>
      </c>
      <c r="B1557" s="2" t="s">
        <v>7398</v>
      </c>
      <c r="C1557" s="2" t="s">
        <v>7399</v>
      </c>
      <c r="D1557" s="2" t="s">
        <v>6959</v>
      </c>
      <c r="E1557" s="5">
        <v>12</v>
      </c>
      <c r="F1557" s="2" t="s">
        <v>1915</v>
      </c>
      <c r="G1557" s="2" t="s">
        <v>7401</v>
      </c>
      <c r="H1557" s="2" t="s">
        <v>1487</v>
      </c>
      <c r="I1557" s="4">
        <v>0</v>
      </c>
      <c r="J1557" s="4">
        <v>0</v>
      </c>
      <c r="L1557" s="31">
        <v>0</v>
      </c>
      <c r="M1557" s="32">
        <v>0</v>
      </c>
      <c r="N1557" s="33">
        <v>9999</v>
      </c>
    </row>
    <row r="1558" spans="1:14" x14ac:dyDescent="0.25">
      <c r="A1558" s="30">
        <v>1</v>
      </c>
      <c r="B1558" s="2" t="s">
        <v>7398</v>
      </c>
      <c r="C1558" s="2" t="s">
        <v>7399</v>
      </c>
      <c r="D1558" s="2" t="s">
        <v>6960</v>
      </c>
      <c r="E1558" s="5">
        <v>1</v>
      </c>
      <c r="F1558" s="2" t="s">
        <v>2052</v>
      </c>
      <c r="G1558" s="2" t="s">
        <v>7413</v>
      </c>
      <c r="H1558" s="2" t="s">
        <v>1488</v>
      </c>
      <c r="I1558" s="4">
        <v>5328</v>
      </c>
      <c r="J1558" s="4">
        <v>2250</v>
      </c>
      <c r="L1558" s="31">
        <v>462.57</v>
      </c>
      <c r="M1558" s="32">
        <v>16.399999999999999</v>
      </c>
      <c r="N1558" s="33">
        <v>11.5</v>
      </c>
    </row>
    <row r="1559" spans="1:14" x14ac:dyDescent="0.25">
      <c r="A1559" s="30">
        <v>1</v>
      </c>
      <c r="B1559" s="2" t="s">
        <v>7398</v>
      </c>
      <c r="C1559" s="2" t="s">
        <v>7399</v>
      </c>
      <c r="D1559" s="2" t="s">
        <v>6961</v>
      </c>
      <c r="E1559" s="5">
        <v>24</v>
      </c>
      <c r="F1559" s="2" t="s">
        <v>1869</v>
      </c>
      <c r="G1559" s="2" t="s">
        <v>7401</v>
      </c>
      <c r="H1559" s="2" t="s">
        <v>1489</v>
      </c>
      <c r="I1559" s="4">
        <v>4050</v>
      </c>
      <c r="J1559" s="4">
        <v>0</v>
      </c>
      <c r="L1559" s="31">
        <v>208.28</v>
      </c>
      <c r="M1559" s="32">
        <v>19.399999999999999</v>
      </c>
      <c r="N1559" s="33">
        <v>19.399999999999999</v>
      </c>
    </row>
    <row r="1560" spans="1:14" x14ac:dyDescent="0.25">
      <c r="A1560" s="30">
        <v>1</v>
      </c>
      <c r="B1560" s="2" t="s">
        <v>7398</v>
      </c>
      <c r="C1560" s="2" t="s">
        <v>7399</v>
      </c>
      <c r="D1560" s="2" t="s">
        <v>6962</v>
      </c>
      <c r="E1560" s="5">
        <v>6</v>
      </c>
      <c r="F1560" s="2" t="s">
        <v>2053</v>
      </c>
      <c r="G1560" s="2" t="s">
        <v>7401</v>
      </c>
      <c r="H1560" s="2" t="s">
        <v>1490</v>
      </c>
      <c r="I1560" s="4">
        <v>352</v>
      </c>
      <c r="J1560" s="4">
        <v>300</v>
      </c>
      <c r="L1560" s="31">
        <v>72.28</v>
      </c>
      <c r="M1560" s="32">
        <v>9</v>
      </c>
      <c r="N1560" s="33">
        <v>4.9000000000000004</v>
      </c>
    </row>
    <row r="1561" spans="1:14" x14ac:dyDescent="0.25">
      <c r="A1561" s="30">
        <v>1</v>
      </c>
      <c r="B1561" s="2" t="s">
        <v>7398</v>
      </c>
      <c r="C1561" s="2" t="s">
        <v>7399</v>
      </c>
      <c r="D1561" s="2" t="s">
        <v>6963</v>
      </c>
      <c r="E1561" s="5">
        <v>4</v>
      </c>
      <c r="F1561" s="2" t="s">
        <v>2054</v>
      </c>
      <c r="G1561" s="2" t="s">
        <v>7401</v>
      </c>
      <c r="H1561" s="2" t="s">
        <v>1491</v>
      </c>
      <c r="I1561" s="4">
        <v>2271</v>
      </c>
      <c r="J1561" s="4">
        <v>2400</v>
      </c>
      <c r="L1561" s="31">
        <v>783.28</v>
      </c>
      <c r="M1561" s="32">
        <v>6</v>
      </c>
      <c r="N1561" s="33">
        <v>2.9</v>
      </c>
    </row>
    <row r="1562" spans="1:14" x14ac:dyDescent="0.25">
      <c r="A1562" s="30">
        <v>1</v>
      </c>
      <c r="B1562" s="2" t="s">
        <v>7398</v>
      </c>
      <c r="C1562" s="2" t="s">
        <v>7399</v>
      </c>
      <c r="D1562" s="2" t="s">
        <v>6964</v>
      </c>
      <c r="E1562" s="5">
        <v>9</v>
      </c>
      <c r="F1562" s="2" t="s">
        <v>1843</v>
      </c>
      <c r="G1562" s="2" t="s">
        <v>7400</v>
      </c>
      <c r="H1562" s="2" t="s">
        <v>5400</v>
      </c>
      <c r="I1562" s="4">
        <v>160</v>
      </c>
      <c r="J1562" s="4">
        <v>2560</v>
      </c>
      <c r="L1562" s="31">
        <v>137.13999999999999</v>
      </c>
      <c r="M1562" s="32">
        <v>19.8</v>
      </c>
      <c r="N1562" s="33">
        <v>1.2</v>
      </c>
    </row>
    <row r="1563" spans="1:14" x14ac:dyDescent="0.25">
      <c r="A1563" s="30">
        <v>1</v>
      </c>
      <c r="B1563" s="2" t="s">
        <v>7398</v>
      </c>
      <c r="C1563" s="2" t="s">
        <v>7399</v>
      </c>
      <c r="D1563" s="2" t="s">
        <v>6965</v>
      </c>
      <c r="E1563" s="5">
        <v>18</v>
      </c>
      <c r="F1563" s="2" t="s">
        <v>1946</v>
      </c>
      <c r="G1563" s="2" t="s">
        <v>7410</v>
      </c>
      <c r="H1563" s="2" t="s">
        <v>1492</v>
      </c>
      <c r="I1563" s="4">
        <v>0</v>
      </c>
      <c r="J1563" s="4">
        <v>0</v>
      </c>
      <c r="L1563" s="31">
        <v>0</v>
      </c>
      <c r="M1563" s="32">
        <v>0</v>
      </c>
      <c r="N1563" s="33">
        <v>9999</v>
      </c>
    </row>
    <row r="1564" spans="1:14" x14ac:dyDescent="0.25">
      <c r="A1564" s="30">
        <v>1</v>
      </c>
      <c r="B1564" s="2" t="s">
        <v>7398</v>
      </c>
      <c r="C1564" s="2" t="s">
        <v>7399</v>
      </c>
      <c r="D1564" s="2" t="s">
        <v>6966</v>
      </c>
      <c r="E1564" s="5">
        <v>18</v>
      </c>
      <c r="F1564" s="2" t="s">
        <v>1946</v>
      </c>
      <c r="G1564" s="2" t="s">
        <v>7410</v>
      </c>
      <c r="H1564" s="2" t="s">
        <v>1493</v>
      </c>
      <c r="I1564" s="4">
        <v>0</v>
      </c>
      <c r="J1564" s="4">
        <v>0</v>
      </c>
      <c r="L1564" s="31">
        <v>0</v>
      </c>
      <c r="M1564" s="32">
        <v>0</v>
      </c>
      <c r="N1564" s="33">
        <v>9999</v>
      </c>
    </row>
    <row r="1565" spans="1:14" x14ac:dyDescent="0.25">
      <c r="A1565" s="30">
        <v>1</v>
      </c>
      <c r="B1565" s="2" t="s">
        <v>7398</v>
      </c>
      <c r="C1565" s="2" t="s">
        <v>7399</v>
      </c>
      <c r="D1565" s="2" t="s">
        <v>6967</v>
      </c>
      <c r="E1565" s="5">
        <v>1</v>
      </c>
      <c r="F1565" s="2" t="s">
        <v>2055</v>
      </c>
      <c r="G1565" s="2" t="s">
        <v>7401</v>
      </c>
      <c r="H1565" s="2" t="s">
        <v>1494</v>
      </c>
      <c r="I1565" s="4">
        <v>59529</v>
      </c>
      <c r="J1565" s="4">
        <v>20580</v>
      </c>
      <c r="L1565" s="31">
        <v>2574.85</v>
      </c>
      <c r="M1565" s="32">
        <v>31.1</v>
      </c>
      <c r="N1565" s="33">
        <v>23.1</v>
      </c>
    </row>
    <row r="1566" spans="1:14" x14ac:dyDescent="0.25">
      <c r="A1566" s="30">
        <v>1</v>
      </c>
      <c r="B1566" s="2" t="s">
        <v>7398</v>
      </c>
      <c r="C1566" s="2" t="s">
        <v>7399</v>
      </c>
      <c r="D1566" s="2" t="s">
        <v>6968</v>
      </c>
      <c r="E1566" s="5">
        <v>10</v>
      </c>
      <c r="F1566" s="2" t="s">
        <v>2051</v>
      </c>
      <c r="G1566" s="2" t="s">
        <v>7410</v>
      </c>
      <c r="H1566" s="2" t="s">
        <v>1495</v>
      </c>
      <c r="I1566" s="4">
        <v>351</v>
      </c>
      <c r="J1566" s="4">
        <v>0</v>
      </c>
      <c r="L1566" s="31">
        <v>0</v>
      </c>
      <c r="M1566" s="32">
        <v>0</v>
      </c>
      <c r="N1566" s="33">
        <v>9999</v>
      </c>
    </row>
    <row r="1567" spans="1:14" x14ac:dyDescent="0.25">
      <c r="A1567" s="30">
        <v>1</v>
      </c>
      <c r="B1567" s="2" t="s">
        <v>7398</v>
      </c>
      <c r="C1567" s="2" t="s">
        <v>7399</v>
      </c>
      <c r="D1567" s="2" t="s">
        <v>6969</v>
      </c>
      <c r="E1567" s="5">
        <v>12</v>
      </c>
      <c r="F1567" s="2" t="s">
        <v>2056</v>
      </c>
      <c r="G1567" s="2" t="s">
        <v>7410</v>
      </c>
      <c r="H1567" s="2" t="s">
        <v>1496</v>
      </c>
      <c r="I1567" s="4">
        <v>360</v>
      </c>
      <c r="J1567" s="4">
        <v>0</v>
      </c>
      <c r="L1567" s="31">
        <v>0</v>
      </c>
      <c r="M1567" s="32">
        <v>0</v>
      </c>
      <c r="N1567" s="33">
        <v>9999</v>
      </c>
    </row>
    <row r="1568" spans="1:14" x14ac:dyDescent="0.25">
      <c r="A1568" s="30">
        <v>1</v>
      </c>
      <c r="B1568" s="2" t="s">
        <v>7398</v>
      </c>
      <c r="C1568" s="2" t="s">
        <v>7399</v>
      </c>
      <c r="D1568" s="2" t="s">
        <v>6970</v>
      </c>
      <c r="E1568" s="5">
        <v>12</v>
      </c>
      <c r="F1568" s="2" t="s">
        <v>1876</v>
      </c>
      <c r="G1568" s="2" t="s">
        <v>7401</v>
      </c>
      <c r="H1568" s="2" t="s">
        <v>1497</v>
      </c>
      <c r="I1568" s="4">
        <v>0</v>
      </c>
      <c r="J1568" s="4">
        <v>0</v>
      </c>
      <c r="L1568" s="31">
        <v>0</v>
      </c>
      <c r="M1568" s="32">
        <v>0</v>
      </c>
      <c r="N1568" s="33">
        <v>9999</v>
      </c>
    </row>
    <row r="1569" spans="1:14" x14ac:dyDescent="0.25">
      <c r="A1569" s="30">
        <v>1</v>
      </c>
      <c r="B1569" s="2" t="s">
        <v>7398</v>
      </c>
      <c r="C1569" s="2" t="s">
        <v>7399</v>
      </c>
      <c r="D1569" s="2" t="s">
        <v>6971</v>
      </c>
      <c r="E1569" s="5">
        <v>12</v>
      </c>
      <c r="F1569" s="2" t="s">
        <v>1876</v>
      </c>
      <c r="G1569" s="2" t="s">
        <v>7401</v>
      </c>
      <c r="H1569" s="2" t="s">
        <v>1498</v>
      </c>
      <c r="I1569" s="4">
        <v>0</v>
      </c>
      <c r="J1569" s="4">
        <v>0</v>
      </c>
      <c r="L1569" s="31">
        <v>0</v>
      </c>
      <c r="M1569" s="32">
        <v>0</v>
      </c>
      <c r="N1569" s="33">
        <v>9999</v>
      </c>
    </row>
    <row r="1570" spans="1:14" x14ac:dyDescent="0.25">
      <c r="A1570" s="30">
        <v>1</v>
      </c>
      <c r="B1570" s="2" t="s">
        <v>7398</v>
      </c>
      <c r="C1570" s="2" t="s">
        <v>7399</v>
      </c>
      <c r="D1570" s="2" t="s">
        <v>6972</v>
      </c>
      <c r="E1570" s="5">
        <v>48</v>
      </c>
      <c r="F1570" s="2" t="s">
        <v>1869</v>
      </c>
      <c r="G1570" s="2" t="s">
        <v>7401</v>
      </c>
      <c r="H1570" s="2" t="s">
        <v>1499</v>
      </c>
      <c r="I1570" s="4">
        <v>1330</v>
      </c>
      <c r="J1570" s="4">
        <v>0</v>
      </c>
      <c r="L1570" s="31">
        <v>9.57</v>
      </c>
      <c r="M1570" s="32">
        <v>139</v>
      </c>
      <c r="N1570" s="33">
        <v>139</v>
      </c>
    </row>
    <row r="1571" spans="1:14" x14ac:dyDescent="0.25">
      <c r="A1571" s="30">
        <v>1</v>
      </c>
      <c r="B1571" s="2" t="s">
        <v>7398</v>
      </c>
      <c r="C1571" s="2" t="s">
        <v>7399</v>
      </c>
      <c r="D1571" s="2" t="s">
        <v>6973</v>
      </c>
      <c r="E1571" s="5">
        <v>1</v>
      </c>
      <c r="F1571" s="2" t="s">
        <v>5391</v>
      </c>
      <c r="G1571" s="2" t="s">
        <v>7442</v>
      </c>
      <c r="H1571" s="2" t="s">
        <v>5392</v>
      </c>
      <c r="I1571" s="4">
        <v>14</v>
      </c>
      <c r="J1571" s="4">
        <v>272</v>
      </c>
      <c r="L1571" s="31">
        <v>43</v>
      </c>
      <c r="M1571" s="32">
        <v>6.7</v>
      </c>
      <c r="N1571" s="33">
        <v>0.3</v>
      </c>
    </row>
    <row r="1572" spans="1:14" x14ac:dyDescent="0.25">
      <c r="A1572" s="30">
        <v>1</v>
      </c>
      <c r="B1572" s="2" t="s">
        <v>7398</v>
      </c>
      <c r="C1572" s="2" t="s">
        <v>7399</v>
      </c>
      <c r="D1572" s="2" t="s">
        <v>6974</v>
      </c>
      <c r="E1572" s="5">
        <v>1</v>
      </c>
      <c r="F1572" s="2" t="s">
        <v>1914</v>
      </c>
      <c r="G1572" s="2" t="s">
        <v>7410</v>
      </c>
      <c r="H1572" s="2" t="s">
        <v>1500</v>
      </c>
      <c r="I1572" s="4">
        <v>7104</v>
      </c>
      <c r="J1572" s="4">
        <v>0</v>
      </c>
      <c r="L1572" s="31">
        <v>666</v>
      </c>
      <c r="M1572" s="32">
        <v>10.7</v>
      </c>
      <c r="N1572" s="33">
        <v>10.7</v>
      </c>
    </row>
    <row r="1573" spans="1:14" x14ac:dyDescent="0.25">
      <c r="A1573" s="30">
        <v>1</v>
      </c>
      <c r="B1573" s="2" t="s">
        <v>7398</v>
      </c>
      <c r="C1573" s="2" t="s">
        <v>7399</v>
      </c>
      <c r="D1573" s="2" t="s">
        <v>6975</v>
      </c>
      <c r="E1573" s="5">
        <v>1</v>
      </c>
      <c r="F1573" s="2" t="s">
        <v>1914</v>
      </c>
      <c r="G1573" s="2" t="s">
        <v>7410</v>
      </c>
      <c r="H1573" s="2" t="s">
        <v>1501</v>
      </c>
      <c r="I1573" s="4">
        <v>4218</v>
      </c>
      <c r="J1573" s="4">
        <v>0</v>
      </c>
      <c r="L1573" s="31">
        <v>348.85</v>
      </c>
      <c r="M1573" s="32">
        <v>12.1</v>
      </c>
      <c r="N1573" s="33">
        <v>12.1</v>
      </c>
    </row>
    <row r="1574" spans="1:14" x14ac:dyDescent="0.25">
      <c r="A1574" s="30">
        <v>1</v>
      </c>
      <c r="B1574" s="2" t="s">
        <v>7398</v>
      </c>
      <c r="C1574" s="2" t="s">
        <v>7399</v>
      </c>
      <c r="D1574" s="2" t="s">
        <v>6976</v>
      </c>
      <c r="E1574" s="5">
        <v>56</v>
      </c>
      <c r="F1574" s="2" t="s">
        <v>2057</v>
      </c>
      <c r="G1574" s="2" t="s">
        <v>7412</v>
      </c>
      <c r="H1574" s="2" t="s">
        <v>1502</v>
      </c>
      <c r="I1574" s="4">
        <v>0</v>
      </c>
      <c r="J1574" s="4">
        <v>0</v>
      </c>
      <c r="L1574" s="31">
        <v>0</v>
      </c>
      <c r="M1574" s="32">
        <v>0</v>
      </c>
      <c r="N1574" s="33">
        <v>9999</v>
      </c>
    </row>
    <row r="1575" spans="1:14" x14ac:dyDescent="0.25">
      <c r="A1575" s="30">
        <v>1</v>
      </c>
      <c r="B1575" s="2" t="s">
        <v>7398</v>
      </c>
      <c r="C1575" s="2" t="s">
        <v>7399</v>
      </c>
      <c r="D1575" s="2" t="s">
        <v>6977</v>
      </c>
      <c r="E1575" s="5">
        <v>224</v>
      </c>
      <c r="F1575" s="2" t="s">
        <v>2057</v>
      </c>
      <c r="G1575" s="2" t="s">
        <v>7412</v>
      </c>
      <c r="H1575" s="2" t="s">
        <v>1503</v>
      </c>
      <c r="I1575" s="4">
        <v>0</v>
      </c>
      <c r="J1575" s="4">
        <v>0</v>
      </c>
      <c r="L1575" s="31">
        <v>0</v>
      </c>
      <c r="M1575" s="32">
        <v>0</v>
      </c>
      <c r="N1575" s="33">
        <v>9999</v>
      </c>
    </row>
    <row r="1576" spans="1:14" x14ac:dyDescent="0.25">
      <c r="A1576" s="30">
        <v>1</v>
      </c>
      <c r="B1576" s="2" t="s">
        <v>7398</v>
      </c>
      <c r="C1576" s="2" t="s">
        <v>7399</v>
      </c>
      <c r="D1576" s="2" t="s">
        <v>6978</v>
      </c>
      <c r="E1576" s="5">
        <v>6</v>
      </c>
      <c r="F1576" s="2" t="s">
        <v>2057</v>
      </c>
      <c r="G1576" s="2" t="s">
        <v>7410</v>
      </c>
      <c r="H1576" s="2" t="s">
        <v>1504</v>
      </c>
      <c r="I1576" s="4">
        <v>0</v>
      </c>
      <c r="J1576" s="4">
        <v>0</v>
      </c>
      <c r="L1576" s="31">
        <v>0</v>
      </c>
      <c r="M1576" s="32">
        <v>0</v>
      </c>
      <c r="N1576" s="33">
        <v>9999</v>
      </c>
    </row>
    <row r="1577" spans="1:14" x14ac:dyDescent="0.25">
      <c r="A1577" s="30">
        <v>1</v>
      </c>
      <c r="B1577" s="2" t="s">
        <v>7398</v>
      </c>
      <c r="C1577" s="2" t="s">
        <v>7399</v>
      </c>
      <c r="D1577" s="2" t="s">
        <v>6979</v>
      </c>
      <c r="E1577" s="5">
        <v>224</v>
      </c>
      <c r="F1577" s="2" t="s">
        <v>2058</v>
      </c>
      <c r="G1577" s="2" t="s">
        <v>7442</v>
      </c>
      <c r="H1577" s="2" t="s">
        <v>1505</v>
      </c>
      <c r="I1577" s="4">
        <v>0</v>
      </c>
      <c r="J1577" s="4">
        <v>0</v>
      </c>
      <c r="L1577" s="31">
        <v>0</v>
      </c>
      <c r="M1577" s="32">
        <v>0</v>
      </c>
      <c r="N1577" s="33">
        <v>9999</v>
      </c>
    </row>
    <row r="1578" spans="1:14" x14ac:dyDescent="0.25">
      <c r="A1578" s="30">
        <v>1</v>
      </c>
      <c r="B1578" s="2" t="s">
        <v>7398</v>
      </c>
      <c r="C1578" s="2" t="s">
        <v>7399</v>
      </c>
      <c r="D1578" s="2" t="s">
        <v>6980</v>
      </c>
      <c r="E1578" s="5">
        <v>12</v>
      </c>
      <c r="F1578" s="2" t="s">
        <v>1902</v>
      </c>
      <c r="G1578" s="2" t="s">
        <v>7409</v>
      </c>
      <c r="H1578" s="2" t="s">
        <v>5379</v>
      </c>
      <c r="I1578" s="4">
        <v>5330</v>
      </c>
      <c r="J1578" s="4">
        <v>1980</v>
      </c>
      <c r="L1578" s="31">
        <v>30.71</v>
      </c>
      <c r="M1578" s="32">
        <v>238</v>
      </c>
      <c r="N1578" s="33">
        <v>173.6</v>
      </c>
    </row>
    <row r="1579" spans="1:14" x14ac:dyDescent="0.25">
      <c r="A1579" s="30">
        <v>1</v>
      </c>
      <c r="B1579" s="2" t="s">
        <v>7398</v>
      </c>
      <c r="C1579" s="2" t="s">
        <v>7399</v>
      </c>
      <c r="D1579" s="2" t="s">
        <v>6981</v>
      </c>
      <c r="E1579" s="5">
        <v>12</v>
      </c>
      <c r="F1579" s="2" t="s">
        <v>1902</v>
      </c>
      <c r="G1579" s="2" t="s">
        <v>7409</v>
      </c>
      <c r="H1579" s="2" t="s">
        <v>7443</v>
      </c>
      <c r="I1579" s="4">
        <v>807</v>
      </c>
      <c r="J1579" s="4">
        <v>0</v>
      </c>
      <c r="L1579" s="31">
        <v>35.28</v>
      </c>
      <c r="M1579" s="32">
        <v>22.9</v>
      </c>
      <c r="N1579" s="33">
        <v>22.9</v>
      </c>
    </row>
    <row r="1580" spans="1:14" x14ac:dyDescent="0.25">
      <c r="A1580" s="30">
        <v>1</v>
      </c>
      <c r="B1580" s="2" t="s">
        <v>7398</v>
      </c>
      <c r="C1580" s="2" t="s">
        <v>7399</v>
      </c>
      <c r="D1580" s="2" t="s">
        <v>6982</v>
      </c>
      <c r="E1580" s="5">
        <v>12</v>
      </c>
      <c r="F1580" s="2" t="s">
        <v>1985</v>
      </c>
      <c r="G1580" s="2" t="s">
        <v>7409</v>
      </c>
      <c r="H1580" s="2" t="s">
        <v>5381</v>
      </c>
      <c r="I1580" s="4">
        <v>2307</v>
      </c>
      <c r="J1580" s="4">
        <v>0</v>
      </c>
      <c r="L1580" s="31">
        <v>20.85</v>
      </c>
      <c r="M1580" s="32">
        <v>110.6</v>
      </c>
      <c r="N1580" s="33">
        <v>110.6</v>
      </c>
    </row>
    <row r="1581" spans="1:14" x14ac:dyDescent="0.25">
      <c r="A1581" s="30">
        <v>1</v>
      </c>
      <c r="B1581" s="2" t="s">
        <v>7398</v>
      </c>
      <c r="C1581" s="2" t="s">
        <v>7399</v>
      </c>
      <c r="D1581" s="2" t="s">
        <v>6983</v>
      </c>
      <c r="E1581" s="5">
        <v>448</v>
      </c>
      <c r="H1581" s="2" t="s">
        <v>7444</v>
      </c>
      <c r="I1581" s="4">
        <v>0</v>
      </c>
      <c r="J1581" s="4">
        <v>0</v>
      </c>
      <c r="L1581" s="31">
        <v>0</v>
      </c>
      <c r="M1581" s="32">
        <v>0</v>
      </c>
      <c r="N1581" s="33">
        <v>9999</v>
      </c>
    </row>
    <row r="1582" spans="1:14" x14ac:dyDescent="0.25">
      <c r="A1582" s="30">
        <v>1</v>
      </c>
      <c r="B1582" s="2" t="s">
        <v>7398</v>
      </c>
      <c r="C1582" s="2" t="s">
        <v>7399</v>
      </c>
      <c r="D1582" s="2" t="s">
        <v>6984</v>
      </c>
      <c r="E1582" s="5">
        <v>12</v>
      </c>
      <c r="F1582" s="2" t="s">
        <v>1879</v>
      </c>
      <c r="G1582" s="2" t="s">
        <v>7400</v>
      </c>
      <c r="H1582" s="2" t="s">
        <v>1506</v>
      </c>
      <c r="I1582" s="4">
        <v>0</v>
      </c>
      <c r="J1582" s="4">
        <v>0</v>
      </c>
      <c r="L1582" s="31">
        <v>0</v>
      </c>
      <c r="M1582" s="32">
        <v>0</v>
      </c>
      <c r="N1582" s="33">
        <v>9999</v>
      </c>
    </row>
    <row r="1583" spans="1:14" x14ac:dyDescent="0.25">
      <c r="A1583" s="30">
        <v>1</v>
      </c>
      <c r="B1583" s="2" t="s">
        <v>7398</v>
      </c>
      <c r="C1583" s="2" t="s">
        <v>7399</v>
      </c>
      <c r="D1583" s="2" t="s">
        <v>6985</v>
      </c>
      <c r="E1583" s="5">
        <v>12</v>
      </c>
      <c r="F1583" s="2" t="s">
        <v>2059</v>
      </c>
      <c r="G1583" s="2" t="s">
        <v>7403</v>
      </c>
      <c r="H1583" s="2" t="s">
        <v>1507</v>
      </c>
      <c r="I1583" s="4">
        <v>574</v>
      </c>
      <c r="J1583" s="4">
        <v>5976</v>
      </c>
      <c r="L1583" s="31">
        <v>213.14</v>
      </c>
      <c r="M1583" s="32">
        <v>30.7</v>
      </c>
      <c r="N1583" s="33">
        <v>2.7</v>
      </c>
    </row>
    <row r="1584" spans="1:14" x14ac:dyDescent="0.25">
      <c r="A1584" s="30">
        <v>1</v>
      </c>
      <c r="B1584" s="2" t="s">
        <v>7398</v>
      </c>
      <c r="C1584" s="2" t="s">
        <v>7399</v>
      </c>
      <c r="D1584" s="2" t="s">
        <v>6986</v>
      </c>
      <c r="E1584" s="5">
        <v>12</v>
      </c>
      <c r="F1584" s="2" t="s">
        <v>2059</v>
      </c>
      <c r="G1584" s="2" t="s">
        <v>7403</v>
      </c>
      <c r="H1584" s="2" t="s">
        <v>1508</v>
      </c>
      <c r="I1584" s="4">
        <v>13</v>
      </c>
      <c r="J1584" s="4">
        <v>480</v>
      </c>
      <c r="L1584" s="31">
        <v>16.28</v>
      </c>
      <c r="M1584" s="32">
        <v>30.3</v>
      </c>
      <c r="N1584" s="33">
        <v>0.8</v>
      </c>
    </row>
    <row r="1585" spans="1:14" x14ac:dyDescent="0.25">
      <c r="A1585" s="30">
        <v>1</v>
      </c>
      <c r="B1585" s="2" t="s">
        <v>7398</v>
      </c>
      <c r="C1585" s="2" t="s">
        <v>7399</v>
      </c>
      <c r="D1585" s="2" t="s">
        <v>6987</v>
      </c>
      <c r="E1585" s="5">
        <v>12</v>
      </c>
      <c r="F1585" s="2" t="s">
        <v>2059</v>
      </c>
      <c r="G1585" s="2" t="s">
        <v>7403</v>
      </c>
      <c r="H1585" s="2" t="s">
        <v>1509</v>
      </c>
      <c r="I1585" s="4">
        <v>82</v>
      </c>
      <c r="J1585" s="4">
        <v>624</v>
      </c>
      <c r="L1585" s="31">
        <v>25.28</v>
      </c>
      <c r="M1585" s="32">
        <v>27.9</v>
      </c>
      <c r="N1585" s="33">
        <v>3.2</v>
      </c>
    </row>
    <row r="1586" spans="1:14" x14ac:dyDescent="0.25">
      <c r="A1586" s="30">
        <v>1</v>
      </c>
      <c r="B1586" s="2" t="s">
        <v>7398</v>
      </c>
      <c r="C1586" s="2" t="s">
        <v>7399</v>
      </c>
      <c r="D1586" s="2" t="s">
        <v>6988</v>
      </c>
      <c r="E1586" s="5">
        <v>12</v>
      </c>
      <c r="F1586" s="2" t="s">
        <v>2059</v>
      </c>
      <c r="G1586" s="2" t="s">
        <v>7403</v>
      </c>
      <c r="H1586" s="2" t="s">
        <v>1510</v>
      </c>
      <c r="I1586" s="4">
        <v>152</v>
      </c>
      <c r="J1586" s="4">
        <v>888</v>
      </c>
      <c r="L1586" s="31">
        <v>36.42</v>
      </c>
      <c r="M1586" s="32">
        <v>28.6</v>
      </c>
      <c r="N1586" s="33">
        <v>4.2</v>
      </c>
    </row>
    <row r="1587" spans="1:14" x14ac:dyDescent="0.25">
      <c r="A1587" s="30">
        <v>1</v>
      </c>
      <c r="B1587" s="2" t="s">
        <v>7398</v>
      </c>
      <c r="C1587" s="2" t="s">
        <v>7399</v>
      </c>
      <c r="D1587" s="2" t="s">
        <v>6989</v>
      </c>
      <c r="E1587" s="5">
        <v>12</v>
      </c>
      <c r="F1587" s="2" t="s">
        <v>2059</v>
      </c>
      <c r="G1587" s="2" t="s">
        <v>7403</v>
      </c>
      <c r="H1587" s="2" t="s">
        <v>1511</v>
      </c>
      <c r="I1587" s="4">
        <v>62</v>
      </c>
      <c r="J1587" s="4">
        <v>960</v>
      </c>
      <c r="L1587" s="31">
        <v>32</v>
      </c>
      <c r="M1587" s="32">
        <v>31.9</v>
      </c>
      <c r="N1587" s="33">
        <v>1.9</v>
      </c>
    </row>
    <row r="1588" spans="1:14" x14ac:dyDescent="0.25">
      <c r="A1588" s="30">
        <v>1</v>
      </c>
      <c r="B1588" s="2" t="s">
        <v>7398</v>
      </c>
      <c r="C1588" s="2" t="s">
        <v>7399</v>
      </c>
      <c r="D1588" s="2" t="s">
        <v>6990</v>
      </c>
      <c r="E1588" s="5">
        <v>12</v>
      </c>
      <c r="F1588" s="2" t="s">
        <v>2059</v>
      </c>
      <c r="G1588" s="2" t="s">
        <v>7403</v>
      </c>
      <c r="H1588" s="2" t="s">
        <v>1512</v>
      </c>
      <c r="I1588" s="4">
        <v>73</v>
      </c>
      <c r="J1588" s="4">
        <v>96</v>
      </c>
      <c r="L1588" s="31">
        <v>3.42</v>
      </c>
      <c r="M1588" s="32">
        <v>49.4</v>
      </c>
      <c r="N1588" s="33">
        <v>21.3</v>
      </c>
    </row>
    <row r="1589" spans="1:14" x14ac:dyDescent="0.25">
      <c r="A1589" s="30">
        <v>1</v>
      </c>
      <c r="B1589" s="2" t="s">
        <v>7398</v>
      </c>
      <c r="C1589" s="2" t="s">
        <v>7399</v>
      </c>
      <c r="D1589" s="2" t="s">
        <v>6991</v>
      </c>
      <c r="E1589" s="5">
        <v>12</v>
      </c>
      <c r="F1589" s="2" t="s">
        <v>2059</v>
      </c>
      <c r="G1589" s="2" t="s">
        <v>7403</v>
      </c>
      <c r="H1589" s="2" t="s">
        <v>1513</v>
      </c>
      <c r="I1589" s="4">
        <v>7</v>
      </c>
      <c r="J1589" s="4">
        <v>144</v>
      </c>
      <c r="L1589" s="31">
        <v>4</v>
      </c>
      <c r="M1589" s="32">
        <v>37.799999999999997</v>
      </c>
      <c r="N1589" s="33">
        <v>1.8</v>
      </c>
    </row>
    <row r="1590" spans="1:14" x14ac:dyDescent="0.25">
      <c r="A1590" s="30">
        <v>1</v>
      </c>
      <c r="B1590" s="2" t="s">
        <v>7398</v>
      </c>
      <c r="C1590" s="2" t="s">
        <v>7399</v>
      </c>
      <c r="D1590" s="2" t="s">
        <v>6992</v>
      </c>
      <c r="E1590" s="5">
        <v>12</v>
      </c>
      <c r="F1590" s="2" t="s">
        <v>2059</v>
      </c>
      <c r="G1590" s="2" t="s">
        <v>7403</v>
      </c>
      <c r="H1590" s="2" t="s">
        <v>1514</v>
      </c>
      <c r="I1590" s="4">
        <v>9</v>
      </c>
      <c r="J1590" s="4">
        <v>24</v>
      </c>
      <c r="L1590" s="31">
        <v>8.57</v>
      </c>
      <c r="M1590" s="32">
        <v>3.9</v>
      </c>
      <c r="N1590" s="33">
        <v>1.1000000000000001</v>
      </c>
    </row>
    <row r="1591" spans="1:14" x14ac:dyDescent="0.25">
      <c r="A1591" s="30">
        <v>1</v>
      </c>
      <c r="B1591" s="2" t="s">
        <v>7398</v>
      </c>
      <c r="C1591" s="2" t="s">
        <v>7399</v>
      </c>
      <c r="D1591" s="2" t="s">
        <v>6993</v>
      </c>
      <c r="E1591" s="5">
        <v>12</v>
      </c>
      <c r="F1591" s="2" t="s">
        <v>2059</v>
      </c>
      <c r="G1591" s="2" t="s">
        <v>7403</v>
      </c>
      <c r="H1591" s="2" t="s">
        <v>1515</v>
      </c>
      <c r="I1591" s="4">
        <v>20</v>
      </c>
      <c r="J1591" s="4">
        <v>72</v>
      </c>
      <c r="L1591" s="31">
        <v>3.85</v>
      </c>
      <c r="M1591" s="32">
        <v>23.9</v>
      </c>
      <c r="N1591" s="33">
        <v>5.2</v>
      </c>
    </row>
    <row r="1592" spans="1:14" x14ac:dyDescent="0.25">
      <c r="A1592" s="30">
        <v>1</v>
      </c>
      <c r="B1592" s="2" t="s">
        <v>7398</v>
      </c>
      <c r="C1592" s="2" t="s">
        <v>7399</v>
      </c>
      <c r="D1592" s="2" t="s">
        <v>6994</v>
      </c>
      <c r="E1592" s="5">
        <v>12</v>
      </c>
      <c r="F1592" s="2" t="s">
        <v>2060</v>
      </c>
      <c r="G1592" s="2" t="s">
        <v>7403</v>
      </c>
      <c r="H1592" s="2" t="s">
        <v>1516</v>
      </c>
      <c r="I1592" s="4">
        <v>195</v>
      </c>
      <c r="J1592" s="4">
        <v>1272</v>
      </c>
      <c r="L1592" s="31">
        <v>51.85</v>
      </c>
      <c r="M1592" s="32">
        <v>28.3</v>
      </c>
      <c r="N1592" s="33">
        <v>3.8</v>
      </c>
    </row>
    <row r="1593" spans="1:14" x14ac:dyDescent="0.25">
      <c r="A1593" s="30">
        <v>1</v>
      </c>
      <c r="B1593" s="2" t="s">
        <v>7398</v>
      </c>
      <c r="C1593" s="2" t="s">
        <v>7399</v>
      </c>
      <c r="D1593" s="2" t="s">
        <v>6995</v>
      </c>
      <c r="E1593" s="5">
        <v>12</v>
      </c>
      <c r="F1593" s="2" t="s">
        <v>2059</v>
      </c>
      <c r="G1593" s="2" t="s">
        <v>7403</v>
      </c>
      <c r="H1593" s="2" t="s">
        <v>1517</v>
      </c>
      <c r="I1593" s="4">
        <v>62</v>
      </c>
      <c r="J1593" s="4">
        <v>240</v>
      </c>
      <c r="L1593" s="31">
        <v>11.57</v>
      </c>
      <c r="M1593" s="32">
        <v>26.1</v>
      </c>
      <c r="N1593" s="33">
        <v>5.4</v>
      </c>
    </row>
    <row r="1594" spans="1:14" x14ac:dyDescent="0.25">
      <c r="A1594" s="30">
        <v>1</v>
      </c>
      <c r="B1594" s="2" t="s">
        <v>7398</v>
      </c>
      <c r="C1594" s="2" t="s">
        <v>7399</v>
      </c>
      <c r="D1594" s="2" t="s">
        <v>6996</v>
      </c>
      <c r="E1594" s="5">
        <v>12</v>
      </c>
      <c r="F1594" s="2" t="s">
        <v>2059</v>
      </c>
      <c r="G1594" s="2" t="s">
        <v>7403</v>
      </c>
      <c r="H1594" s="2" t="s">
        <v>1518</v>
      </c>
      <c r="I1594" s="4">
        <v>5</v>
      </c>
      <c r="J1594" s="4">
        <v>72</v>
      </c>
      <c r="L1594" s="31">
        <v>1.85</v>
      </c>
      <c r="M1594" s="32">
        <v>41.6</v>
      </c>
      <c r="N1594" s="33">
        <v>2.7</v>
      </c>
    </row>
    <row r="1595" spans="1:14" x14ac:dyDescent="0.25">
      <c r="A1595" s="30">
        <v>1</v>
      </c>
      <c r="B1595" s="2" t="s">
        <v>7398</v>
      </c>
      <c r="C1595" s="2" t="s">
        <v>7399</v>
      </c>
      <c r="D1595" s="2" t="s">
        <v>6997</v>
      </c>
      <c r="E1595" s="5">
        <v>12</v>
      </c>
      <c r="F1595" s="2" t="s">
        <v>2059</v>
      </c>
      <c r="G1595" s="2" t="s">
        <v>7403</v>
      </c>
      <c r="H1595" s="2" t="s">
        <v>1519</v>
      </c>
      <c r="I1595" s="4">
        <v>40</v>
      </c>
      <c r="J1595" s="4">
        <v>72</v>
      </c>
      <c r="L1595" s="31">
        <v>4</v>
      </c>
      <c r="M1595" s="32">
        <v>28</v>
      </c>
      <c r="N1595" s="33">
        <v>10</v>
      </c>
    </row>
    <row r="1596" spans="1:14" x14ac:dyDescent="0.25">
      <c r="A1596" s="30">
        <v>1</v>
      </c>
      <c r="B1596" s="2" t="s">
        <v>7398</v>
      </c>
      <c r="C1596" s="2" t="s">
        <v>7399</v>
      </c>
      <c r="D1596" s="2" t="s">
        <v>6998</v>
      </c>
      <c r="E1596" s="5">
        <v>12</v>
      </c>
      <c r="F1596" s="2" t="s">
        <v>2059</v>
      </c>
      <c r="G1596" s="2" t="s">
        <v>7403</v>
      </c>
      <c r="H1596" s="2" t="s">
        <v>1520</v>
      </c>
      <c r="I1596" s="4">
        <v>77</v>
      </c>
      <c r="J1596" s="4">
        <v>720</v>
      </c>
      <c r="L1596" s="31">
        <v>31.57</v>
      </c>
      <c r="M1596" s="32">
        <v>25.2</v>
      </c>
      <c r="N1596" s="33">
        <v>2.4</v>
      </c>
    </row>
    <row r="1597" spans="1:14" x14ac:dyDescent="0.25">
      <c r="A1597" s="30">
        <v>1</v>
      </c>
      <c r="B1597" s="2" t="s">
        <v>7398</v>
      </c>
      <c r="C1597" s="2" t="s">
        <v>7399</v>
      </c>
      <c r="D1597" s="2" t="s">
        <v>6999</v>
      </c>
      <c r="E1597" s="5">
        <v>12</v>
      </c>
      <c r="F1597" s="2" t="s">
        <v>2060</v>
      </c>
      <c r="G1597" s="2" t="s">
        <v>7403</v>
      </c>
      <c r="H1597" s="2" t="s">
        <v>1521</v>
      </c>
      <c r="I1597" s="4">
        <v>21</v>
      </c>
      <c r="J1597" s="4">
        <v>168</v>
      </c>
      <c r="L1597" s="31">
        <v>5.14</v>
      </c>
      <c r="M1597" s="32">
        <v>36.799999999999997</v>
      </c>
      <c r="N1597" s="33">
        <v>4.0999999999999996</v>
      </c>
    </row>
    <row r="1598" spans="1:14" x14ac:dyDescent="0.25">
      <c r="A1598" s="30">
        <v>1</v>
      </c>
      <c r="B1598" s="2" t="s">
        <v>7398</v>
      </c>
      <c r="C1598" s="2" t="s">
        <v>7399</v>
      </c>
      <c r="D1598" s="2" t="s">
        <v>7000</v>
      </c>
      <c r="E1598" s="5">
        <v>12</v>
      </c>
      <c r="F1598" s="2" t="s">
        <v>2059</v>
      </c>
      <c r="G1598" s="2" t="s">
        <v>7403</v>
      </c>
      <c r="H1598" s="2" t="s">
        <v>1522</v>
      </c>
      <c r="I1598" s="4">
        <v>203</v>
      </c>
      <c r="J1598" s="4">
        <v>1008</v>
      </c>
      <c r="L1598" s="31">
        <v>36.57</v>
      </c>
      <c r="M1598" s="32">
        <v>33.1</v>
      </c>
      <c r="N1598" s="33">
        <v>5.6</v>
      </c>
    </row>
    <row r="1599" spans="1:14" x14ac:dyDescent="0.25">
      <c r="A1599" s="30">
        <v>1</v>
      </c>
      <c r="B1599" s="2" t="s">
        <v>7398</v>
      </c>
      <c r="C1599" s="2" t="s">
        <v>7399</v>
      </c>
      <c r="D1599" s="2" t="s">
        <v>7001</v>
      </c>
      <c r="E1599" s="5">
        <v>12</v>
      </c>
      <c r="F1599" s="2" t="s">
        <v>2059</v>
      </c>
      <c r="G1599" s="2" t="s">
        <v>7403</v>
      </c>
      <c r="H1599" s="2" t="s">
        <v>1523</v>
      </c>
      <c r="I1599" s="4">
        <v>78</v>
      </c>
      <c r="J1599" s="4">
        <v>0</v>
      </c>
      <c r="L1599" s="31">
        <v>0.85</v>
      </c>
      <c r="M1599" s="32">
        <v>91.8</v>
      </c>
      <c r="N1599" s="33">
        <v>91.8</v>
      </c>
    </row>
    <row r="1600" spans="1:14" x14ac:dyDescent="0.25">
      <c r="A1600" s="30">
        <v>1</v>
      </c>
      <c r="B1600" s="2" t="s">
        <v>7398</v>
      </c>
      <c r="C1600" s="2" t="s">
        <v>7399</v>
      </c>
      <c r="D1600" s="2" t="s">
        <v>7002</v>
      </c>
      <c r="E1600" s="5">
        <v>12</v>
      </c>
      <c r="F1600" s="2" t="s">
        <v>2059</v>
      </c>
      <c r="G1600" s="2" t="s">
        <v>7403</v>
      </c>
      <c r="H1600" s="2" t="s">
        <v>1524</v>
      </c>
      <c r="I1600" s="4">
        <v>28</v>
      </c>
      <c r="J1600" s="4">
        <v>192</v>
      </c>
      <c r="L1600" s="31">
        <v>4</v>
      </c>
      <c r="M1600" s="32">
        <v>55</v>
      </c>
      <c r="N1600" s="33">
        <v>7</v>
      </c>
    </row>
    <row r="1601" spans="1:14" x14ac:dyDescent="0.25">
      <c r="A1601" s="30">
        <v>1</v>
      </c>
      <c r="B1601" s="2" t="s">
        <v>7398</v>
      </c>
      <c r="C1601" s="2" t="s">
        <v>7399</v>
      </c>
      <c r="D1601" s="2" t="s">
        <v>7003</v>
      </c>
      <c r="E1601" s="5">
        <v>12</v>
      </c>
      <c r="F1601" s="2" t="s">
        <v>2059</v>
      </c>
      <c r="G1601" s="2" t="s">
        <v>7403</v>
      </c>
      <c r="H1601" s="2" t="s">
        <v>1525</v>
      </c>
      <c r="I1601" s="4">
        <v>142</v>
      </c>
      <c r="J1601" s="4">
        <v>384</v>
      </c>
      <c r="L1601" s="31">
        <v>24.85</v>
      </c>
      <c r="M1601" s="32">
        <v>21.2</v>
      </c>
      <c r="N1601" s="33">
        <v>5.7</v>
      </c>
    </row>
    <row r="1602" spans="1:14" x14ac:dyDescent="0.25">
      <c r="A1602" s="30">
        <v>1</v>
      </c>
      <c r="B1602" s="2" t="s">
        <v>7398</v>
      </c>
      <c r="C1602" s="2" t="s">
        <v>7399</v>
      </c>
      <c r="D1602" s="2" t="s">
        <v>7004</v>
      </c>
      <c r="E1602" s="5">
        <v>12</v>
      </c>
      <c r="F1602" s="2" t="s">
        <v>2059</v>
      </c>
      <c r="G1602" s="2" t="s">
        <v>7403</v>
      </c>
      <c r="H1602" s="2" t="s">
        <v>1526</v>
      </c>
      <c r="I1602" s="4">
        <v>21</v>
      </c>
      <c r="J1602" s="4">
        <v>48</v>
      </c>
      <c r="L1602" s="31">
        <v>3.42</v>
      </c>
      <c r="M1602" s="32">
        <v>20.2</v>
      </c>
      <c r="N1602" s="33">
        <v>6.1</v>
      </c>
    </row>
    <row r="1603" spans="1:14" x14ac:dyDescent="0.25">
      <c r="A1603" s="30">
        <v>1</v>
      </c>
      <c r="B1603" s="2" t="s">
        <v>7398</v>
      </c>
      <c r="C1603" s="2" t="s">
        <v>7399</v>
      </c>
      <c r="D1603" s="2" t="s">
        <v>7005</v>
      </c>
      <c r="E1603" s="5">
        <v>12</v>
      </c>
      <c r="F1603" s="2" t="s">
        <v>2059</v>
      </c>
      <c r="G1603" s="2" t="s">
        <v>7403</v>
      </c>
      <c r="H1603" s="2" t="s">
        <v>1527</v>
      </c>
      <c r="I1603" s="4">
        <v>279</v>
      </c>
      <c r="J1603" s="4">
        <v>0</v>
      </c>
      <c r="L1603" s="31">
        <v>5.14</v>
      </c>
      <c r="M1603" s="32">
        <v>54.3</v>
      </c>
      <c r="N1603" s="33">
        <v>54.3</v>
      </c>
    </row>
    <row r="1604" spans="1:14" x14ac:dyDescent="0.25">
      <c r="A1604" s="30">
        <v>1</v>
      </c>
      <c r="B1604" s="2" t="s">
        <v>7398</v>
      </c>
      <c r="C1604" s="2" t="s">
        <v>7399</v>
      </c>
      <c r="D1604" s="2" t="s">
        <v>7006</v>
      </c>
      <c r="E1604" s="5">
        <v>12</v>
      </c>
      <c r="F1604" s="2" t="s">
        <v>2059</v>
      </c>
      <c r="G1604" s="2" t="s">
        <v>7403</v>
      </c>
      <c r="H1604" s="2" t="s">
        <v>1528</v>
      </c>
      <c r="I1604" s="4">
        <v>78</v>
      </c>
      <c r="J1604" s="4">
        <v>264</v>
      </c>
      <c r="L1604" s="31">
        <v>7</v>
      </c>
      <c r="M1604" s="32">
        <v>48.9</v>
      </c>
      <c r="N1604" s="33">
        <v>11.1</v>
      </c>
    </row>
    <row r="1605" spans="1:14" x14ac:dyDescent="0.25">
      <c r="A1605" s="30">
        <v>1</v>
      </c>
      <c r="B1605" s="2" t="s">
        <v>7398</v>
      </c>
      <c r="C1605" s="2" t="s">
        <v>7399</v>
      </c>
      <c r="D1605" s="2" t="s">
        <v>7007</v>
      </c>
      <c r="E1605" s="5">
        <v>12</v>
      </c>
      <c r="F1605" s="2" t="s">
        <v>2059</v>
      </c>
      <c r="G1605" s="2" t="s">
        <v>7403</v>
      </c>
      <c r="H1605" s="2" t="s">
        <v>1529</v>
      </c>
      <c r="I1605" s="4">
        <v>98</v>
      </c>
      <c r="J1605" s="4">
        <v>120</v>
      </c>
      <c r="L1605" s="31">
        <v>6.14</v>
      </c>
      <c r="M1605" s="32">
        <v>35.5</v>
      </c>
      <c r="N1605" s="33">
        <v>16</v>
      </c>
    </row>
    <row r="1606" spans="1:14" x14ac:dyDescent="0.25">
      <c r="A1606" s="30">
        <v>1</v>
      </c>
      <c r="B1606" s="2" t="s">
        <v>7398</v>
      </c>
      <c r="C1606" s="2" t="s">
        <v>7399</v>
      </c>
      <c r="D1606" s="2" t="s">
        <v>7008</v>
      </c>
      <c r="E1606" s="5">
        <v>12</v>
      </c>
      <c r="F1606" s="2" t="s">
        <v>2059</v>
      </c>
      <c r="G1606" s="2" t="s">
        <v>7403</v>
      </c>
      <c r="H1606" s="2" t="s">
        <v>1530</v>
      </c>
      <c r="I1606" s="4">
        <v>32</v>
      </c>
      <c r="J1606" s="4">
        <v>72</v>
      </c>
      <c r="L1606" s="31">
        <v>3.42</v>
      </c>
      <c r="M1606" s="32">
        <v>30.4</v>
      </c>
      <c r="N1606" s="33">
        <v>9.4</v>
      </c>
    </row>
    <row r="1607" spans="1:14" x14ac:dyDescent="0.25">
      <c r="A1607" s="30">
        <v>1</v>
      </c>
      <c r="B1607" s="2" t="s">
        <v>7398</v>
      </c>
      <c r="C1607" s="2" t="s">
        <v>7399</v>
      </c>
      <c r="D1607" s="2" t="s">
        <v>7009</v>
      </c>
      <c r="E1607" s="5">
        <v>12</v>
      </c>
      <c r="F1607" s="2" t="s">
        <v>2059</v>
      </c>
      <c r="G1607" s="2" t="s">
        <v>7403</v>
      </c>
      <c r="H1607" s="2" t="s">
        <v>1531</v>
      </c>
      <c r="I1607" s="4">
        <v>37</v>
      </c>
      <c r="J1607" s="4">
        <v>120</v>
      </c>
      <c r="L1607" s="31">
        <v>4.42</v>
      </c>
      <c r="M1607" s="32">
        <v>35.5</v>
      </c>
      <c r="N1607" s="33">
        <v>8.4</v>
      </c>
    </row>
    <row r="1608" spans="1:14" x14ac:dyDescent="0.25">
      <c r="A1608" s="30">
        <v>1</v>
      </c>
      <c r="B1608" s="2" t="s">
        <v>7398</v>
      </c>
      <c r="C1608" s="2" t="s">
        <v>7399</v>
      </c>
      <c r="D1608" s="2" t="s">
        <v>7010</v>
      </c>
      <c r="E1608" s="5">
        <v>12</v>
      </c>
      <c r="F1608" s="2" t="s">
        <v>2059</v>
      </c>
      <c r="G1608" s="2" t="s">
        <v>7403</v>
      </c>
      <c r="H1608" s="2" t="s">
        <v>1532</v>
      </c>
      <c r="I1608" s="4">
        <v>314</v>
      </c>
      <c r="J1608" s="4">
        <v>864</v>
      </c>
      <c r="L1608" s="31">
        <v>42.71</v>
      </c>
      <c r="M1608" s="32">
        <v>27.6</v>
      </c>
      <c r="N1608" s="33">
        <v>7.4</v>
      </c>
    </row>
    <row r="1609" spans="1:14" x14ac:dyDescent="0.25">
      <c r="A1609" s="30">
        <v>1</v>
      </c>
      <c r="B1609" s="2" t="s">
        <v>7398</v>
      </c>
      <c r="C1609" s="2" t="s">
        <v>7399</v>
      </c>
      <c r="D1609" s="2" t="s">
        <v>7011</v>
      </c>
      <c r="E1609" s="5">
        <v>12</v>
      </c>
      <c r="F1609" s="2" t="s">
        <v>2059</v>
      </c>
      <c r="G1609" s="2" t="s">
        <v>7403</v>
      </c>
      <c r="H1609" s="2" t="s">
        <v>1533</v>
      </c>
      <c r="I1609" s="4">
        <v>17</v>
      </c>
      <c r="J1609" s="4">
        <v>48</v>
      </c>
      <c r="L1609" s="31">
        <v>1.57</v>
      </c>
      <c r="M1609" s="32">
        <v>41.4</v>
      </c>
      <c r="N1609" s="33">
        <v>10.8</v>
      </c>
    </row>
    <row r="1610" spans="1:14" x14ac:dyDescent="0.25">
      <c r="A1610" s="30">
        <v>1</v>
      </c>
      <c r="B1610" s="2" t="s">
        <v>7398</v>
      </c>
      <c r="C1610" s="2" t="s">
        <v>7399</v>
      </c>
      <c r="D1610" s="2" t="s">
        <v>7012</v>
      </c>
      <c r="E1610" s="5">
        <v>12</v>
      </c>
      <c r="F1610" s="2" t="s">
        <v>2059</v>
      </c>
      <c r="G1610" s="2" t="s">
        <v>7403</v>
      </c>
      <c r="H1610" s="2" t="s">
        <v>1534</v>
      </c>
      <c r="I1610" s="4">
        <v>13</v>
      </c>
      <c r="J1610" s="4">
        <v>120</v>
      </c>
      <c r="L1610" s="31">
        <v>5.28</v>
      </c>
      <c r="M1610" s="32">
        <v>25.2</v>
      </c>
      <c r="N1610" s="33">
        <v>2.5</v>
      </c>
    </row>
    <row r="1611" spans="1:14" x14ac:dyDescent="0.25">
      <c r="A1611" s="30">
        <v>1</v>
      </c>
      <c r="B1611" s="2" t="s">
        <v>7398</v>
      </c>
      <c r="C1611" s="2" t="s">
        <v>7399</v>
      </c>
      <c r="D1611" s="2" t="s">
        <v>7013</v>
      </c>
      <c r="E1611" s="5">
        <v>12</v>
      </c>
      <c r="F1611" s="2" t="s">
        <v>2059</v>
      </c>
      <c r="G1611" s="2" t="s">
        <v>7403</v>
      </c>
      <c r="H1611" s="2" t="s">
        <v>1535</v>
      </c>
      <c r="I1611" s="4">
        <v>27</v>
      </c>
      <c r="J1611" s="4">
        <v>72</v>
      </c>
      <c r="L1611" s="31">
        <v>1.57</v>
      </c>
      <c r="M1611" s="32">
        <v>63.1</v>
      </c>
      <c r="N1611" s="33">
        <v>17.2</v>
      </c>
    </row>
    <row r="1612" spans="1:14" x14ac:dyDescent="0.25">
      <c r="A1612" s="30">
        <v>1</v>
      </c>
      <c r="B1612" s="2" t="s">
        <v>7398</v>
      </c>
      <c r="C1612" s="2" t="s">
        <v>7399</v>
      </c>
      <c r="D1612" s="2" t="s">
        <v>7014</v>
      </c>
      <c r="E1612" s="5">
        <v>12</v>
      </c>
      <c r="F1612" s="2" t="s">
        <v>2059</v>
      </c>
      <c r="G1612" s="2" t="s">
        <v>7403</v>
      </c>
      <c r="H1612" s="2" t="s">
        <v>1536</v>
      </c>
      <c r="I1612" s="4">
        <v>12</v>
      </c>
      <c r="J1612" s="4">
        <v>24</v>
      </c>
      <c r="L1612" s="31">
        <v>0.71</v>
      </c>
      <c r="M1612" s="32">
        <v>50.7</v>
      </c>
      <c r="N1612" s="33">
        <v>16.899999999999999</v>
      </c>
    </row>
    <row r="1613" spans="1:14" x14ac:dyDescent="0.25">
      <c r="A1613" s="30">
        <v>1</v>
      </c>
      <c r="B1613" s="2" t="s">
        <v>7398</v>
      </c>
      <c r="C1613" s="2" t="s">
        <v>7399</v>
      </c>
      <c r="D1613" s="2" t="s">
        <v>7015</v>
      </c>
      <c r="E1613" s="5">
        <v>12</v>
      </c>
      <c r="F1613" s="2" t="s">
        <v>2059</v>
      </c>
      <c r="G1613" s="2" t="s">
        <v>7403</v>
      </c>
      <c r="H1613" s="2" t="s">
        <v>1537</v>
      </c>
      <c r="I1613" s="4">
        <v>165</v>
      </c>
      <c r="J1613" s="4">
        <v>176</v>
      </c>
      <c r="L1613" s="31">
        <v>3</v>
      </c>
      <c r="M1613" s="32">
        <v>113.7</v>
      </c>
      <c r="N1613" s="33">
        <v>55</v>
      </c>
    </row>
    <row r="1614" spans="1:14" x14ac:dyDescent="0.25">
      <c r="A1614" s="30">
        <v>1</v>
      </c>
      <c r="B1614" s="2" t="s">
        <v>7398</v>
      </c>
      <c r="C1614" s="2" t="s">
        <v>7399</v>
      </c>
      <c r="D1614" s="2" t="s">
        <v>7016</v>
      </c>
      <c r="E1614" s="5">
        <v>12</v>
      </c>
      <c r="F1614" s="2" t="s">
        <v>2059</v>
      </c>
      <c r="G1614" s="2" t="s">
        <v>7403</v>
      </c>
      <c r="H1614" s="2" t="s">
        <v>1538</v>
      </c>
      <c r="I1614" s="4">
        <v>0</v>
      </c>
      <c r="J1614" s="4">
        <v>96</v>
      </c>
      <c r="L1614" s="31">
        <v>3.85</v>
      </c>
      <c r="M1614" s="32">
        <v>24.9</v>
      </c>
      <c r="N1614" s="33">
        <v>0</v>
      </c>
    </row>
    <row r="1615" spans="1:14" x14ac:dyDescent="0.25">
      <c r="A1615" s="30">
        <v>1</v>
      </c>
      <c r="B1615" s="2" t="s">
        <v>7398</v>
      </c>
      <c r="C1615" s="2" t="s">
        <v>7399</v>
      </c>
      <c r="D1615" s="2" t="s">
        <v>7017</v>
      </c>
      <c r="E1615" s="5">
        <v>12</v>
      </c>
      <c r="F1615" s="2" t="s">
        <v>2059</v>
      </c>
      <c r="G1615" s="2" t="s">
        <v>7403</v>
      </c>
      <c r="H1615" s="2" t="s">
        <v>1539</v>
      </c>
      <c r="I1615" s="4">
        <v>45</v>
      </c>
      <c r="J1615" s="4">
        <v>336</v>
      </c>
      <c r="L1615" s="31">
        <v>10.42</v>
      </c>
      <c r="M1615" s="32">
        <v>36.6</v>
      </c>
      <c r="N1615" s="33">
        <v>4.3</v>
      </c>
    </row>
    <row r="1616" spans="1:14" x14ac:dyDescent="0.25">
      <c r="A1616" s="30">
        <v>1</v>
      </c>
      <c r="B1616" s="2" t="s">
        <v>7398</v>
      </c>
      <c r="C1616" s="2" t="s">
        <v>7399</v>
      </c>
      <c r="D1616" s="2" t="s">
        <v>7018</v>
      </c>
      <c r="E1616" s="5">
        <v>12</v>
      </c>
      <c r="F1616" s="2" t="s">
        <v>2059</v>
      </c>
      <c r="G1616" s="2" t="s">
        <v>7403</v>
      </c>
      <c r="H1616" s="2" t="s">
        <v>1540</v>
      </c>
      <c r="I1616" s="4">
        <v>2</v>
      </c>
      <c r="J1616" s="4">
        <v>72</v>
      </c>
      <c r="L1616" s="31">
        <v>2</v>
      </c>
      <c r="M1616" s="32">
        <v>37</v>
      </c>
      <c r="N1616" s="33">
        <v>1</v>
      </c>
    </row>
    <row r="1617" spans="1:14" x14ac:dyDescent="0.25">
      <c r="A1617" s="30">
        <v>1</v>
      </c>
      <c r="B1617" s="2" t="s">
        <v>7398</v>
      </c>
      <c r="C1617" s="2" t="s">
        <v>7399</v>
      </c>
      <c r="D1617" s="2" t="s">
        <v>7019</v>
      </c>
      <c r="E1617" s="5">
        <v>12</v>
      </c>
      <c r="F1617" s="2" t="s">
        <v>2059</v>
      </c>
      <c r="G1617" s="2" t="s">
        <v>7403</v>
      </c>
      <c r="H1617" s="2" t="s">
        <v>1541</v>
      </c>
      <c r="I1617" s="4">
        <v>55</v>
      </c>
      <c r="J1617" s="4">
        <v>48</v>
      </c>
      <c r="L1617" s="31">
        <v>1.42</v>
      </c>
      <c r="M1617" s="32">
        <v>72.5</v>
      </c>
      <c r="N1617" s="33">
        <v>38.700000000000003</v>
      </c>
    </row>
    <row r="1618" spans="1:14" x14ac:dyDescent="0.25">
      <c r="A1618" s="30">
        <v>1</v>
      </c>
      <c r="B1618" s="2" t="s">
        <v>7398</v>
      </c>
      <c r="C1618" s="2" t="s">
        <v>7399</v>
      </c>
      <c r="D1618" s="2" t="s">
        <v>7020</v>
      </c>
      <c r="E1618" s="5">
        <v>12</v>
      </c>
      <c r="F1618" s="2" t="s">
        <v>2059</v>
      </c>
      <c r="G1618" s="2" t="s">
        <v>7403</v>
      </c>
      <c r="H1618" s="2" t="s">
        <v>1542</v>
      </c>
      <c r="I1618" s="4">
        <v>171</v>
      </c>
      <c r="J1618" s="4">
        <v>912</v>
      </c>
      <c r="L1618" s="31">
        <v>43.57</v>
      </c>
      <c r="M1618" s="32">
        <v>24.9</v>
      </c>
      <c r="N1618" s="33">
        <v>3.9</v>
      </c>
    </row>
    <row r="1619" spans="1:14" x14ac:dyDescent="0.25">
      <c r="A1619" s="30">
        <v>1</v>
      </c>
      <c r="B1619" s="2" t="s">
        <v>7398</v>
      </c>
      <c r="C1619" s="2" t="s">
        <v>7399</v>
      </c>
      <c r="D1619" s="2" t="s">
        <v>7021</v>
      </c>
      <c r="E1619" s="5">
        <v>24</v>
      </c>
      <c r="F1619" s="2" t="s">
        <v>1915</v>
      </c>
      <c r="G1619" s="2" t="s">
        <v>7403</v>
      </c>
      <c r="H1619" s="2" t="s">
        <v>1543</v>
      </c>
      <c r="I1619" s="4">
        <v>188</v>
      </c>
      <c r="J1619" s="4">
        <v>924</v>
      </c>
      <c r="L1619" s="31">
        <v>31.14</v>
      </c>
      <c r="M1619" s="32">
        <v>35.700000000000003</v>
      </c>
      <c r="N1619" s="33">
        <v>6</v>
      </c>
    </row>
    <row r="1620" spans="1:14" x14ac:dyDescent="0.25">
      <c r="A1620" s="30">
        <v>1</v>
      </c>
      <c r="B1620" s="2" t="s">
        <v>7398</v>
      </c>
      <c r="C1620" s="2" t="s">
        <v>7399</v>
      </c>
      <c r="D1620" s="2" t="s">
        <v>7022</v>
      </c>
      <c r="E1620" s="5">
        <v>24</v>
      </c>
      <c r="F1620" s="2" t="s">
        <v>1915</v>
      </c>
      <c r="G1620" s="2" t="s">
        <v>7403</v>
      </c>
      <c r="H1620" s="2" t="s">
        <v>1544</v>
      </c>
      <c r="I1620" s="4">
        <v>140</v>
      </c>
      <c r="J1620" s="4">
        <v>120</v>
      </c>
      <c r="L1620" s="31">
        <v>11.28</v>
      </c>
      <c r="M1620" s="32">
        <v>23</v>
      </c>
      <c r="N1620" s="33">
        <v>12.4</v>
      </c>
    </row>
    <row r="1621" spans="1:14" x14ac:dyDescent="0.25">
      <c r="A1621" s="30">
        <v>1</v>
      </c>
      <c r="B1621" s="2" t="s">
        <v>7398</v>
      </c>
      <c r="C1621" s="2" t="s">
        <v>7399</v>
      </c>
      <c r="D1621" s="2" t="s">
        <v>7023</v>
      </c>
      <c r="E1621" s="5">
        <v>24</v>
      </c>
      <c r="F1621" s="2" t="s">
        <v>2061</v>
      </c>
      <c r="G1621" s="2" t="s">
        <v>7403</v>
      </c>
      <c r="H1621" s="2" t="s">
        <v>1545</v>
      </c>
      <c r="I1621" s="4">
        <v>30</v>
      </c>
      <c r="J1621" s="4">
        <v>168</v>
      </c>
      <c r="L1621" s="31">
        <v>13.14</v>
      </c>
      <c r="M1621" s="32">
        <v>15.1</v>
      </c>
      <c r="N1621" s="33">
        <v>2.2999999999999998</v>
      </c>
    </row>
    <row r="1622" spans="1:14" x14ac:dyDescent="0.25">
      <c r="A1622" s="30">
        <v>1</v>
      </c>
      <c r="B1622" s="2" t="s">
        <v>7398</v>
      </c>
      <c r="C1622" s="2" t="s">
        <v>7399</v>
      </c>
      <c r="D1622" s="2" t="s">
        <v>7024</v>
      </c>
      <c r="E1622" s="5">
        <v>24</v>
      </c>
      <c r="F1622" s="2" t="s">
        <v>2062</v>
      </c>
      <c r="G1622" s="2" t="s">
        <v>7403</v>
      </c>
      <c r="H1622" s="2" t="s">
        <v>1546</v>
      </c>
      <c r="I1622" s="4">
        <v>36</v>
      </c>
      <c r="J1622" s="4">
        <v>192</v>
      </c>
      <c r="L1622" s="31">
        <v>8.57</v>
      </c>
      <c r="M1622" s="32">
        <v>26.6</v>
      </c>
      <c r="N1622" s="33">
        <v>4.2</v>
      </c>
    </row>
    <row r="1623" spans="1:14" x14ac:dyDescent="0.25">
      <c r="A1623" s="30">
        <v>1</v>
      </c>
      <c r="B1623" s="2" t="s">
        <v>7398</v>
      </c>
      <c r="C1623" s="2" t="s">
        <v>7399</v>
      </c>
      <c r="D1623" s="2" t="s">
        <v>7025</v>
      </c>
      <c r="E1623" s="5">
        <v>24</v>
      </c>
      <c r="F1623" s="2" t="s">
        <v>1915</v>
      </c>
      <c r="G1623" s="2" t="s">
        <v>7403</v>
      </c>
      <c r="H1623" s="2" t="s">
        <v>1543</v>
      </c>
      <c r="I1623" s="4">
        <v>440</v>
      </c>
      <c r="J1623" s="4">
        <v>216</v>
      </c>
      <c r="L1623" s="31">
        <v>19.14</v>
      </c>
      <c r="M1623" s="32">
        <v>34.299999999999997</v>
      </c>
      <c r="N1623" s="33">
        <v>23</v>
      </c>
    </row>
    <row r="1624" spans="1:14" x14ac:dyDescent="0.25">
      <c r="A1624" s="30">
        <v>1</v>
      </c>
      <c r="B1624" s="2" t="s">
        <v>7398</v>
      </c>
      <c r="C1624" s="2" t="s">
        <v>7399</v>
      </c>
      <c r="D1624" s="2" t="s">
        <v>7026</v>
      </c>
      <c r="E1624" s="5">
        <v>12</v>
      </c>
      <c r="F1624" s="2" t="s">
        <v>2059</v>
      </c>
      <c r="G1624" s="2" t="s">
        <v>7403</v>
      </c>
      <c r="H1624" s="2" t="s">
        <v>1547</v>
      </c>
      <c r="I1624" s="4">
        <v>61</v>
      </c>
      <c r="J1624" s="4">
        <v>72</v>
      </c>
      <c r="L1624" s="31">
        <v>4</v>
      </c>
      <c r="M1624" s="32">
        <v>33.299999999999997</v>
      </c>
      <c r="N1624" s="33">
        <v>15.3</v>
      </c>
    </row>
    <row r="1625" spans="1:14" x14ac:dyDescent="0.25">
      <c r="A1625" s="30">
        <v>1</v>
      </c>
      <c r="B1625" s="2" t="s">
        <v>7398</v>
      </c>
      <c r="C1625" s="2" t="s">
        <v>7399</v>
      </c>
      <c r="D1625" s="2" t="s">
        <v>7027</v>
      </c>
      <c r="E1625" s="5">
        <v>12</v>
      </c>
      <c r="F1625" s="2" t="s">
        <v>2063</v>
      </c>
      <c r="G1625" s="2" t="s">
        <v>7403</v>
      </c>
      <c r="H1625" s="2" t="s">
        <v>1548</v>
      </c>
      <c r="I1625" s="4">
        <v>237</v>
      </c>
      <c r="J1625" s="4">
        <v>0</v>
      </c>
      <c r="L1625" s="31">
        <v>0</v>
      </c>
      <c r="M1625" s="32">
        <v>0</v>
      </c>
      <c r="N1625" s="33">
        <v>9999</v>
      </c>
    </row>
    <row r="1626" spans="1:14" x14ac:dyDescent="0.25">
      <c r="A1626" s="30">
        <v>1</v>
      </c>
      <c r="B1626" s="2" t="s">
        <v>7398</v>
      </c>
      <c r="C1626" s="2" t="s">
        <v>7399</v>
      </c>
      <c r="D1626" s="2" t="s">
        <v>7028</v>
      </c>
      <c r="E1626" s="5">
        <v>12</v>
      </c>
      <c r="F1626" s="2" t="s">
        <v>1874</v>
      </c>
      <c r="G1626" s="2" t="s">
        <v>7405</v>
      </c>
      <c r="H1626" s="2" t="s">
        <v>1549</v>
      </c>
      <c r="I1626" s="4">
        <v>4</v>
      </c>
      <c r="J1626" s="4">
        <v>300</v>
      </c>
      <c r="L1626" s="31">
        <v>14.71</v>
      </c>
      <c r="M1626" s="32">
        <v>20.7</v>
      </c>
      <c r="N1626" s="33">
        <v>0.3</v>
      </c>
    </row>
    <row r="1627" spans="1:14" x14ac:dyDescent="0.25">
      <c r="A1627" s="30">
        <v>1</v>
      </c>
      <c r="B1627" s="2" t="s">
        <v>7398</v>
      </c>
      <c r="C1627" s="2" t="s">
        <v>7399</v>
      </c>
      <c r="D1627" s="2" t="s">
        <v>7029</v>
      </c>
      <c r="E1627" s="5">
        <v>12</v>
      </c>
      <c r="F1627" s="2" t="s">
        <v>1876</v>
      </c>
      <c r="G1627" s="2" t="s">
        <v>7409</v>
      </c>
      <c r="H1627" s="2" t="s">
        <v>1550</v>
      </c>
      <c r="I1627" s="4">
        <v>73</v>
      </c>
      <c r="J1627" s="4">
        <v>0</v>
      </c>
      <c r="L1627" s="31">
        <v>9.2799999999999994</v>
      </c>
      <c r="M1627" s="32">
        <v>7.9</v>
      </c>
      <c r="N1627" s="33">
        <v>7.9</v>
      </c>
    </row>
    <row r="1628" spans="1:14" x14ac:dyDescent="0.25">
      <c r="A1628" s="30">
        <v>1</v>
      </c>
      <c r="B1628" s="2" t="s">
        <v>7398</v>
      </c>
      <c r="C1628" s="2" t="s">
        <v>7399</v>
      </c>
      <c r="D1628" s="2" t="s">
        <v>7030</v>
      </c>
      <c r="E1628" s="5">
        <v>24</v>
      </c>
      <c r="F1628" s="2" t="s">
        <v>1874</v>
      </c>
      <c r="G1628" s="2" t="s">
        <v>7400</v>
      </c>
      <c r="H1628" s="2" t="s">
        <v>1551</v>
      </c>
      <c r="I1628" s="4">
        <v>1</v>
      </c>
      <c r="J1628" s="4">
        <v>0</v>
      </c>
      <c r="L1628" s="31">
        <v>0</v>
      </c>
      <c r="M1628" s="32">
        <v>0</v>
      </c>
      <c r="N1628" s="33">
        <v>9999</v>
      </c>
    </row>
    <row r="1629" spans="1:14" x14ac:dyDescent="0.25">
      <c r="A1629" s="30">
        <v>1</v>
      </c>
      <c r="B1629" s="2" t="s">
        <v>7398</v>
      </c>
      <c r="C1629" s="2" t="s">
        <v>7399</v>
      </c>
      <c r="D1629" s="2" t="s">
        <v>7031</v>
      </c>
      <c r="E1629" s="5">
        <v>24</v>
      </c>
      <c r="F1629" s="2" t="s">
        <v>1876</v>
      </c>
      <c r="G1629" s="2" t="s">
        <v>7401</v>
      </c>
      <c r="H1629" s="2" t="s">
        <v>1552</v>
      </c>
      <c r="I1629" s="4">
        <v>0</v>
      </c>
      <c r="J1629" s="4">
        <v>0</v>
      </c>
      <c r="L1629" s="31">
        <v>0</v>
      </c>
      <c r="M1629" s="32">
        <v>0</v>
      </c>
      <c r="N1629" s="33">
        <v>9999</v>
      </c>
    </row>
    <row r="1630" spans="1:14" x14ac:dyDescent="0.25">
      <c r="A1630" s="30">
        <v>1</v>
      </c>
      <c r="B1630" s="2" t="s">
        <v>7398</v>
      </c>
      <c r="C1630" s="2" t="s">
        <v>7399</v>
      </c>
      <c r="D1630" s="2" t="s">
        <v>7032</v>
      </c>
      <c r="E1630" s="5">
        <v>24</v>
      </c>
      <c r="F1630" s="2" t="s">
        <v>1840</v>
      </c>
      <c r="G1630" s="2" t="s">
        <v>7401</v>
      </c>
      <c r="H1630" s="2" t="s">
        <v>1553</v>
      </c>
      <c r="I1630" s="4">
        <v>0</v>
      </c>
      <c r="J1630" s="4">
        <v>0</v>
      </c>
      <c r="L1630" s="31">
        <v>0</v>
      </c>
      <c r="M1630" s="32">
        <v>0</v>
      </c>
      <c r="N1630" s="33">
        <v>9999</v>
      </c>
    </row>
    <row r="1631" spans="1:14" x14ac:dyDescent="0.25">
      <c r="A1631" s="30">
        <v>1</v>
      </c>
      <c r="B1631" s="2" t="s">
        <v>7398</v>
      </c>
      <c r="C1631" s="2" t="s">
        <v>7399</v>
      </c>
      <c r="D1631" s="2" t="s">
        <v>7033</v>
      </c>
      <c r="E1631" s="5">
        <v>12</v>
      </c>
      <c r="F1631" s="2" t="s">
        <v>1877</v>
      </c>
      <c r="G1631" s="2" t="s">
        <v>7401</v>
      </c>
      <c r="H1631" s="2" t="s">
        <v>1554</v>
      </c>
      <c r="I1631" s="4">
        <v>0</v>
      </c>
      <c r="J1631" s="4">
        <v>0</v>
      </c>
      <c r="L1631" s="31">
        <v>0</v>
      </c>
      <c r="M1631" s="32">
        <v>0</v>
      </c>
      <c r="N1631" s="33">
        <v>9999</v>
      </c>
    </row>
    <row r="1632" spans="1:14" x14ac:dyDescent="0.25">
      <c r="A1632" s="30">
        <v>1</v>
      </c>
      <c r="B1632" s="2" t="s">
        <v>7398</v>
      </c>
      <c r="C1632" s="2" t="s">
        <v>7399</v>
      </c>
      <c r="D1632" s="2" t="s">
        <v>7034</v>
      </c>
      <c r="E1632" s="5">
        <v>6</v>
      </c>
      <c r="F1632" s="2" t="s">
        <v>2064</v>
      </c>
      <c r="G1632" s="2" t="s">
        <v>7401</v>
      </c>
      <c r="H1632" s="2" t="s">
        <v>1554</v>
      </c>
      <c r="I1632" s="4">
        <v>0</v>
      </c>
      <c r="J1632" s="4">
        <v>0</v>
      </c>
      <c r="L1632" s="31">
        <v>0</v>
      </c>
      <c r="M1632" s="32">
        <v>0</v>
      </c>
      <c r="N1632" s="33">
        <v>9999</v>
      </c>
    </row>
    <row r="1633" spans="1:14" x14ac:dyDescent="0.25">
      <c r="A1633" s="30">
        <v>1</v>
      </c>
      <c r="B1633" s="2" t="s">
        <v>7398</v>
      </c>
      <c r="C1633" s="2" t="s">
        <v>7399</v>
      </c>
      <c r="D1633" s="2" t="s">
        <v>7035</v>
      </c>
      <c r="E1633" s="5">
        <v>12</v>
      </c>
      <c r="F1633" s="2" t="s">
        <v>1877</v>
      </c>
      <c r="G1633" s="2" t="s">
        <v>7401</v>
      </c>
      <c r="H1633" s="2" t="s">
        <v>1555</v>
      </c>
      <c r="I1633" s="4">
        <v>0</v>
      </c>
      <c r="J1633" s="4">
        <v>320</v>
      </c>
      <c r="L1633" s="31">
        <v>0</v>
      </c>
      <c r="M1633" s="32">
        <v>0</v>
      </c>
      <c r="N1633" s="33">
        <v>9999</v>
      </c>
    </row>
    <row r="1634" spans="1:14" x14ac:dyDescent="0.25">
      <c r="A1634" s="30">
        <v>1</v>
      </c>
      <c r="B1634" s="2" t="s">
        <v>7398</v>
      </c>
      <c r="C1634" s="2" t="s">
        <v>7399</v>
      </c>
      <c r="D1634" s="2" t="s">
        <v>7036</v>
      </c>
      <c r="E1634" s="5">
        <v>12</v>
      </c>
      <c r="F1634" s="2" t="s">
        <v>1877</v>
      </c>
      <c r="G1634" s="2" t="s">
        <v>7401</v>
      </c>
      <c r="H1634" s="2" t="s">
        <v>1556</v>
      </c>
      <c r="I1634" s="4">
        <v>0</v>
      </c>
      <c r="J1634" s="4">
        <v>560</v>
      </c>
      <c r="L1634" s="31">
        <v>0</v>
      </c>
      <c r="M1634" s="32">
        <v>0</v>
      </c>
      <c r="N1634" s="33">
        <v>9999</v>
      </c>
    </row>
    <row r="1635" spans="1:14" x14ac:dyDescent="0.25">
      <c r="A1635" s="30">
        <v>1</v>
      </c>
      <c r="B1635" s="2" t="s">
        <v>7398</v>
      </c>
      <c r="C1635" s="2" t="s">
        <v>7399</v>
      </c>
      <c r="D1635" s="2" t="s">
        <v>7037</v>
      </c>
      <c r="E1635" s="5">
        <v>24</v>
      </c>
      <c r="F1635" s="2" t="s">
        <v>1876</v>
      </c>
      <c r="G1635" s="2" t="s">
        <v>7401</v>
      </c>
      <c r="H1635" s="2" t="s">
        <v>1557</v>
      </c>
      <c r="I1635" s="4">
        <v>0</v>
      </c>
      <c r="J1635" s="4">
        <v>0</v>
      </c>
      <c r="L1635" s="31">
        <v>0</v>
      </c>
      <c r="M1635" s="32">
        <v>0</v>
      </c>
      <c r="N1635" s="33">
        <v>9999</v>
      </c>
    </row>
    <row r="1636" spans="1:14" x14ac:dyDescent="0.25">
      <c r="A1636" s="30">
        <v>1</v>
      </c>
      <c r="B1636" s="2" t="s">
        <v>7398</v>
      </c>
      <c r="C1636" s="2" t="s">
        <v>7399</v>
      </c>
      <c r="D1636" s="2" t="s">
        <v>7038</v>
      </c>
      <c r="E1636" s="5">
        <v>24</v>
      </c>
      <c r="F1636" s="2" t="s">
        <v>1876</v>
      </c>
      <c r="G1636" s="2" t="s">
        <v>7401</v>
      </c>
      <c r="H1636" s="2" t="s">
        <v>1558</v>
      </c>
      <c r="I1636" s="4">
        <v>0</v>
      </c>
      <c r="J1636" s="4">
        <v>136</v>
      </c>
      <c r="L1636" s="31">
        <v>0</v>
      </c>
      <c r="M1636" s="32">
        <v>0</v>
      </c>
      <c r="N1636" s="33">
        <v>9999</v>
      </c>
    </row>
    <row r="1637" spans="1:14" x14ac:dyDescent="0.25">
      <c r="A1637" s="30">
        <v>1</v>
      </c>
      <c r="B1637" s="2" t="s">
        <v>7398</v>
      </c>
      <c r="C1637" s="2" t="s">
        <v>7399</v>
      </c>
      <c r="D1637" s="2" t="s">
        <v>7039</v>
      </c>
      <c r="E1637" s="5">
        <v>12</v>
      </c>
      <c r="F1637" s="2" t="s">
        <v>1842</v>
      </c>
      <c r="G1637" s="2" t="s">
        <v>7400</v>
      </c>
      <c r="H1637" s="2" t="s">
        <v>1559</v>
      </c>
      <c r="I1637" s="4">
        <v>0</v>
      </c>
      <c r="J1637" s="4">
        <v>0</v>
      </c>
      <c r="L1637" s="31">
        <v>0</v>
      </c>
      <c r="M1637" s="32">
        <v>0</v>
      </c>
      <c r="N1637" s="33">
        <v>9999</v>
      </c>
    </row>
    <row r="1638" spans="1:14" x14ac:dyDescent="0.25">
      <c r="A1638" s="30">
        <v>1</v>
      </c>
      <c r="B1638" s="2" t="s">
        <v>7398</v>
      </c>
      <c r="C1638" s="2" t="s">
        <v>7399</v>
      </c>
      <c r="D1638" s="2" t="s">
        <v>7040</v>
      </c>
      <c r="E1638" s="5">
        <v>12</v>
      </c>
      <c r="F1638" s="2" t="s">
        <v>1842</v>
      </c>
      <c r="G1638" s="2" t="s">
        <v>7400</v>
      </c>
      <c r="H1638" s="2" t="s">
        <v>1560</v>
      </c>
      <c r="I1638" s="4">
        <v>0</v>
      </c>
      <c r="J1638" s="4">
        <v>0</v>
      </c>
      <c r="L1638" s="31">
        <v>0</v>
      </c>
      <c r="M1638" s="32">
        <v>0</v>
      </c>
      <c r="N1638" s="33">
        <v>9999</v>
      </c>
    </row>
    <row r="1639" spans="1:14" x14ac:dyDescent="0.25">
      <c r="A1639" s="30">
        <v>1</v>
      </c>
      <c r="B1639" s="2" t="s">
        <v>7398</v>
      </c>
      <c r="C1639" s="2" t="s">
        <v>7399</v>
      </c>
      <c r="D1639" s="2" t="s">
        <v>7041</v>
      </c>
      <c r="E1639" s="5">
        <v>24</v>
      </c>
      <c r="F1639" s="2" t="s">
        <v>1869</v>
      </c>
      <c r="G1639" s="2" t="s">
        <v>7403</v>
      </c>
      <c r="H1639" s="2" t="s">
        <v>1561</v>
      </c>
      <c r="I1639" s="4">
        <v>0</v>
      </c>
      <c r="J1639" s="4">
        <v>0</v>
      </c>
      <c r="L1639" s="31">
        <v>0</v>
      </c>
      <c r="M1639" s="32">
        <v>0</v>
      </c>
      <c r="N1639" s="33">
        <v>9999</v>
      </c>
    </row>
    <row r="1640" spans="1:14" x14ac:dyDescent="0.25">
      <c r="A1640" s="30">
        <v>1</v>
      </c>
      <c r="B1640" s="2" t="s">
        <v>7398</v>
      </c>
      <c r="C1640" s="2" t="s">
        <v>7399</v>
      </c>
      <c r="D1640" s="2" t="s">
        <v>7042</v>
      </c>
      <c r="E1640" s="5">
        <v>24</v>
      </c>
      <c r="F1640" s="2" t="s">
        <v>1869</v>
      </c>
      <c r="G1640" s="2" t="s">
        <v>7403</v>
      </c>
      <c r="H1640" s="2" t="s">
        <v>1562</v>
      </c>
      <c r="I1640" s="4">
        <v>0</v>
      </c>
      <c r="J1640" s="4">
        <v>0</v>
      </c>
      <c r="L1640" s="31">
        <v>0</v>
      </c>
      <c r="M1640" s="32">
        <v>0</v>
      </c>
      <c r="N1640" s="33">
        <v>9999</v>
      </c>
    </row>
    <row r="1641" spans="1:14" x14ac:dyDescent="0.25">
      <c r="A1641" s="30">
        <v>1</v>
      </c>
      <c r="B1641" s="2" t="s">
        <v>7398</v>
      </c>
      <c r="C1641" s="2" t="s">
        <v>7399</v>
      </c>
      <c r="D1641" s="2" t="s">
        <v>7043</v>
      </c>
      <c r="E1641" s="5">
        <v>4</v>
      </c>
      <c r="F1641" s="2" t="s">
        <v>1874</v>
      </c>
      <c r="G1641" s="2" t="s">
        <v>7400</v>
      </c>
      <c r="H1641" s="2" t="s">
        <v>1563</v>
      </c>
      <c r="I1641" s="4">
        <v>0</v>
      </c>
      <c r="J1641" s="4">
        <v>0</v>
      </c>
      <c r="L1641" s="31">
        <v>0</v>
      </c>
      <c r="M1641" s="32">
        <v>0</v>
      </c>
      <c r="N1641" s="33">
        <v>9999</v>
      </c>
    </row>
    <row r="1642" spans="1:14" x14ac:dyDescent="0.25">
      <c r="A1642" s="30">
        <v>1</v>
      </c>
      <c r="B1642" s="2" t="s">
        <v>7398</v>
      </c>
      <c r="C1642" s="2" t="s">
        <v>7399</v>
      </c>
      <c r="D1642" s="2" t="s">
        <v>7044</v>
      </c>
      <c r="E1642" s="5">
        <v>6</v>
      </c>
      <c r="F1642" s="2" t="s">
        <v>2065</v>
      </c>
      <c r="G1642" s="2" t="s">
        <v>7410</v>
      </c>
      <c r="H1642" s="2" t="s">
        <v>1564</v>
      </c>
      <c r="I1642" s="4">
        <v>230</v>
      </c>
      <c r="J1642" s="4">
        <v>0</v>
      </c>
      <c r="L1642" s="31">
        <v>52.42</v>
      </c>
      <c r="M1642" s="32">
        <v>4.4000000000000004</v>
      </c>
      <c r="N1642" s="33">
        <v>4.4000000000000004</v>
      </c>
    </row>
    <row r="1643" spans="1:14" x14ac:dyDescent="0.25">
      <c r="A1643" s="30">
        <v>1</v>
      </c>
      <c r="B1643" s="2" t="s">
        <v>7398</v>
      </c>
      <c r="C1643" s="2" t="s">
        <v>7399</v>
      </c>
      <c r="D1643" s="2" t="s">
        <v>7045</v>
      </c>
      <c r="E1643" s="5">
        <v>56</v>
      </c>
      <c r="F1643" s="2" t="s">
        <v>1869</v>
      </c>
      <c r="G1643" s="2" t="s">
        <v>7400</v>
      </c>
      <c r="H1643" s="2" t="s">
        <v>1565</v>
      </c>
      <c r="I1643" s="4">
        <v>508</v>
      </c>
      <c r="J1643" s="4">
        <v>0</v>
      </c>
      <c r="L1643" s="31">
        <v>8</v>
      </c>
      <c r="M1643" s="32">
        <v>63.5</v>
      </c>
      <c r="N1643" s="33">
        <v>63.5</v>
      </c>
    </row>
    <row r="1644" spans="1:14" x14ac:dyDescent="0.25">
      <c r="A1644" s="30">
        <v>1</v>
      </c>
      <c r="B1644" s="2" t="s">
        <v>7398</v>
      </c>
      <c r="C1644" s="2" t="s">
        <v>7399</v>
      </c>
      <c r="D1644" s="2" t="s">
        <v>7046</v>
      </c>
      <c r="E1644" s="5">
        <v>24</v>
      </c>
      <c r="F1644" s="2" t="s">
        <v>1922</v>
      </c>
      <c r="G1644" s="2" t="s">
        <v>7400</v>
      </c>
      <c r="H1644" s="2" t="s">
        <v>1566</v>
      </c>
      <c r="I1644" s="4">
        <v>112</v>
      </c>
      <c r="J1644" s="4">
        <v>0</v>
      </c>
      <c r="L1644" s="31">
        <v>2</v>
      </c>
      <c r="M1644" s="32">
        <v>56</v>
      </c>
      <c r="N1644" s="33">
        <v>56</v>
      </c>
    </row>
    <row r="1645" spans="1:14" x14ac:dyDescent="0.25">
      <c r="A1645" s="30">
        <v>1</v>
      </c>
      <c r="B1645" s="2" t="s">
        <v>7398</v>
      </c>
      <c r="C1645" s="2" t="s">
        <v>7399</v>
      </c>
      <c r="D1645" s="2" t="s">
        <v>7047</v>
      </c>
      <c r="E1645" s="5">
        <v>12</v>
      </c>
      <c r="F1645" s="2" t="s">
        <v>1859</v>
      </c>
      <c r="H1645" s="2" t="s">
        <v>1567</v>
      </c>
      <c r="I1645" s="4">
        <v>253</v>
      </c>
      <c r="J1645" s="4">
        <v>0</v>
      </c>
      <c r="L1645" s="31">
        <v>0.56999999999999995</v>
      </c>
      <c r="M1645" s="32">
        <v>443.9</v>
      </c>
      <c r="N1645" s="33">
        <v>443.9</v>
      </c>
    </row>
    <row r="1646" spans="1:14" x14ac:dyDescent="0.25">
      <c r="A1646" s="30">
        <v>1</v>
      </c>
      <c r="B1646" s="2" t="s">
        <v>7398</v>
      </c>
      <c r="C1646" s="2" t="s">
        <v>7399</v>
      </c>
      <c r="D1646" s="2" t="s">
        <v>7048</v>
      </c>
      <c r="E1646" s="5">
        <v>12</v>
      </c>
      <c r="F1646" s="2" t="s">
        <v>1859</v>
      </c>
      <c r="G1646" s="2" t="s">
        <v>7410</v>
      </c>
      <c r="H1646" s="2" t="s">
        <v>1568</v>
      </c>
      <c r="I1646" s="4">
        <v>254</v>
      </c>
      <c r="J1646" s="4">
        <v>0</v>
      </c>
      <c r="L1646" s="31">
        <v>0.42</v>
      </c>
      <c r="M1646" s="32">
        <v>604.79999999999995</v>
      </c>
      <c r="N1646" s="33">
        <v>604.79999999999995</v>
      </c>
    </row>
    <row r="1647" spans="1:14" x14ac:dyDescent="0.25">
      <c r="A1647" s="30">
        <v>1</v>
      </c>
      <c r="B1647" s="2" t="s">
        <v>7398</v>
      </c>
      <c r="C1647" s="2" t="s">
        <v>7399</v>
      </c>
      <c r="D1647" s="2" t="s">
        <v>7049</v>
      </c>
      <c r="E1647" s="5">
        <v>12</v>
      </c>
      <c r="F1647" s="2" t="s">
        <v>1859</v>
      </c>
      <c r="H1647" s="2" t="s">
        <v>1569</v>
      </c>
      <c r="I1647" s="4">
        <v>251</v>
      </c>
      <c r="J1647" s="4">
        <v>0</v>
      </c>
      <c r="L1647" s="31">
        <v>0.14000000000000001</v>
      </c>
      <c r="M1647" s="32">
        <v>1792.9</v>
      </c>
      <c r="N1647" s="33">
        <v>1792.9</v>
      </c>
    </row>
    <row r="1648" spans="1:14" x14ac:dyDescent="0.25">
      <c r="A1648" s="30">
        <v>1</v>
      </c>
      <c r="B1648" s="2" t="s">
        <v>7398</v>
      </c>
      <c r="C1648" s="2" t="s">
        <v>7399</v>
      </c>
      <c r="D1648" s="2" t="s">
        <v>7050</v>
      </c>
      <c r="E1648" s="5">
        <v>80</v>
      </c>
      <c r="F1648" s="2" t="s">
        <v>1907</v>
      </c>
      <c r="G1648" s="2" t="s">
        <v>7404</v>
      </c>
      <c r="H1648" s="2" t="s">
        <v>1570</v>
      </c>
      <c r="I1648" s="4">
        <v>10</v>
      </c>
      <c r="J1648" s="4">
        <v>480</v>
      </c>
      <c r="L1648" s="31">
        <v>6.85</v>
      </c>
      <c r="M1648" s="32">
        <v>71.5</v>
      </c>
      <c r="N1648" s="33">
        <v>1.5</v>
      </c>
    </row>
    <row r="1649" spans="1:14" x14ac:dyDescent="0.25">
      <c r="A1649" s="30">
        <v>1</v>
      </c>
      <c r="B1649" s="2" t="s">
        <v>7398</v>
      </c>
      <c r="C1649" s="2" t="s">
        <v>7399</v>
      </c>
      <c r="D1649" s="2" t="s">
        <v>7051</v>
      </c>
      <c r="E1649" s="5">
        <v>48</v>
      </c>
      <c r="F1649" s="2" t="s">
        <v>1866</v>
      </c>
      <c r="G1649" s="2" t="s">
        <v>7405</v>
      </c>
      <c r="H1649" s="2" t="s">
        <v>1571</v>
      </c>
      <c r="I1649" s="4">
        <v>36</v>
      </c>
      <c r="J1649" s="4">
        <v>0</v>
      </c>
      <c r="L1649" s="31">
        <v>2.71</v>
      </c>
      <c r="M1649" s="32">
        <v>13.3</v>
      </c>
      <c r="N1649" s="33">
        <v>13.3</v>
      </c>
    </row>
    <row r="1650" spans="1:14" x14ac:dyDescent="0.25">
      <c r="A1650" s="30">
        <v>1</v>
      </c>
      <c r="B1650" s="2" t="s">
        <v>7398</v>
      </c>
      <c r="C1650" s="2" t="s">
        <v>7399</v>
      </c>
      <c r="D1650" s="2" t="s">
        <v>7052</v>
      </c>
      <c r="E1650" s="5">
        <v>24</v>
      </c>
      <c r="F1650" s="2" t="s">
        <v>1899</v>
      </c>
      <c r="G1650" s="2" t="s">
        <v>7405</v>
      </c>
      <c r="H1650" s="2" t="s">
        <v>1572</v>
      </c>
      <c r="I1650" s="4">
        <v>75</v>
      </c>
      <c r="J1650" s="4">
        <v>0</v>
      </c>
      <c r="L1650" s="31">
        <v>12.28</v>
      </c>
      <c r="M1650" s="32">
        <v>6.1</v>
      </c>
      <c r="N1650" s="33">
        <v>6.1</v>
      </c>
    </row>
    <row r="1651" spans="1:14" x14ac:dyDescent="0.25">
      <c r="A1651" s="30">
        <v>1</v>
      </c>
      <c r="B1651" s="2" t="s">
        <v>7398</v>
      </c>
      <c r="C1651" s="2" t="s">
        <v>7399</v>
      </c>
      <c r="D1651" s="2" t="s">
        <v>7053</v>
      </c>
      <c r="E1651" s="5">
        <v>96</v>
      </c>
      <c r="F1651" s="2" t="s">
        <v>1863</v>
      </c>
      <c r="G1651" s="2" t="s">
        <v>7409</v>
      </c>
      <c r="H1651" s="2" t="s">
        <v>1573</v>
      </c>
      <c r="I1651" s="4">
        <v>0</v>
      </c>
      <c r="J1651" s="4">
        <v>0</v>
      </c>
      <c r="L1651" s="31">
        <v>0</v>
      </c>
      <c r="M1651" s="32">
        <v>0</v>
      </c>
      <c r="N1651" s="33">
        <v>9999</v>
      </c>
    </row>
    <row r="1652" spans="1:14" x14ac:dyDescent="0.25">
      <c r="A1652" s="30">
        <v>1</v>
      </c>
      <c r="B1652" s="2" t="s">
        <v>7398</v>
      </c>
      <c r="C1652" s="2" t="s">
        <v>7399</v>
      </c>
      <c r="D1652" s="2" t="s">
        <v>7054</v>
      </c>
      <c r="E1652" s="5">
        <v>48</v>
      </c>
      <c r="F1652" s="2" t="s">
        <v>1863</v>
      </c>
      <c r="G1652" s="2" t="s">
        <v>7409</v>
      </c>
      <c r="H1652" s="2" t="s">
        <v>1574</v>
      </c>
      <c r="I1652" s="4">
        <v>0</v>
      </c>
      <c r="J1652" s="4">
        <v>0</v>
      </c>
      <c r="L1652" s="31">
        <v>0</v>
      </c>
      <c r="M1652" s="32">
        <v>0</v>
      </c>
      <c r="N1652" s="33">
        <v>9999</v>
      </c>
    </row>
    <row r="1653" spans="1:14" x14ac:dyDescent="0.25">
      <c r="A1653" s="30">
        <v>1</v>
      </c>
      <c r="B1653" s="2" t="s">
        <v>7398</v>
      </c>
      <c r="C1653" s="2" t="s">
        <v>7399</v>
      </c>
      <c r="D1653" s="2" t="s">
        <v>7055</v>
      </c>
      <c r="E1653" s="5">
        <v>240</v>
      </c>
      <c r="F1653" s="2" t="s">
        <v>1877</v>
      </c>
      <c r="G1653" s="2" t="s">
        <v>7401</v>
      </c>
      <c r="H1653" s="2" t="s">
        <v>1575</v>
      </c>
      <c r="I1653" s="4">
        <v>0</v>
      </c>
      <c r="J1653" s="4">
        <v>0</v>
      </c>
      <c r="L1653" s="31">
        <v>0</v>
      </c>
      <c r="M1653" s="32">
        <v>0</v>
      </c>
      <c r="N1653" s="33">
        <v>9999</v>
      </c>
    </row>
    <row r="1654" spans="1:14" x14ac:dyDescent="0.25">
      <c r="A1654" s="30">
        <v>1</v>
      </c>
      <c r="B1654" s="2" t="s">
        <v>7398</v>
      </c>
      <c r="C1654" s="2" t="s">
        <v>7399</v>
      </c>
      <c r="D1654" s="2" t="s">
        <v>7056</v>
      </c>
      <c r="E1654" s="5">
        <v>528</v>
      </c>
      <c r="F1654" s="2" t="s">
        <v>1880</v>
      </c>
      <c r="G1654" s="2" t="s">
        <v>7401</v>
      </c>
      <c r="H1654" s="2" t="s">
        <v>1576</v>
      </c>
      <c r="I1654" s="4">
        <v>121</v>
      </c>
      <c r="J1654" s="4">
        <v>128</v>
      </c>
      <c r="L1654" s="31">
        <v>8.85</v>
      </c>
      <c r="M1654" s="32">
        <v>28.1</v>
      </c>
      <c r="N1654" s="33">
        <v>13.7</v>
      </c>
    </row>
    <row r="1655" spans="1:14" x14ac:dyDescent="0.25">
      <c r="A1655" s="30">
        <v>1</v>
      </c>
      <c r="B1655" s="2" t="s">
        <v>7398</v>
      </c>
      <c r="C1655" s="2" t="s">
        <v>7399</v>
      </c>
      <c r="D1655" s="2" t="s">
        <v>7057</v>
      </c>
      <c r="E1655" s="5">
        <v>528</v>
      </c>
      <c r="F1655" s="2" t="s">
        <v>1880</v>
      </c>
      <c r="G1655" s="2" t="s">
        <v>7401</v>
      </c>
      <c r="H1655" s="2" t="s">
        <v>1577</v>
      </c>
      <c r="I1655" s="4">
        <v>77</v>
      </c>
      <c r="J1655" s="4">
        <v>128</v>
      </c>
      <c r="L1655" s="31">
        <v>8.57</v>
      </c>
      <c r="M1655" s="32">
        <v>23.9</v>
      </c>
      <c r="N1655" s="33">
        <v>9</v>
      </c>
    </row>
    <row r="1656" spans="1:14" x14ac:dyDescent="0.25">
      <c r="A1656" s="30">
        <v>1</v>
      </c>
      <c r="B1656" s="2" t="s">
        <v>7398</v>
      </c>
      <c r="C1656" s="2" t="s">
        <v>7399</v>
      </c>
      <c r="D1656" s="2" t="s">
        <v>7058</v>
      </c>
      <c r="E1656" s="5">
        <v>528</v>
      </c>
      <c r="F1656" s="2" t="s">
        <v>1880</v>
      </c>
      <c r="G1656" s="2" t="s">
        <v>7401</v>
      </c>
      <c r="H1656" s="2" t="s">
        <v>1578</v>
      </c>
      <c r="I1656" s="4">
        <v>61</v>
      </c>
      <c r="J1656" s="4">
        <v>0</v>
      </c>
      <c r="L1656" s="31">
        <v>3.14</v>
      </c>
      <c r="M1656" s="32">
        <v>19.399999999999999</v>
      </c>
      <c r="N1656" s="33">
        <v>19.399999999999999</v>
      </c>
    </row>
    <row r="1657" spans="1:14" x14ac:dyDescent="0.25">
      <c r="A1657" s="30">
        <v>1</v>
      </c>
      <c r="B1657" s="2" t="s">
        <v>7398</v>
      </c>
      <c r="C1657" s="2" t="s">
        <v>7399</v>
      </c>
      <c r="D1657" s="2" t="s">
        <v>7059</v>
      </c>
      <c r="E1657" s="5">
        <v>528</v>
      </c>
      <c r="F1657" s="2" t="s">
        <v>1880</v>
      </c>
      <c r="G1657" s="2" t="s">
        <v>7401</v>
      </c>
      <c r="H1657" s="2" t="s">
        <v>1579</v>
      </c>
      <c r="I1657" s="4">
        <v>52</v>
      </c>
      <c r="J1657" s="4">
        <v>64</v>
      </c>
      <c r="L1657" s="31">
        <v>2.14</v>
      </c>
      <c r="M1657" s="32">
        <v>54.2</v>
      </c>
      <c r="N1657" s="33">
        <v>24.3</v>
      </c>
    </row>
    <row r="1658" spans="1:14" x14ac:dyDescent="0.25">
      <c r="A1658" s="30">
        <v>1</v>
      </c>
      <c r="B1658" s="2" t="s">
        <v>7398</v>
      </c>
      <c r="C1658" s="2" t="s">
        <v>7399</v>
      </c>
      <c r="D1658" s="2" t="s">
        <v>7060</v>
      </c>
      <c r="E1658" s="5">
        <v>528</v>
      </c>
      <c r="F1658" s="2" t="s">
        <v>1880</v>
      </c>
      <c r="G1658" s="2" t="s">
        <v>7401</v>
      </c>
      <c r="H1658" s="2" t="s">
        <v>1580</v>
      </c>
      <c r="I1658" s="4">
        <v>15</v>
      </c>
      <c r="J1658" s="4">
        <v>0</v>
      </c>
      <c r="L1658" s="31">
        <v>0.14000000000000001</v>
      </c>
      <c r="M1658" s="32">
        <v>107.1</v>
      </c>
      <c r="N1658" s="33">
        <v>107.1</v>
      </c>
    </row>
    <row r="1659" spans="1:14" x14ac:dyDescent="0.25">
      <c r="A1659" s="30">
        <v>1</v>
      </c>
      <c r="B1659" s="2" t="s">
        <v>7398</v>
      </c>
      <c r="C1659" s="2" t="s">
        <v>7399</v>
      </c>
      <c r="D1659" s="2" t="s">
        <v>7061</v>
      </c>
      <c r="E1659" s="5">
        <v>528</v>
      </c>
      <c r="F1659" s="2" t="s">
        <v>1880</v>
      </c>
      <c r="G1659" s="2" t="s">
        <v>7401</v>
      </c>
      <c r="H1659" s="2" t="s">
        <v>1581</v>
      </c>
      <c r="I1659" s="4">
        <v>11</v>
      </c>
      <c r="J1659" s="4">
        <v>0</v>
      </c>
      <c r="L1659" s="31">
        <v>0</v>
      </c>
      <c r="M1659" s="32">
        <v>0</v>
      </c>
      <c r="N1659" s="33">
        <v>9999</v>
      </c>
    </row>
    <row r="1660" spans="1:14" x14ac:dyDescent="0.25">
      <c r="A1660" s="30">
        <v>1</v>
      </c>
      <c r="B1660" s="2" t="s">
        <v>7398</v>
      </c>
      <c r="C1660" s="2" t="s">
        <v>7399</v>
      </c>
      <c r="D1660" s="2" t="s">
        <v>7062</v>
      </c>
      <c r="E1660" s="5">
        <v>240</v>
      </c>
      <c r="F1660" s="2" t="s">
        <v>1913</v>
      </c>
      <c r="G1660" s="2" t="s">
        <v>7413</v>
      </c>
      <c r="H1660" s="2" t="s">
        <v>1582</v>
      </c>
      <c r="I1660" s="4">
        <v>0</v>
      </c>
      <c r="J1660" s="4">
        <v>0</v>
      </c>
      <c r="L1660" s="31">
        <v>0</v>
      </c>
      <c r="M1660" s="32">
        <v>0</v>
      </c>
      <c r="N1660" s="33">
        <v>9999</v>
      </c>
    </row>
    <row r="1661" spans="1:14" x14ac:dyDescent="0.25">
      <c r="A1661" s="30">
        <v>1</v>
      </c>
      <c r="B1661" s="2" t="s">
        <v>7398</v>
      </c>
      <c r="C1661" s="2" t="s">
        <v>7399</v>
      </c>
      <c r="D1661" s="2" t="s">
        <v>7063</v>
      </c>
      <c r="E1661" s="5">
        <v>360</v>
      </c>
      <c r="F1661" s="2" t="s">
        <v>1861</v>
      </c>
      <c r="G1661" s="2" t="s">
        <v>7403</v>
      </c>
      <c r="H1661" s="2" t="s">
        <v>1583</v>
      </c>
      <c r="I1661" s="4">
        <v>0</v>
      </c>
      <c r="J1661" s="4">
        <v>0</v>
      </c>
      <c r="L1661" s="31">
        <v>0</v>
      </c>
      <c r="M1661" s="32">
        <v>0</v>
      </c>
      <c r="N1661" s="33">
        <v>9999</v>
      </c>
    </row>
    <row r="1662" spans="1:14" x14ac:dyDescent="0.25">
      <c r="A1662" s="30">
        <v>1</v>
      </c>
      <c r="B1662" s="2" t="s">
        <v>7398</v>
      </c>
      <c r="C1662" s="2" t="s">
        <v>7399</v>
      </c>
      <c r="D1662" s="2" t="s">
        <v>7064</v>
      </c>
      <c r="E1662" s="5">
        <v>420</v>
      </c>
      <c r="F1662" s="2" t="s">
        <v>1968</v>
      </c>
      <c r="G1662" s="2" t="s">
        <v>7410</v>
      </c>
      <c r="H1662" s="2" t="s">
        <v>1584</v>
      </c>
      <c r="I1662" s="4">
        <v>55</v>
      </c>
      <c r="J1662" s="4">
        <v>0</v>
      </c>
      <c r="L1662" s="31">
        <v>4.28</v>
      </c>
      <c r="M1662" s="32">
        <v>12.9</v>
      </c>
      <c r="N1662" s="33">
        <v>12.9</v>
      </c>
    </row>
    <row r="1663" spans="1:14" x14ac:dyDescent="0.25">
      <c r="A1663" s="30">
        <v>1</v>
      </c>
      <c r="B1663" s="2" t="s">
        <v>7398</v>
      </c>
      <c r="C1663" s="2" t="s">
        <v>7399</v>
      </c>
      <c r="D1663" s="2" t="s">
        <v>7065</v>
      </c>
      <c r="E1663" s="5">
        <v>768</v>
      </c>
      <c r="F1663" s="2" t="s">
        <v>1869</v>
      </c>
      <c r="G1663" s="2" t="s">
        <v>7401</v>
      </c>
      <c r="H1663" s="2" t="s">
        <v>1585</v>
      </c>
      <c r="I1663" s="4">
        <v>35</v>
      </c>
      <c r="J1663" s="4">
        <v>0</v>
      </c>
      <c r="L1663" s="31">
        <v>2.85</v>
      </c>
      <c r="M1663" s="32">
        <v>12.3</v>
      </c>
      <c r="N1663" s="33">
        <v>12.3</v>
      </c>
    </row>
    <row r="1664" spans="1:14" x14ac:dyDescent="0.25">
      <c r="A1664" s="30">
        <v>1</v>
      </c>
      <c r="B1664" s="2" t="s">
        <v>7398</v>
      </c>
      <c r="C1664" s="2" t="s">
        <v>7399</v>
      </c>
      <c r="D1664" s="2" t="s">
        <v>7066</v>
      </c>
      <c r="E1664" s="5">
        <v>624</v>
      </c>
      <c r="F1664" s="2" t="s">
        <v>2066</v>
      </c>
      <c r="G1664" s="2" t="s">
        <v>7410</v>
      </c>
      <c r="H1664" s="2" t="s">
        <v>1586</v>
      </c>
      <c r="I1664" s="4">
        <v>0</v>
      </c>
      <c r="J1664" s="4">
        <v>0</v>
      </c>
      <c r="L1664" s="31">
        <v>0</v>
      </c>
      <c r="M1664" s="32">
        <v>0</v>
      </c>
      <c r="N1664" s="33">
        <v>9999</v>
      </c>
    </row>
    <row r="1665" spans="1:14" x14ac:dyDescent="0.25">
      <c r="A1665" s="30">
        <v>1</v>
      </c>
      <c r="B1665" s="2" t="s">
        <v>7398</v>
      </c>
      <c r="C1665" s="2" t="s">
        <v>7399</v>
      </c>
      <c r="D1665" s="2" t="s">
        <v>7067</v>
      </c>
      <c r="E1665" s="5">
        <v>288</v>
      </c>
      <c r="F1665" s="2" t="s">
        <v>2067</v>
      </c>
      <c r="G1665" s="2" t="s">
        <v>7410</v>
      </c>
      <c r="H1665" s="2" t="s">
        <v>1587</v>
      </c>
      <c r="I1665" s="4">
        <v>0</v>
      </c>
      <c r="J1665" s="4">
        <v>0</v>
      </c>
      <c r="L1665" s="31">
        <v>0</v>
      </c>
      <c r="M1665" s="32">
        <v>0</v>
      </c>
      <c r="N1665" s="33">
        <v>9999</v>
      </c>
    </row>
    <row r="1666" spans="1:14" x14ac:dyDescent="0.25">
      <c r="A1666" s="30">
        <v>1</v>
      </c>
      <c r="B1666" s="2" t="s">
        <v>7398</v>
      </c>
      <c r="C1666" s="2" t="s">
        <v>7399</v>
      </c>
      <c r="D1666" s="2" t="s">
        <v>7068</v>
      </c>
      <c r="E1666" s="5">
        <v>324</v>
      </c>
      <c r="F1666" s="2" t="s">
        <v>1933</v>
      </c>
      <c r="G1666" s="2" t="s">
        <v>7410</v>
      </c>
      <c r="H1666" s="2" t="s">
        <v>1588</v>
      </c>
      <c r="I1666" s="4">
        <v>0</v>
      </c>
      <c r="J1666" s="4">
        <v>0</v>
      </c>
      <c r="L1666" s="31">
        <v>0</v>
      </c>
      <c r="M1666" s="32">
        <v>0</v>
      </c>
      <c r="N1666" s="33">
        <v>9999</v>
      </c>
    </row>
    <row r="1667" spans="1:14" x14ac:dyDescent="0.25">
      <c r="A1667" s="30">
        <v>1</v>
      </c>
      <c r="B1667" s="2" t="s">
        <v>7398</v>
      </c>
      <c r="C1667" s="2" t="s">
        <v>7399</v>
      </c>
      <c r="D1667" s="2" t="s">
        <v>7069</v>
      </c>
      <c r="E1667" s="5">
        <v>304</v>
      </c>
      <c r="F1667" s="2" t="s">
        <v>1969</v>
      </c>
      <c r="G1667" s="2" t="s">
        <v>7405</v>
      </c>
      <c r="H1667" s="2" t="s">
        <v>1589</v>
      </c>
      <c r="I1667" s="4">
        <v>0</v>
      </c>
      <c r="J1667" s="4">
        <v>0</v>
      </c>
      <c r="L1667" s="31">
        <v>0</v>
      </c>
      <c r="M1667" s="32">
        <v>0</v>
      </c>
      <c r="N1667" s="33">
        <v>9999</v>
      </c>
    </row>
    <row r="1668" spans="1:14" x14ac:dyDescent="0.25">
      <c r="A1668" s="30">
        <v>1</v>
      </c>
      <c r="B1668" s="2" t="s">
        <v>7398</v>
      </c>
      <c r="C1668" s="2" t="s">
        <v>7399</v>
      </c>
      <c r="D1668" s="2" t="s">
        <v>7070</v>
      </c>
      <c r="E1668" s="5">
        <v>720</v>
      </c>
      <c r="F1668" s="2" t="s">
        <v>5348</v>
      </c>
      <c r="G1668" s="2" t="s">
        <v>7410</v>
      </c>
      <c r="H1668" s="2" t="s">
        <v>5349</v>
      </c>
      <c r="I1668" s="4">
        <v>57</v>
      </c>
      <c r="J1668" s="4">
        <v>0</v>
      </c>
      <c r="L1668" s="31">
        <v>2</v>
      </c>
      <c r="M1668" s="32">
        <v>28.5</v>
      </c>
      <c r="N1668" s="33">
        <v>28.5</v>
      </c>
    </row>
    <row r="1669" spans="1:14" x14ac:dyDescent="0.25">
      <c r="A1669" s="30">
        <v>1</v>
      </c>
      <c r="B1669" s="2" t="s">
        <v>7398</v>
      </c>
      <c r="C1669" s="2" t="s">
        <v>7399</v>
      </c>
      <c r="D1669" s="2" t="s">
        <v>7071</v>
      </c>
      <c r="E1669" s="5">
        <v>18</v>
      </c>
      <c r="F1669" s="2" t="s">
        <v>1882</v>
      </c>
      <c r="G1669" s="2" t="s">
        <v>7409</v>
      </c>
      <c r="H1669" s="2" t="s">
        <v>1590</v>
      </c>
      <c r="I1669" s="4">
        <v>920</v>
      </c>
      <c r="J1669" s="4">
        <v>0</v>
      </c>
      <c r="L1669" s="31">
        <v>8.85</v>
      </c>
      <c r="M1669" s="32">
        <v>104</v>
      </c>
      <c r="N1669" s="33">
        <v>104</v>
      </c>
    </row>
    <row r="1670" spans="1:14" x14ac:dyDescent="0.25">
      <c r="A1670" s="30">
        <v>1</v>
      </c>
      <c r="B1670" s="2" t="s">
        <v>7398</v>
      </c>
      <c r="C1670" s="2" t="s">
        <v>7399</v>
      </c>
      <c r="D1670" s="2" t="s">
        <v>7072</v>
      </c>
      <c r="E1670" s="5">
        <v>12</v>
      </c>
      <c r="F1670" s="2" t="s">
        <v>1881</v>
      </c>
      <c r="G1670" s="2" t="s">
        <v>7409</v>
      </c>
      <c r="H1670" s="2" t="s">
        <v>1591</v>
      </c>
      <c r="I1670" s="4">
        <v>271</v>
      </c>
      <c r="J1670" s="4">
        <v>0</v>
      </c>
      <c r="L1670" s="31">
        <v>5.14</v>
      </c>
      <c r="M1670" s="32">
        <v>52.7</v>
      </c>
      <c r="N1670" s="33">
        <v>52.7</v>
      </c>
    </row>
    <row r="1671" spans="1:14" x14ac:dyDescent="0.25">
      <c r="A1671" s="30">
        <v>1</v>
      </c>
      <c r="B1671" s="2" t="s">
        <v>7398</v>
      </c>
      <c r="C1671" s="2" t="s">
        <v>7399</v>
      </c>
      <c r="D1671" s="2" t="s">
        <v>7073</v>
      </c>
      <c r="E1671" s="5">
        <v>18</v>
      </c>
      <c r="F1671" s="2" t="s">
        <v>1882</v>
      </c>
      <c r="G1671" s="2" t="s">
        <v>7409</v>
      </c>
      <c r="H1671" s="2" t="s">
        <v>1592</v>
      </c>
      <c r="I1671" s="4">
        <v>332</v>
      </c>
      <c r="J1671" s="4">
        <v>0</v>
      </c>
      <c r="L1671" s="31">
        <v>9</v>
      </c>
      <c r="M1671" s="32">
        <v>36.9</v>
      </c>
      <c r="N1671" s="33">
        <v>36.9</v>
      </c>
    </row>
    <row r="1672" spans="1:14" x14ac:dyDescent="0.25">
      <c r="A1672" s="30">
        <v>1</v>
      </c>
      <c r="B1672" s="2" t="s">
        <v>7398</v>
      </c>
      <c r="C1672" s="2" t="s">
        <v>7399</v>
      </c>
      <c r="D1672" s="2" t="s">
        <v>7074</v>
      </c>
      <c r="E1672" s="5">
        <v>12</v>
      </c>
      <c r="F1672" s="2" t="s">
        <v>1881</v>
      </c>
      <c r="G1672" s="2" t="s">
        <v>7409</v>
      </c>
      <c r="H1672" s="2" t="s">
        <v>1593</v>
      </c>
      <c r="I1672" s="4">
        <v>69</v>
      </c>
      <c r="J1672" s="4">
        <v>0</v>
      </c>
      <c r="L1672" s="31">
        <v>6.57</v>
      </c>
      <c r="M1672" s="32">
        <v>10.5</v>
      </c>
      <c r="N1672" s="33">
        <v>10.5</v>
      </c>
    </row>
    <row r="1673" spans="1:14" x14ac:dyDescent="0.25">
      <c r="A1673" s="30">
        <v>1</v>
      </c>
      <c r="B1673" s="2" t="s">
        <v>7398</v>
      </c>
      <c r="C1673" s="2" t="s">
        <v>7399</v>
      </c>
      <c r="D1673" s="2" t="s">
        <v>7075</v>
      </c>
      <c r="E1673" s="5">
        <v>12</v>
      </c>
      <c r="F1673" s="2" t="s">
        <v>5396</v>
      </c>
      <c r="G1673" s="2" t="s">
        <v>7405</v>
      </c>
      <c r="H1673" s="2" t="s">
        <v>5393</v>
      </c>
      <c r="I1673" s="4">
        <v>58</v>
      </c>
      <c r="J1673" s="4">
        <v>1200</v>
      </c>
      <c r="L1673" s="31">
        <v>33.57</v>
      </c>
      <c r="M1673" s="32">
        <v>37.5</v>
      </c>
      <c r="N1673" s="33">
        <v>1.7</v>
      </c>
    </row>
    <row r="1674" spans="1:14" x14ac:dyDescent="0.25">
      <c r="A1674" s="30">
        <v>1</v>
      </c>
      <c r="B1674" s="2" t="s">
        <v>7398</v>
      </c>
      <c r="C1674" s="2" t="s">
        <v>7399</v>
      </c>
      <c r="D1674" s="2" t="s">
        <v>7076</v>
      </c>
      <c r="E1674" s="5">
        <v>12</v>
      </c>
      <c r="F1674" s="2" t="s">
        <v>5396</v>
      </c>
      <c r="G1674" s="2" t="s">
        <v>7405</v>
      </c>
      <c r="H1674" s="2" t="s">
        <v>5394</v>
      </c>
      <c r="I1674" s="4">
        <v>0</v>
      </c>
      <c r="J1674" s="4">
        <v>1200</v>
      </c>
      <c r="L1674" s="31">
        <v>38.14</v>
      </c>
      <c r="M1674" s="32">
        <v>31.5</v>
      </c>
      <c r="N1674" s="33">
        <v>0</v>
      </c>
    </row>
    <row r="1675" spans="1:14" x14ac:dyDescent="0.25">
      <c r="A1675" s="30">
        <v>1</v>
      </c>
      <c r="B1675" s="2" t="s">
        <v>7398</v>
      </c>
      <c r="C1675" s="2" t="s">
        <v>7399</v>
      </c>
      <c r="D1675" s="2" t="s">
        <v>7077</v>
      </c>
      <c r="E1675" s="5">
        <v>12</v>
      </c>
      <c r="F1675" s="2" t="s">
        <v>5396</v>
      </c>
      <c r="G1675" s="2" t="s">
        <v>7405</v>
      </c>
      <c r="H1675" s="2" t="s">
        <v>5395</v>
      </c>
      <c r="I1675" s="4">
        <v>0</v>
      </c>
      <c r="J1675" s="4">
        <v>120</v>
      </c>
      <c r="L1675" s="31">
        <v>17</v>
      </c>
      <c r="M1675" s="32">
        <v>7.1</v>
      </c>
      <c r="N1675" s="33">
        <v>0</v>
      </c>
    </row>
    <row r="1676" spans="1:14" x14ac:dyDescent="0.25">
      <c r="A1676" s="30">
        <v>1</v>
      </c>
      <c r="B1676" s="2" t="s">
        <v>7398</v>
      </c>
      <c r="C1676" s="2" t="s">
        <v>7399</v>
      </c>
      <c r="D1676" s="2" t="s">
        <v>7078</v>
      </c>
      <c r="E1676" s="5">
        <v>24</v>
      </c>
      <c r="F1676" s="2" t="s">
        <v>1930</v>
      </c>
      <c r="G1676" s="2" t="s">
        <v>7413</v>
      </c>
      <c r="H1676" s="2" t="s">
        <v>1594</v>
      </c>
      <c r="I1676" s="4">
        <v>304</v>
      </c>
      <c r="J1676" s="4">
        <v>935</v>
      </c>
      <c r="L1676" s="31">
        <v>31.42</v>
      </c>
      <c r="M1676" s="32">
        <v>39.4</v>
      </c>
      <c r="N1676" s="33">
        <v>9.6999999999999993</v>
      </c>
    </row>
    <row r="1677" spans="1:14" x14ac:dyDescent="0.25">
      <c r="A1677" s="30">
        <v>1</v>
      </c>
      <c r="B1677" s="2" t="s">
        <v>7398</v>
      </c>
      <c r="C1677" s="2" t="s">
        <v>7399</v>
      </c>
      <c r="D1677" s="2" t="s">
        <v>7079</v>
      </c>
      <c r="E1677" s="5">
        <v>24</v>
      </c>
      <c r="F1677" s="2" t="s">
        <v>1930</v>
      </c>
      <c r="G1677" s="2" t="s">
        <v>7413</v>
      </c>
      <c r="H1677" s="2" t="s">
        <v>1595</v>
      </c>
      <c r="I1677" s="4">
        <v>622</v>
      </c>
      <c r="J1677" s="4">
        <v>748</v>
      </c>
      <c r="L1677" s="31">
        <v>46.85</v>
      </c>
      <c r="M1677" s="32">
        <v>29.2</v>
      </c>
      <c r="N1677" s="33">
        <v>13.3</v>
      </c>
    </row>
    <row r="1678" spans="1:14" x14ac:dyDescent="0.25">
      <c r="A1678" s="30">
        <v>1</v>
      </c>
      <c r="B1678" s="2" t="s">
        <v>7398</v>
      </c>
      <c r="C1678" s="2" t="s">
        <v>7399</v>
      </c>
      <c r="D1678" s="2" t="s">
        <v>7080</v>
      </c>
      <c r="E1678" s="5">
        <v>12</v>
      </c>
      <c r="F1678" s="2" t="s">
        <v>2068</v>
      </c>
      <c r="G1678" s="2" t="s">
        <v>7434</v>
      </c>
      <c r="H1678" s="2" t="s">
        <v>1596</v>
      </c>
      <c r="I1678" s="4">
        <v>876</v>
      </c>
      <c r="J1678" s="4">
        <v>5780</v>
      </c>
      <c r="L1678" s="31">
        <v>228</v>
      </c>
      <c r="M1678" s="32">
        <v>29.2</v>
      </c>
      <c r="N1678" s="33">
        <v>3.8</v>
      </c>
    </row>
    <row r="1679" spans="1:14" x14ac:dyDescent="0.25">
      <c r="A1679" s="30">
        <v>1</v>
      </c>
      <c r="B1679" s="2" t="s">
        <v>7398</v>
      </c>
      <c r="C1679" s="2" t="s">
        <v>7399</v>
      </c>
      <c r="D1679" s="2" t="s">
        <v>7081</v>
      </c>
      <c r="E1679" s="5">
        <v>12</v>
      </c>
      <c r="F1679" s="2" t="s">
        <v>2069</v>
      </c>
      <c r="G1679" s="2" t="s">
        <v>7434</v>
      </c>
      <c r="H1679" s="2" t="s">
        <v>1597</v>
      </c>
      <c r="I1679" s="4">
        <v>974</v>
      </c>
      <c r="J1679" s="4">
        <v>4250</v>
      </c>
      <c r="L1679" s="31">
        <v>170.85</v>
      </c>
      <c r="M1679" s="32">
        <v>30.6</v>
      </c>
      <c r="N1679" s="33">
        <v>5.7</v>
      </c>
    </row>
    <row r="1680" spans="1:14" x14ac:dyDescent="0.25">
      <c r="A1680" s="30">
        <v>1</v>
      </c>
      <c r="B1680" s="2" t="s">
        <v>7398</v>
      </c>
      <c r="C1680" s="2" t="s">
        <v>7399</v>
      </c>
      <c r="D1680" s="2" t="s">
        <v>7082</v>
      </c>
      <c r="E1680" s="5">
        <v>12</v>
      </c>
      <c r="F1680" s="2" t="s">
        <v>2068</v>
      </c>
      <c r="G1680" s="2" t="s">
        <v>7434</v>
      </c>
      <c r="H1680" s="2" t="s">
        <v>1598</v>
      </c>
      <c r="I1680" s="4">
        <v>3861</v>
      </c>
      <c r="J1680" s="4">
        <v>14790</v>
      </c>
      <c r="L1680" s="31">
        <v>594.41999999999996</v>
      </c>
      <c r="M1680" s="32">
        <v>31.4</v>
      </c>
      <c r="N1680" s="33">
        <v>6.5</v>
      </c>
    </row>
    <row r="1681" spans="1:14" x14ac:dyDescent="0.25">
      <c r="A1681" s="30">
        <v>1</v>
      </c>
      <c r="B1681" s="2" t="s">
        <v>7398</v>
      </c>
      <c r="C1681" s="2" t="s">
        <v>7399</v>
      </c>
      <c r="D1681" s="2" t="s">
        <v>7083</v>
      </c>
      <c r="E1681" s="5">
        <v>24</v>
      </c>
      <c r="F1681" s="2" t="s">
        <v>1976</v>
      </c>
      <c r="G1681" s="2" t="s">
        <v>7413</v>
      </c>
      <c r="H1681" s="2" t="s">
        <v>1599</v>
      </c>
      <c r="I1681" s="4">
        <v>578</v>
      </c>
      <c r="J1681" s="4">
        <v>800</v>
      </c>
      <c r="L1681" s="31">
        <v>53</v>
      </c>
      <c r="M1681" s="32">
        <v>26</v>
      </c>
      <c r="N1681" s="33">
        <v>10.9</v>
      </c>
    </row>
    <row r="1682" spans="1:14" x14ac:dyDescent="0.25">
      <c r="A1682" s="30">
        <v>1</v>
      </c>
      <c r="B1682" s="2" t="s">
        <v>7398</v>
      </c>
      <c r="C1682" s="2" t="s">
        <v>7399</v>
      </c>
      <c r="D1682" s="2" t="s">
        <v>7084</v>
      </c>
      <c r="E1682" s="5">
        <v>12</v>
      </c>
      <c r="F1682" s="2" t="s">
        <v>1875</v>
      </c>
      <c r="G1682" s="2" t="s">
        <v>7410</v>
      </c>
      <c r="H1682" s="2" t="s">
        <v>1600</v>
      </c>
      <c r="I1682" s="4">
        <v>8</v>
      </c>
      <c r="J1682" s="4">
        <v>91</v>
      </c>
      <c r="L1682" s="31">
        <v>0.85</v>
      </c>
      <c r="M1682" s="32">
        <v>116.5</v>
      </c>
      <c r="N1682" s="33">
        <v>9.4</v>
      </c>
    </row>
    <row r="1683" spans="1:14" x14ac:dyDescent="0.25">
      <c r="A1683" s="30">
        <v>1</v>
      </c>
      <c r="B1683" s="2" t="s">
        <v>7398</v>
      </c>
      <c r="C1683" s="2" t="s">
        <v>7399</v>
      </c>
      <c r="D1683" s="2" t="s">
        <v>7085</v>
      </c>
      <c r="E1683" s="5">
        <v>12</v>
      </c>
      <c r="F1683" s="2" t="s">
        <v>1951</v>
      </c>
      <c r="G1683" s="2" t="s">
        <v>7409</v>
      </c>
      <c r="H1683" s="2" t="s">
        <v>1601</v>
      </c>
      <c r="I1683" s="4">
        <v>1756</v>
      </c>
      <c r="J1683" s="4">
        <v>3564</v>
      </c>
      <c r="L1683" s="31">
        <v>123</v>
      </c>
      <c r="M1683" s="32">
        <v>43.3</v>
      </c>
      <c r="N1683" s="33">
        <v>14.3</v>
      </c>
    </row>
    <row r="1684" spans="1:14" x14ac:dyDescent="0.25">
      <c r="A1684" s="30">
        <v>1</v>
      </c>
      <c r="B1684" s="2" t="s">
        <v>7398</v>
      </c>
      <c r="C1684" s="2" t="s">
        <v>7399</v>
      </c>
      <c r="D1684" s="2" t="s">
        <v>7086</v>
      </c>
      <c r="E1684" s="5">
        <v>12</v>
      </c>
      <c r="F1684" s="2" t="s">
        <v>1944</v>
      </c>
      <c r="G1684" s="2" t="s">
        <v>7409</v>
      </c>
      <c r="H1684" s="2" t="s">
        <v>1602</v>
      </c>
      <c r="I1684" s="4">
        <v>275</v>
      </c>
      <c r="J1684" s="4">
        <v>416</v>
      </c>
      <c r="L1684" s="31">
        <v>15.42</v>
      </c>
      <c r="M1684" s="32">
        <v>44.8</v>
      </c>
      <c r="N1684" s="33">
        <v>17.8</v>
      </c>
    </row>
    <row r="1685" spans="1:14" x14ac:dyDescent="0.25">
      <c r="A1685" s="30">
        <v>1</v>
      </c>
      <c r="B1685" s="2" t="s">
        <v>7398</v>
      </c>
      <c r="C1685" s="2" t="s">
        <v>7399</v>
      </c>
      <c r="D1685" s="2" t="s">
        <v>7087</v>
      </c>
      <c r="E1685" s="5">
        <v>12</v>
      </c>
      <c r="F1685" s="2" t="s">
        <v>2022</v>
      </c>
      <c r="G1685" s="2" t="s">
        <v>7409</v>
      </c>
      <c r="H1685" s="2" t="s">
        <v>1603</v>
      </c>
      <c r="I1685" s="4">
        <v>238</v>
      </c>
      <c r="J1685" s="4">
        <v>180</v>
      </c>
      <c r="L1685" s="31">
        <v>10.14</v>
      </c>
      <c r="M1685" s="32">
        <v>41.2</v>
      </c>
      <c r="N1685" s="33">
        <v>23.5</v>
      </c>
    </row>
    <row r="1686" spans="1:14" x14ac:dyDescent="0.25">
      <c r="A1686" s="30">
        <v>1</v>
      </c>
      <c r="B1686" s="2" t="s">
        <v>7398</v>
      </c>
      <c r="C1686" s="2" t="s">
        <v>7399</v>
      </c>
      <c r="D1686" s="2" t="s">
        <v>7088</v>
      </c>
      <c r="E1686" s="5">
        <v>12</v>
      </c>
      <c r="F1686" s="2" t="s">
        <v>1944</v>
      </c>
      <c r="G1686" s="2" t="s">
        <v>7409</v>
      </c>
      <c r="H1686" s="2" t="s">
        <v>1604</v>
      </c>
      <c r="I1686" s="4">
        <v>14</v>
      </c>
      <c r="J1686" s="4">
        <v>364</v>
      </c>
      <c r="L1686" s="31">
        <v>8.2799999999999994</v>
      </c>
      <c r="M1686" s="32">
        <v>45.7</v>
      </c>
      <c r="N1686" s="33">
        <v>1.7</v>
      </c>
    </row>
    <row r="1687" spans="1:14" x14ac:dyDescent="0.25">
      <c r="A1687" s="30">
        <v>1</v>
      </c>
      <c r="B1687" s="2" t="s">
        <v>7398</v>
      </c>
      <c r="C1687" s="2" t="s">
        <v>7399</v>
      </c>
      <c r="D1687" s="2" t="s">
        <v>7089</v>
      </c>
      <c r="E1687" s="5">
        <v>12</v>
      </c>
      <c r="F1687" s="2" t="s">
        <v>7445</v>
      </c>
      <c r="G1687" s="2" t="s">
        <v>7409</v>
      </c>
      <c r="H1687" s="2" t="s">
        <v>7446</v>
      </c>
      <c r="I1687" s="4">
        <v>321</v>
      </c>
      <c r="J1687" s="4">
        <v>208</v>
      </c>
      <c r="L1687" s="31">
        <v>7.71</v>
      </c>
      <c r="M1687" s="32">
        <v>68.599999999999994</v>
      </c>
      <c r="N1687" s="33">
        <v>41.6</v>
      </c>
    </row>
    <row r="1688" spans="1:14" x14ac:dyDescent="0.25">
      <c r="A1688" s="30">
        <v>1</v>
      </c>
      <c r="B1688" s="2" t="s">
        <v>7398</v>
      </c>
      <c r="C1688" s="2" t="s">
        <v>7399</v>
      </c>
      <c r="D1688" s="2" t="s">
        <v>7090</v>
      </c>
      <c r="E1688" s="5">
        <v>12</v>
      </c>
      <c r="F1688" s="2" t="s">
        <v>1951</v>
      </c>
      <c r="G1688" s="2" t="s">
        <v>7409</v>
      </c>
      <c r="H1688" s="2" t="s">
        <v>1606</v>
      </c>
      <c r="I1688" s="4">
        <v>487</v>
      </c>
      <c r="J1688" s="4">
        <v>1848</v>
      </c>
      <c r="L1688" s="31">
        <v>56.28</v>
      </c>
      <c r="M1688" s="32">
        <v>41.5</v>
      </c>
      <c r="N1688" s="33">
        <v>8.6999999999999993</v>
      </c>
    </row>
    <row r="1689" spans="1:14" x14ac:dyDescent="0.25">
      <c r="A1689" s="30">
        <v>1</v>
      </c>
      <c r="B1689" s="2" t="s">
        <v>7398</v>
      </c>
      <c r="C1689" s="2" t="s">
        <v>7399</v>
      </c>
      <c r="D1689" s="2" t="s">
        <v>7091</v>
      </c>
      <c r="E1689" s="5">
        <v>24</v>
      </c>
      <c r="F1689" s="2" t="s">
        <v>1839</v>
      </c>
      <c r="G1689" s="2" t="s">
        <v>7434</v>
      </c>
      <c r="H1689" s="2" t="s">
        <v>1607</v>
      </c>
      <c r="I1689" s="4">
        <v>259</v>
      </c>
      <c r="J1689" s="4">
        <v>720</v>
      </c>
      <c r="L1689" s="31">
        <v>26.85</v>
      </c>
      <c r="M1689" s="32">
        <v>36.5</v>
      </c>
      <c r="N1689" s="33">
        <v>9.6</v>
      </c>
    </row>
    <row r="1690" spans="1:14" x14ac:dyDescent="0.25">
      <c r="A1690" s="30">
        <v>1</v>
      </c>
      <c r="B1690" s="2" t="s">
        <v>7398</v>
      </c>
      <c r="C1690" s="2" t="s">
        <v>7399</v>
      </c>
      <c r="D1690" s="2" t="s">
        <v>7092</v>
      </c>
      <c r="E1690" s="5">
        <v>16</v>
      </c>
      <c r="F1690" s="2" t="s">
        <v>1839</v>
      </c>
      <c r="G1690" s="2" t="s">
        <v>7434</v>
      </c>
      <c r="H1690" s="2" t="s">
        <v>1608</v>
      </c>
      <c r="I1690" s="4">
        <v>209</v>
      </c>
      <c r="J1690" s="4">
        <v>720</v>
      </c>
      <c r="L1690" s="31">
        <v>21.71</v>
      </c>
      <c r="M1690" s="32">
        <v>42.8</v>
      </c>
      <c r="N1690" s="33">
        <v>9.6</v>
      </c>
    </row>
    <row r="1691" spans="1:14" x14ac:dyDescent="0.25">
      <c r="A1691" s="30">
        <v>1</v>
      </c>
      <c r="B1691" s="2" t="s">
        <v>7398</v>
      </c>
      <c r="C1691" s="2" t="s">
        <v>7399</v>
      </c>
      <c r="D1691" s="2" t="s">
        <v>7093</v>
      </c>
      <c r="E1691" s="5">
        <v>24</v>
      </c>
      <c r="F1691" s="2" t="s">
        <v>1839</v>
      </c>
      <c r="G1691" s="2" t="s">
        <v>7412</v>
      </c>
      <c r="H1691" s="2" t="s">
        <v>1609</v>
      </c>
      <c r="I1691" s="4">
        <v>3322</v>
      </c>
      <c r="J1691" s="4">
        <v>4800</v>
      </c>
      <c r="L1691" s="31">
        <v>316</v>
      </c>
      <c r="M1691" s="32">
        <v>25.7</v>
      </c>
      <c r="N1691" s="33">
        <v>10.5</v>
      </c>
    </row>
    <row r="1692" spans="1:14" x14ac:dyDescent="0.25">
      <c r="A1692" s="30">
        <v>1</v>
      </c>
      <c r="B1692" s="2" t="s">
        <v>7398</v>
      </c>
      <c r="C1692" s="2" t="s">
        <v>7399</v>
      </c>
      <c r="D1692" s="2" t="s">
        <v>7094</v>
      </c>
      <c r="E1692" s="5">
        <v>12</v>
      </c>
      <c r="F1692" s="2" t="s">
        <v>1869</v>
      </c>
      <c r="G1692" s="2" t="s">
        <v>7410</v>
      </c>
      <c r="H1692" s="2" t="s">
        <v>1610</v>
      </c>
      <c r="I1692" s="4">
        <v>87</v>
      </c>
      <c r="J1692" s="4">
        <v>0</v>
      </c>
      <c r="L1692" s="31">
        <v>18.420000000000002</v>
      </c>
      <c r="M1692" s="32">
        <v>4.7</v>
      </c>
      <c r="N1692" s="33">
        <v>4.7</v>
      </c>
    </row>
    <row r="1693" spans="1:14" x14ac:dyDescent="0.25">
      <c r="A1693" s="30">
        <v>1</v>
      </c>
      <c r="B1693" s="2" t="s">
        <v>7398</v>
      </c>
      <c r="C1693" s="2" t="s">
        <v>7399</v>
      </c>
      <c r="D1693" s="2" t="s">
        <v>7095</v>
      </c>
      <c r="E1693" s="5">
        <v>12</v>
      </c>
      <c r="F1693" s="2" t="s">
        <v>1868</v>
      </c>
      <c r="G1693" s="2" t="s">
        <v>7410</v>
      </c>
      <c r="H1693" s="2" t="s">
        <v>1611</v>
      </c>
      <c r="I1693" s="4">
        <v>908</v>
      </c>
      <c r="J1693" s="4">
        <v>0</v>
      </c>
      <c r="L1693" s="31">
        <v>43</v>
      </c>
      <c r="M1693" s="32">
        <v>21.1</v>
      </c>
      <c r="N1693" s="33">
        <v>21.1</v>
      </c>
    </row>
    <row r="1694" spans="1:14" x14ac:dyDescent="0.25">
      <c r="A1694" s="30">
        <v>1</v>
      </c>
      <c r="B1694" s="2" t="s">
        <v>7398</v>
      </c>
      <c r="C1694" s="2" t="s">
        <v>7399</v>
      </c>
      <c r="D1694" s="2" t="s">
        <v>7096</v>
      </c>
      <c r="E1694" s="5">
        <v>12</v>
      </c>
      <c r="F1694" s="2" t="s">
        <v>1868</v>
      </c>
      <c r="G1694" s="2" t="s">
        <v>7410</v>
      </c>
      <c r="H1694" s="2" t="s">
        <v>1612</v>
      </c>
      <c r="I1694" s="4">
        <v>864</v>
      </c>
      <c r="J1694" s="4">
        <v>0</v>
      </c>
      <c r="L1694" s="31">
        <v>44</v>
      </c>
      <c r="M1694" s="32">
        <v>19.600000000000001</v>
      </c>
      <c r="N1694" s="33">
        <v>19.600000000000001</v>
      </c>
    </row>
    <row r="1695" spans="1:14" x14ac:dyDescent="0.25">
      <c r="A1695" s="30">
        <v>1</v>
      </c>
      <c r="B1695" s="2" t="s">
        <v>7398</v>
      </c>
      <c r="C1695" s="2" t="s">
        <v>7399</v>
      </c>
      <c r="D1695" s="2" t="s">
        <v>7097</v>
      </c>
      <c r="E1695" s="5">
        <v>12</v>
      </c>
      <c r="F1695" s="2" t="s">
        <v>1868</v>
      </c>
      <c r="G1695" s="2" t="s">
        <v>7410</v>
      </c>
      <c r="H1695" s="2" t="s">
        <v>1613</v>
      </c>
      <c r="I1695" s="4">
        <v>164</v>
      </c>
      <c r="J1695" s="4">
        <v>0</v>
      </c>
      <c r="L1695" s="31">
        <v>11.57</v>
      </c>
      <c r="M1695" s="32">
        <v>14.2</v>
      </c>
      <c r="N1695" s="33">
        <v>14.2</v>
      </c>
    </row>
    <row r="1696" spans="1:14" x14ac:dyDescent="0.25">
      <c r="A1696" s="30">
        <v>1</v>
      </c>
      <c r="B1696" s="2" t="s">
        <v>7398</v>
      </c>
      <c r="C1696" s="2" t="s">
        <v>7399</v>
      </c>
      <c r="D1696" s="2" t="s">
        <v>7098</v>
      </c>
      <c r="E1696" s="5">
        <v>12</v>
      </c>
      <c r="F1696" s="2" t="s">
        <v>2072</v>
      </c>
      <c r="G1696" s="2" t="s">
        <v>7410</v>
      </c>
      <c r="H1696" s="2" t="s">
        <v>1614</v>
      </c>
      <c r="I1696" s="4">
        <v>0</v>
      </c>
      <c r="J1696" s="4">
        <v>216</v>
      </c>
      <c r="L1696" s="31">
        <v>0.42</v>
      </c>
      <c r="M1696" s="32">
        <v>514.29999999999995</v>
      </c>
      <c r="N1696" s="33">
        <v>0</v>
      </c>
    </row>
    <row r="1697" spans="1:14" x14ac:dyDescent="0.25">
      <c r="A1697" s="30">
        <v>1</v>
      </c>
      <c r="B1697" s="2" t="s">
        <v>7398</v>
      </c>
      <c r="C1697" s="2" t="s">
        <v>7399</v>
      </c>
      <c r="D1697" s="2" t="s">
        <v>7099</v>
      </c>
      <c r="E1697" s="5">
        <v>12</v>
      </c>
      <c r="F1697" s="2" t="s">
        <v>2073</v>
      </c>
      <c r="G1697" s="2" t="s">
        <v>7410</v>
      </c>
      <c r="H1697" s="2" t="s">
        <v>1615</v>
      </c>
      <c r="I1697" s="4">
        <v>103</v>
      </c>
      <c r="J1697" s="4">
        <v>132</v>
      </c>
      <c r="L1697" s="31">
        <v>8.57</v>
      </c>
      <c r="M1697" s="32">
        <v>27.4</v>
      </c>
      <c r="N1697" s="33">
        <v>12</v>
      </c>
    </row>
    <row r="1698" spans="1:14" x14ac:dyDescent="0.25">
      <c r="A1698" s="30">
        <v>1</v>
      </c>
      <c r="B1698" s="2" t="s">
        <v>7398</v>
      </c>
      <c r="C1698" s="2" t="s">
        <v>7399</v>
      </c>
      <c r="D1698" s="2" t="s">
        <v>7100</v>
      </c>
      <c r="E1698" s="5">
        <v>9</v>
      </c>
      <c r="F1698" s="2" t="s">
        <v>1850</v>
      </c>
      <c r="G1698" s="2" t="s">
        <v>7409</v>
      </c>
      <c r="H1698" s="2" t="s">
        <v>1616</v>
      </c>
      <c r="I1698" s="4">
        <v>9375</v>
      </c>
      <c r="J1698" s="4">
        <v>0</v>
      </c>
      <c r="L1698" s="31">
        <v>119</v>
      </c>
      <c r="M1698" s="32">
        <v>78.8</v>
      </c>
      <c r="N1698" s="33">
        <v>78.8</v>
      </c>
    </row>
    <row r="1699" spans="1:14" x14ac:dyDescent="0.25">
      <c r="A1699" s="30">
        <v>1</v>
      </c>
      <c r="B1699" s="2" t="s">
        <v>7398</v>
      </c>
      <c r="C1699" s="2" t="s">
        <v>7399</v>
      </c>
      <c r="D1699" s="2" t="s">
        <v>7101</v>
      </c>
      <c r="E1699" s="5">
        <v>6</v>
      </c>
      <c r="F1699" s="2" t="s">
        <v>2074</v>
      </c>
      <c r="G1699" s="2" t="s">
        <v>7409</v>
      </c>
      <c r="H1699" s="2" t="s">
        <v>1617</v>
      </c>
      <c r="I1699" s="4">
        <v>6674</v>
      </c>
      <c r="J1699" s="4">
        <v>0</v>
      </c>
      <c r="L1699" s="31">
        <v>77.849999999999994</v>
      </c>
      <c r="M1699" s="32">
        <v>85.7</v>
      </c>
      <c r="N1699" s="33">
        <v>85.7</v>
      </c>
    </row>
    <row r="1700" spans="1:14" x14ac:dyDescent="0.25">
      <c r="A1700" s="30">
        <v>1</v>
      </c>
      <c r="B1700" s="2" t="s">
        <v>7398</v>
      </c>
      <c r="C1700" s="2" t="s">
        <v>7399</v>
      </c>
      <c r="D1700" s="2" t="s">
        <v>7102</v>
      </c>
      <c r="E1700" s="5">
        <v>12</v>
      </c>
      <c r="F1700" s="2" t="s">
        <v>1868</v>
      </c>
      <c r="G1700" s="2" t="s">
        <v>7410</v>
      </c>
      <c r="H1700" s="2" t="s">
        <v>1618</v>
      </c>
      <c r="I1700" s="4">
        <v>186</v>
      </c>
      <c r="J1700" s="4">
        <v>0</v>
      </c>
      <c r="L1700" s="31">
        <v>13.71</v>
      </c>
      <c r="M1700" s="32">
        <v>13.6</v>
      </c>
      <c r="N1700" s="33">
        <v>13.6</v>
      </c>
    </row>
    <row r="1701" spans="1:14" x14ac:dyDescent="0.25">
      <c r="A1701" s="30">
        <v>1</v>
      </c>
      <c r="B1701" s="2" t="s">
        <v>7398</v>
      </c>
      <c r="C1701" s="2" t="s">
        <v>7399</v>
      </c>
      <c r="D1701" s="2" t="s">
        <v>7103</v>
      </c>
      <c r="E1701" s="5">
        <v>12</v>
      </c>
      <c r="F1701" s="2" t="s">
        <v>2075</v>
      </c>
      <c r="G1701" s="2" t="s">
        <v>7409</v>
      </c>
      <c r="H1701" s="2" t="s">
        <v>1619</v>
      </c>
      <c r="I1701" s="4">
        <v>9</v>
      </c>
      <c r="J1701" s="4">
        <v>50</v>
      </c>
      <c r="L1701" s="31">
        <v>2</v>
      </c>
      <c r="M1701" s="32">
        <v>29.5</v>
      </c>
      <c r="N1701" s="33">
        <v>4.5</v>
      </c>
    </row>
    <row r="1702" spans="1:14" x14ac:dyDescent="0.25">
      <c r="A1702" s="30">
        <v>1</v>
      </c>
      <c r="B1702" s="2" t="s">
        <v>7398</v>
      </c>
      <c r="C1702" s="2" t="s">
        <v>7399</v>
      </c>
      <c r="D1702" s="2" t="s">
        <v>7104</v>
      </c>
      <c r="E1702" s="5">
        <v>12</v>
      </c>
      <c r="F1702" s="2" t="s">
        <v>1868</v>
      </c>
      <c r="G1702" s="2" t="s">
        <v>7410</v>
      </c>
      <c r="H1702" s="2" t="s">
        <v>1620</v>
      </c>
      <c r="I1702" s="4">
        <v>283</v>
      </c>
      <c r="J1702" s="4">
        <v>0</v>
      </c>
      <c r="L1702" s="31">
        <v>7.71</v>
      </c>
      <c r="M1702" s="32">
        <v>36.700000000000003</v>
      </c>
      <c r="N1702" s="33">
        <v>36.700000000000003</v>
      </c>
    </row>
    <row r="1703" spans="1:14" x14ac:dyDescent="0.25">
      <c r="A1703" s="30">
        <v>1</v>
      </c>
      <c r="B1703" s="2" t="s">
        <v>7398</v>
      </c>
      <c r="C1703" s="2" t="s">
        <v>7399</v>
      </c>
      <c r="D1703" s="2" t="s">
        <v>7105</v>
      </c>
      <c r="E1703" s="5">
        <v>12</v>
      </c>
      <c r="F1703" s="2" t="s">
        <v>1868</v>
      </c>
      <c r="G1703" s="2" t="s">
        <v>7410</v>
      </c>
      <c r="H1703" s="2" t="s">
        <v>1621</v>
      </c>
      <c r="I1703" s="4">
        <v>197</v>
      </c>
      <c r="J1703" s="4">
        <v>0</v>
      </c>
      <c r="L1703" s="31">
        <v>19.57</v>
      </c>
      <c r="M1703" s="32">
        <v>10.1</v>
      </c>
      <c r="N1703" s="33">
        <v>10.1</v>
      </c>
    </row>
    <row r="1704" spans="1:14" x14ac:dyDescent="0.25">
      <c r="A1704" s="30">
        <v>1</v>
      </c>
      <c r="B1704" s="2" t="s">
        <v>7398</v>
      </c>
      <c r="C1704" s="2" t="s">
        <v>7399</v>
      </c>
      <c r="D1704" s="2" t="s">
        <v>7106</v>
      </c>
      <c r="E1704" s="5">
        <v>12</v>
      </c>
      <c r="F1704" s="2" t="s">
        <v>1868</v>
      </c>
      <c r="G1704" s="2" t="s">
        <v>7410</v>
      </c>
      <c r="H1704" s="2" t="s">
        <v>1622</v>
      </c>
      <c r="I1704" s="4">
        <v>1979</v>
      </c>
      <c r="J1704" s="4">
        <v>0</v>
      </c>
      <c r="L1704" s="31">
        <v>64.28</v>
      </c>
      <c r="M1704" s="32">
        <v>30.8</v>
      </c>
      <c r="N1704" s="33">
        <v>30.8</v>
      </c>
    </row>
    <row r="1705" spans="1:14" x14ac:dyDescent="0.25">
      <c r="A1705" s="30">
        <v>1</v>
      </c>
      <c r="B1705" s="2" t="s">
        <v>7398</v>
      </c>
      <c r="C1705" s="2" t="s">
        <v>7399</v>
      </c>
      <c r="D1705" s="2" t="s">
        <v>7107</v>
      </c>
      <c r="E1705" s="5">
        <v>16</v>
      </c>
      <c r="F1705" s="2" t="s">
        <v>2076</v>
      </c>
      <c r="G1705" s="2" t="s">
        <v>7409</v>
      </c>
      <c r="H1705" s="2" t="s">
        <v>1623</v>
      </c>
      <c r="I1705" s="4">
        <v>102</v>
      </c>
      <c r="J1705" s="4">
        <v>420</v>
      </c>
      <c r="L1705" s="31">
        <v>113.85</v>
      </c>
      <c r="M1705" s="32">
        <v>4.5999999999999996</v>
      </c>
      <c r="N1705" s="33">
        <v>0.9</v>
      </c>
    </row>
    <row r="1706" spans="1:14" x14ac:dyDescent="0.25">
      <c r="A1706" s="30">
        <v>1</v>
      </c>
      <c r="B1706" s="2" t="s">
        <v>7398</v>
      </c>
      <c r="C1706" s="2" t="s">
        <v>7399</v>
      </c>
      <c r="D1706" s="2" t="s">
        <v>7108</v>
      </c>
      <c r="E1706" s="5">
        <v>12</v>
      </c>
      <c r="F1706" s="2" t="s">
        <v>2077</v>
      </c>
      <c r="G1706" s="2" t="s">
        <v>7410</v>
      </c>
      <c r="H1706" s="2" t="s">
        <v>1624</v>
      </c>
      <c r="I1706" s="4">
        <v>1303</v>
      </c>
      <c r="J1706" s="4">
        <v>0</v>
      </c>
      <c r="L1706" s="31">
        <v>6.57</v>
      </c>
      <c r="M1706" s="32">
        <v>198.3</v>
      </c>
      <c r="N1706" s="33">
        <v>198.3</v>
      </c>
    </row>
    <row r="1707" spans="1:14" x14ac:dyDescent="0.25">
      <c r="A1707" s="30">
        <v>1</v>
      </c>
      <c r="B1707" s="2" t="s">
        <v>7398</v>
      </c>
      <c r="C1707" s="2" t="s">
        <v>7399</v>
      </c>
      <c r="D1707" s="2" t="s">
        <v>7109</v>
      </c>
      <c r="E1707" s="5">
        <v>12</v>
      </c>
      <c r="F1707" s="2" t="s">
        <v>1849</v>
      </c>
      <c r="G1707" s="2" t="s">
        <v>7410</v>
      </c>
      <c r="H1707" s="2" t="s">
        <v>1625</v>
      </c>
      <c r="I1707" s="4">
        <v>83</v>
      </c>
      <c r="J1707" s="4">
        <v>765</v>
      </c>
      <c r="L1707" s="31">
        <v>26</v>
      </c>
      <c r="M1707" s="32">
        <v>32.6</v>
      </c>
      <c r="N1707" s="33">
        <v>3.2</v>
      </c>
    </row>
    <row r="1708" spans="1:14" x14ac:dyDescent="0.25">
      <c r="A1708" s="30">
        <v>1</v>
      </c>
      <c r="B1708" s="2" t="s">
        <v>7398</v>
      </c>
      <c r="C1708" s="2" t="s">
        <v>7399</v>
      </c>
      <c r="D1708" s="2" t="s">
        <v>7110</v>
      </c>
      <c r="E1708" s="5">
        <v>12</v>
      </c>
      <c r="F1708" s="2" t="s">
        <v>1879</v>
      </c>
      <c r="G1708" s="2" t="s">
        <v>7409</v>
      </c>
      <c r="H1708" s="2" t="s">
        <v>1626</v>
      </c>
      <c r="I1708" s="4">
        <v>274</v>
      </c>
      <c r="J1708" s="4">
        <v>2982</v>
      </c>
      <c r="L1708" s="31">
        <v>154.41999999999999</v>
      </c>
      <c r="M1708" s="32">
        <v>21.1</v>
      </c>
      <c r="N1708" s="33">
        <v>1.8</v>
      </c>
    </row>
    <row r="1709" spans="1:14" x14ac:dyDescent="0.25">
      <c r="A1709" s="30">
        <v>1</v>
      </c>
      <c r="B1709" s="2" t="s">
        <v>7398</v>
      </c>
      <c r="C1709" s="2" t="s">
        <v>7399</v>
      </c>
      <c r="D1709" s="2" t="s">
        <v>7111</v>
      </c>
      <c r="E1709" s="5">
        <v>12</v>
      </c>
      <c r="F1709" s="2" t="s">
        <v>1855</v>
      </c>
      <c r="G1709" s="2" t="s">
        <v>7409</v>
      </c>
      <c r="H1709" s="2" t="s">
        <v>1627</v>
      </c>
      <c r="I1709" s="4">
        <v>523</v>
      </c>
      <c r="J1709" s="4">
        <v>640</v>
      </c>
      <c r="L1709" s="31">
        <v>227.28</v>
      </c>
      <c r="M1709" s="32">
        <v>5.0999999999999996</v>
      </c>
      <c r="N1709" s="33">
        <v>2.2999999999999998</v>
      </c>
    </row>
    <row r="1710" spans="1:14" x14ac:dyDescent="0.25">
      <c r="A1710" s="30">
        <v>1</v>
      </c>
      <c r="B1710" s="2" t="s">
        <v>7398</v>
      </c>
      <c r="C1710" s="2" t="s">
        <v>7399</v>
      </c>
      <c r="D1710" s="2" t="s">
        <v>7112</v>
      </c>
      <c r="E1710" s="5">
        <v>6</v>
      </c>
      <c r="F1710" s="2" t="s">
        <v>1907</v>
      </c>
      <c r="G1710" s="2" t="s">
        <v>7409</v>
      </c>
      <c r="H1710" s="2" t="s">
        <v>1628</v>
      </c>
      <c r="I1710" s="4">
        <v>0</v>
      </c>
      <c r="J1710" s="4">
        <v>252</v>
      </c>
      <c r="L1710" s="31">
        <v>21</v>
      </c>
      <c r="M1710" s="32">
        <v>12</v>
      </c>
      <c r="N1710" s="33">
        <v>0</v>
      </c>
    </row>
    <row r="1711" spans="1:14" x14ac:dyDescent="0.25">
      <c r="A1711" s="30">
        <v>1</v>
      </c>
      <c r="B1711" s="2" t="s">
        <v>7398</v>
      </c>
      <c r="C1711" s="2" t="s">
        <v>7399</v>
      </c>
      <c r="D1711" s="2" t="s">
        <v>7113</v>
      </c>
      <c r="E1711" s="5">
        <v>16</v>
      </c>
      <c r="F1711" s="2" t="s">
        <v>2078</v>
      </c>
      <c r="G1711" s="2" t="s">
        <v>7409</v>
      </c>
      <c r="H1711" s="2" t="s">
        <v>1629</v>
      </c>
      <c r="I1711" s="4">
        <v>216</v>
      </c>
      <c r="J1711" s="4">
        <v>880</v>
      </c>
      <c r="L1711" s="31">
        <v>146</v>
      </c>
      <c r="M1711" s="32">
        <v>7.5</v>
      </c>
      <c r="N1711" s="33">
        <v>1.5</v>
      </c>
    </row>
    <row r="1712" spans="1:14" x14ac:dyDescent="0.25">
      <c r="A1712" s="30">
        <v>1</v>
      </c>
      <c r="B1712" s="2" t="s">
        <v>7398</v>
      </c>
      <c r="C1712" s="2" t="s">
        <v>7399</v>
      </c>
      <c r="D1712" s="2" t="s">
        <v>7114</v>
      </c>
      <c r="E1712" s="5">
        <v>12</v>
      </c>
      <c r="F1712" s="2" t="s">
        <v>1922</v>
      </c>
      <c r="G1712" s="2" t="s">
        <v>7410</v>
      </c>
      <c r="H1712" s="2" t="s">
        <v>1630</v>
      </c>
      <c r="I1712" s="4">
        <v>8049</v>
      </c>
      <c r="J1712" s="4">
        <v>11940</v>
      </c>
      <c r="L1712" s="31">
        <v>1482.85</v>
      </c>
      <c r="M1712" s="32">
        <v>13.5</v>
      </c>
      <c r="N1712" s="33">
        <v>5.4</v>
      </c>
    </row>
    <row r="1713" spans="1:14" x14ac:dyDescent="0.25">
      <c r="A1713" s="30">
        <v>1</v>
      </c>
      <c r="B1713" s="2" t="s">
        <v>7398</v>
      </c>
      <c r="C1713" s="2" t="s">
        <v>7399</v>
      </c>
      <c r="D1713" s="2" t="s">
        <v>7115</v>
      </c>
      <c r="E1713" s="5">
        <v>16</v>
      </c>
      <c r="F1713" s="2" t="s">
        <v>1849</v>
      </c>
      <c r="G1713" s="2" t="s">
        <v>7409</v>
      </c>
      <c r="H1713" s="2" t="s">
        <v>1631</v>
      </c>
      <c r="I1713" s="4">
        <v>2086</v>
      </c>
      <c r="J1713" s="4">
        <v>2750</v>
      </c>
      <c r="L1713" s="31">
        <v>383</v>
      </c>
      <c r="M1713" s="32">
        <v>12.6</v>
      </c>
      <c r="N1713" s="33">
        <v>5.4</v>
      </c>
    </row>
    <row r="1714" spans="1:14" x14ac:dyDescent="0.25">
      <c r="A1714" s="30">
        <v>1</v>
      </c>
      <c r="B1714" s="2" t="s">
        <v>7398</v>
      </c>
      <c r="C1714" s="2" t="s">
        <v>7399</v>
      </c>
      <c r="D1714" s="2" t="s">
        <v>7116</v>
      </c>
      <c r="E1714" s="5">
        <v>27</v>
      </c>
      <c r="F1714" s="2" t="s">
        <v>1938</v>
      </c>
      <c r="G1714" s="2" t="s">
        <v>7409</v>
      </c>
      <c r="H1714" s="2" t="s">
        <v>1632</v>
      </c>
      <c r="I1714" s="4">
        <v>1468</v>
      </c>
      <c r="J1714" s="4">
        <v>881</v>
      </c>
      <c r="L1714" s="31">
        <v>42</v>
      </c>
      <c r="M1714" s="32">
        <v>55.9</v>
      </c>
      <c r="N1714" s="33">
        <v>35</v>
      </c>
    </row>
    <row r="1715" spans="1:14" x14ac:dyDescent="0.25">
      <c r="A1715" s="30">
        <v>1</v>
      </c>
      <c r="B1715" s="2" t="s">
        <v>7398</v>
      </c>
      <c r="C1715" s="2" t="s">
        <v>7399</v>
      </c>
      <c r="D1715" s="2" t="s">
        <v>7117</v>
      </c>
      <c r="E1715" s="5">
        <v>16</v>
      </c>
      <c r="F1715" s="2" t="s">
        <v>1845</v>
      </c>
      <c r="G1715" s="2" t="s">
        <v>7409</v>
      </c>
      <c r="H1715" s="2" t="s">
        <v>1633</v>
      </c>
      <c r="I1715" s="4">
        <v>328</v>
      </c>
      <c r="J1715" s="4">
        <v>270</v>
      </c>
      <c r="L1715" s="31">
        <v>43.28</v>
      </c>
      <c r="M1715" s="32">
        <v>13.8</v>
      </c>
      <c r="N1715" s="33">
        <v>7.6</v>
      </c>
    </row>
    <row r="1716" spans="1:14" x14ac:dyDescent="0.25">
      <c r="A1716" s="30">
        <v>1</v>
      </c>
      <c r="B1716" s="2" t="s">
        <v>7398</v>
      </c>
      <c r="C1716" s="2" t="s">
        <v>7399</v>
      </c>
      <c r="D1716" s="2" t="s">
        <v>7118</v>
      </c>
      <c r="E1716" s="5">
        <v>24</v>
      </c>
      <c r="F1716" s="2" t="s">
        <v>1882</v>
      </c>
      <c r="G1716" s="2" t="s">
        <v>7409</v>
      </c>
      <c r="H1716" s="2" t="s">
        <v>1634</v>
      </c>
      <c r="I1716" s="4">
        <v>32025</v>
      </c>
      <c r="J1716" s="4">
        <v>1560</v>
      </c>
      <c r="L1716" s="31">
        <v>527.85</v>
      </c>
      <c r="M1716" s="32">
        <v>63.6</v>
      </c>
      <c r="N1716" s="33">
        <v>60.7</v>
      </c>
    </row>
    <row r="1717" spans="1:14" x14ac:dyDescent="0.25">
      <c r="A1717" s="30">
        <v>1</v>
      </c>
      <c r="B1717" s="2" t="s">
        <v>7398</v>
      </c>
      <c r="C1717" s="2" t="s">
        <v>7399</v>
      </c>
      <c r="D1717" s="2" t="s">
        <v>7119</v>
      </c>
      <c r="E1717" s="5">
        <v>6</v>
      </c>
      <c r="F1717" s="2" t="s">
        <v>1907</v>
      </c>
      <c r="G1717" s="2" t="s">
        <v>7409</v>
      </c>
      <c r="H1717" s="2" t="s">
        <v>1635</v>
      </c>
      <c r="I1717" s="4">
        <v>29173</v>
      </c>
      <c r="J1717" s="4">
        <v>7687</v>
      </c>
      <c r="L1717" s="31">
        <v>2490.2800000000002</v>
      </c>
      <c r="M1717" s="32">
        <v>14.8</v>
      </c>
      <c r="N1717" s="33">
        <v>11.7</v>
      </c>
    </row>
    <row r="1718" spans="1:14" x14ac:dyDescent="0.25">
      <c r="A1718" s="30">
        <v>1</v>
      </c>
      <c r="B1718" s="2" t="s">
        <v>7398</v>
      </c>
      <c r="C1718" s="2" t="s">
        <v>7399</v>
      </c>
      <c r="D1718" s="2" t="s">
        <v>7120</v>
      </c>
      <c r="E1718" s="5">
        <v>20</v>
      </c>
      <c r="F1718" s="2" t="s">
        <v>1845</v>
      </c>
      <c r="G1718" s="2" t="s">
        <v>7409</v>
      </c>
      <c r="H1718" s="2" t="s">
        <v>1636</v>
      </c>
      <c r="I1718" s="4">
        <v>8694</v>
      </c>
      <c r="J1718" s="4">
        <v>5625</v>
      </c>
      <c r="L1718" s="31">
        <v>1219.71</v>
      </c>
      <c r="M1718" s="32">
        <v>11.7</v>
      </c>
      <c r="N1718" s="33">
        <v>7.1</v>
      </c>
    </row>
    <row r="1719" spans="1:14" x14ac:dyDescent="0.25">
      <c r="A1719" s="30">
        <v>1</v>
      </c>
      <c r="B1719" s="2" t="s">
        <v>7398</v>
      </c>
      <c r="C1719" s="2" t="s">
        <v>7399</v>
      </c>
      <c r="D1719" s="2" t="s">
        <v>7121</v>
      </c>
      <c r="E1719" s="5">
        <v>12</v>
      </c>
      <c r="F1719" s="2" t="s">
        <v>1910</v>
      </c>
      <c r="G1719" s="2" t="s">
        <v>7409</v>
      </c>
      <c r="H1719" s="2" t="s">
        <v>1637</v>
      </c>
      <c r="I1719" s="4">
        <v>1122</v>
      </c>
      <c r="J1719" s="4">
        <v>630</v>
      </c>
      <c r="L1719" s="31">
        <v>131</v>
      </c>
      <c r="M1719" s="32">
        <v>13.4</v>
      </c>
      <c r="N1719" s="33">
        <v>8.6</v>
      </c>
    </row>
    <row r="1720" spans="1:14" x14ac:dyDescent="0.25">
      <c r="A1720" s="30">
        <v>1</v>
      </c>
      <c r="B1720" s="2" t="s">
        <v>7398</v>
      </c>
      <c r="C1720" s="2" t="s">
        <v>7399</v>
      </c>
      <c r="D1720" s="2" t="s">
        <v>7122</v>
      </c>
      <c r="E1720" s="5">
        <v>16</v>
      </c>
      <c r="F1720" s="2" t="s">
        <v>1845</v>
      </c>
      <c r="G1720" s="2" t="s">
        <v>7409</v>
      </c>
      <c r="H1720" s="2" t="s">
        <v>1638</v>
      </c>
      <c r="I1720" s="4">
        <v>296</v>
      </c>
      <c r="J1720" s="4">
        <v>90</v>
      </c>
      <c r="L1720" s="31">
        <v>36</v>
      </c>
      <c r="M1720" s="32">
        <v>10.7</v>
      </c>
      <c r="N1720" s="33">
        <v>8.1999999999999993</v>
      </c>
    </row>
    <row r="1721" spans="1:14" x14ac:dyDescent="0.25">
      <c r="A1721" s="30">
        <v>1</v>
      </c>
      <c r="B1721" s="2" t="s">
        <v>7398</v>
      </c>
      <c r="C1721" s="2" t="s">
        <v>7399</v>
      </c>
      <c r="D1721" s="2" t="s">
        <v>7123</v>
      </c>
      <c r="E1721" s="5">
        <v>6</v>
      </c>
      <c r="F1721" s="2" t="s">
        <v>1881</v>
      </c>
      <c r="G1721" s="2" t="s">
        <v>7420</v>
      </c>
      <c r="H1721" s="2" t="s">
        <v>1639</v>
      </c>
      <c r="I1721" s="4">
        <v>770</v>
      </c>
      <c r="J1721" s="4">
        <v>156</v>
      </c>
      <c r="L1721" s="31">
        <v>44.71</v>
      </c>
      <c r="M1721" s="32">
        <v>20.7</v>
      </c>
      <c r="N1721" s="33">
        <v>17.2</v>
      </c>
    </row>
    <row r="1722" spans="1:14" x14ac:dyDescent="0.25">
      <c r="A1722" s="30">
        <v>1</v>
      </c>
      <c r="B1722" s="2" t="s">
        <v>7398</v>
      </c>
      <c r="C1722" s="2" t="s">
        <v>7399</v>
      </c>
      <c r="D1722" s="2" t="s">
        <v>7124</v>
      </c>
      <c r="E1722" s="5">
        <v>12</v>
      </c>
      <c r="F1722" s="2" t="s">
        <v>1882</v>
      </c>
      <c r="G1722" s="2" t="s">
        <v>7420</v>
      </c>
      <c r="H1722" s="2" t="s">
        <v>1640</v>
      </c>
      <c r="I1722" s="4">
        <v>1850</v>
      </c>
      <c r="J1722" s="4">
        <v>390</v>
      </c>
      <c r="L1722" s="31">
        <v>114.42</v>
      </c>
      <c r="M1722" s="32">
        <v>19.600000000000001</v>
      </c>
      <c r="N1722" s="33">
        <v>16.2</v>
      </c>
    </row>
    <row r="1723" spans="1:14" x14ac:dyDescent="0.25">
      <c r="A1723" s="30">
        <v>1</v>
      </c>
      <c r="B1723" s="2" t="s">
        <v>7398</v>
      </c>
      <c r="C1723" s="2" t="s">
        <v>7399</v>
      </c>
      <c r="D1723" s="2" t="s">
        <v>7125</v>
      </c>
      <c r="E1723" s="5">
        <v>24</v>
      </c>
      <c r="F1723" s="2" t="s">
        <v>1866</v>
      </c>
      <c r="G1723" s="2" t="s">
        <v>7420</v>
      </c>
      <c r="H1723" s="2" t="s">
        <v>1641</v>
      </c>
      <c r="I1723" s="4">
        <v>279</v>
      </c>
      <c r="J1723" s="4">
        <v>0</v>
      </c>
      <c r="L1723" s="31">
        <v>13.85</v>
      </c>
      <c r="M1723" s="32">
        <v>20.100000000000001</v>
      </c>
      <c r="N1723" s="33">
        <v>20.100000000000001</v>
      </c>
    </row>
    <row r="1724" spans="1:14" x14ac:dyDescent="0.25">
      <c r="A1724" s="30">
        <v>1</v>
      </c>
      <c r="B1724" s="2" t="s">
        <v>7398</v>
      </c>
      <c r="C1724" s="2" t="s">
        <v>7399</v>
      </c>
      <c r="D1724" s="2" t="s">
        <v>7126</v>
      </c>
      <c r="E1724" s="5">
        <v>12</v>
      </c>
      <c r="F1724" s="2" t="s">
        <v>2079</v>
      </c>
      <c r="G1724" s="2" t="s">
        <v>7409</v>
      </c>
      <c r="H1724" s="2" t="s">
        <v>1642</v>
      </c>
      <c r="I1724" s="4">
        <v>149</v>
      </c>
      <c r="J1724" s="4">
        <v>160</v>
      </c>
      <c r="L1724" s="31">
        <v>33.28</v>
      </c>
      <c r="M1724" s="32">
        <v>9.3000000000000007</v>
      </c>
      <c r="N1724" s="33">
        <v>4.5</v>
      </c>
    </row>
    <row r="1725" spans="1:14" x14ac:dyDescent="0.25">
      <c r="A1725" s="30">
        <v>1</v>
      </c>
      <c r="B1725" s="2" t="s">
        <v>7398</v>
      </c>
      <c r="C1725" s="2" t="s">
        <v>7399</v>
      </c>
      <c r="D1725" s="2" t="s">
        <v>7127</v>
      </c>
      <c r="E1725" s="5">
        <v>12</v>
      </c>
      <c r="F1725" s="2" t="s">
        <v>2080</v>
      </c>
      <c r="G1725" s="2" t="s">
        <v>7409</v>
      </c>
      <c r="H1725" s="2" t="s">
        <v>1643</v>
      </c>
      <c r="I1725" s="4">
        <v>91</v>
      </c>
      <c r="J1725" s="4">
        <v>280</v>
      </c>
      <c r="L1725" s="31">
        <v>40.42</v>
      </c>
      <c r="M1725" s="32">
        <v>9.1999999999999993</v>
      </c>
      <c r="N1725" s="33">
        <v>2.2999999999999998</v>
      </c>
    </row>
    <row r="1726" spans="1:14" x14ac:dyDescent="0.25">
      <c r="A1726" s="30">
        <v>1</v>
      </c>
      <c r="B1726" s="2" t="s">
        <v>7398</v>
      </c>
      <c r="C1726" s="2" t="s">
        <v>7399</v>
      </c>
      <c r="D1726" s="2" t="s">
        <v>7128</v>
      </c>
      <c r="E1726" s="5">
        <v>24</v>
      </c>
      <c r="F1726" s="2" t="s">
        <v>1882</v>
      </c>
      <c r="G1726" s="2" t="s">
        <v>7409</v>
      </c>
      <c r="H1726" s="2" t="s">
        <v>1644</v>
      </c>
      <c r="I1726" s="4">
        <v>3253</v>
      </c>
      <c r="J1726" s="4">
        <v>2580</v>
      </c>
      <c r="L1726" s="31">
        <v>941.42</v>
      </c>
      <c r="M1726" s="32">
        <v>6.2</v>
      </c>
      <c r="N1726" s="33">
        <v>3.5</v>
      </c>
    </row>
    <row r="1727" spans="1:14" x14ac:dyDescent="0.25">
      <c r="A1727" s="30">
        <v>1</v>
      </c>
      <c r="B1727" s="2" t="s">
        <v>7398</v>
      </c>
      <c r="C1727" s="2" t="s">
        <v>7399</v>
      </c>
      <c r="D1727" s="2" t="s">
        <v>7129</v>
      </c>
      <c r="E1727" s="5">
        <v>24</v>
      </c>
      <c r="F1727" s="2" t="s">
        <v>1882</v>
      </c>
      <c r="G1727" s="2" t="s">
        <v>7409</v>
      </c>
      <c r="H1727" s="2" t="s">
        <v>1645</v>
      </c>
      <c r="I1727" s="4">
        <v>713</v>
      </c>
      <c r="J1727" s="4">
        <v>720</v>
      </c>
      <c r="L1727" s="31">
        <v>216.71</v>
      </c>
      <c r="M1727" s="32">
        <v>6.6</v>
      </c>
      <c r="N1727" s="33">
        <v>3.3</v>
      </c>
    </row>
    <row r="1728" spans="1:14" x14ac:dyDescent="0.25">
      <c r="A1728" s="30">
        <v>1</v>
      </c>
      <c r="B1728" s="2" t="s">
        <v>7398</v>
      </c>
      <c r="C1728" s="2" t="s">
        <v>7399</v>
      </c>
      <c r="D1728" s="2" t="s">
        <v>7130</v>
      </c>
      <c r="E1728" s="5">
        <v>24</v>
      </c>
      <c r="F1728" s="2" t="s">
        <v>1866</v>
      </c>
      <c r="G1728" s="2" t="s">
        <v>7420</v>
      </c>
      <c r="H1728" s="2" t="s">
        <v>1646</v>
      </c>
      <c r="I1728" s="4">
        <v>770</v>
      </c>
      <c r="J1728" s="4">
        <v>260</v>
      </c>
      <c r="L1728" s="31">
        <v>52.57</v>
      </c>
      <c r="M1728" s="32">
        <v>19.600000000000001</v>
      </c>
      <c r="N1728" s="33">
        <v>14.6</v>
      </c>
    </row>
    <row r="1729" spans="1:14" x14ac:dyDescent="0.25">
      <c r="A1729" s="30">
        <v>1</v>
      </c>
      <c r="B1729" s="2" t="s">
        <v>7398</v>
      </c>
      <c r="C1729" s="2" t="s">
        <v>7399</v>
      </c>
      <c r="D1729" s="2" t="s">
        <v>7131</v>
      </c>
      <c r="E1729" s="5">
        <v>12</v>
      </c>
      <c r="F1729" s="2" t="s">
        <v>1882</v>
      </c>
      <c r="G1729" s="2" t="s">
        <v>7434</v>
      </c>
      <c r="H1729" s="2" t="s">
        <v>1647</v>
      </c>
      <c r="I1729" s="4">
        <v>7697</v>
      </c>
      <c r="J1729" s="4">
        <v>1729</v>
      </c>
      <c r="L1729" s="31">
        <v>492.14</v>
      </c>
      <c r="M1729" s="32">
        <v>19.2</v>
      </c>
      <c r="N1729" s="33">
        <v>15.6</v>
      </c>
    </row>
    <row r="1730" spans="1:14" x14ac:dyDescent="0.25">
      <c r="A1730" s="30">
        <v>1</v>
      </c>
      <c r="B1730" s="2" t="s">
        <v>7398</v>
      </c>
      <c r="C1730" s="2" t="s">
        <v>7399</v>
      </c>
      <c r="D1730" s="2" t="s">
        <v>7132</v>
      </c>
      <c r="E1730" s="5">
        <v>6</v>
      </c>
      <c r="F1730" s="2" t="s">
        <v>1881</v>
      </c>
      <c r="G1730" s="2" t="s">
        <v>7434</v>
      </c>
      <c r="H1730" s="2" t="s">
        <v>1648</v>
      </c>
      <c r="I1730" s="4">
        <v>5204</v>
      </c>
      <c r="J1730" s="4">
        <v>702</v>
      </c>
      <c r="L1730" s="31">
        <v>327.42</v>
      </c>
      <c r="M1730" s="32">
        <v>18</v>
      </c>
      <c r="N1730" s="33">
        <v>15.9</v>
      </c>
    </row>
    <row r="1731" spans="1:14" x14ac:dyDescent="0.25">
      <c r="A1731" s="30">
        <v>1</v>
      </c>
      <c r="B1731" s="2" t="s">
        <v>7398</v>
      </c>
      <c r="C1731" s="2" t="s">
        <v>7399</v>
      </c>
      <c r="D1731" s="2" t="s">
        <v>7133</v>
      </c>
      <c r="E1731" s="5">
        <v>12</v>
      </c>
      <c r="F1731" s="2" t="s">
        <v>1849</v>
      </c>
      <c r="G1731" s="2" t="s">
        <v>7409</v>
      </c>
      <c r="H1731" s="2" t="s">
        <v>1649</v>
      </c>
      <c r="I1731" s="4">
        <v>2070</v>
      </c>
      <c r="J1731" s="4">
        <v>1080</v>
      </c>
      <c r="L1731" s="31">
        <v>387.71</v>
      </c>
      <c r="M1731" s="32">
        <v>8.1</v>
      </c>
      <c r="N1731" s="33">
        <v>5.3</v>
      </c>
    </row>
    <row r="1732" spans="1:14" x14ac:dyDescent="0.25">
      <c r="A1732" s="30">
        <v>1</v>
      </c>
      <c r="B1732" s="2" t="s">
        <v>7398</v>
      </c>
      <c r="C1732" s="2" t="s">
        <v>7399</v>
      </c>
      <c r="D1732" s="2" t="s">
        <v>7134</v>
      </c>
      <c r="E1732" s="5">
        <v>12</v>
      </c>
      <c r="F1732" s="2" t="s">
        <v>1849</v>
      </c>
      <c r="G1732" s="2" t="s">
        <v>7410</v>
      </c>
      <c r="H1732" s="2" t="s">
        <v>1650</v>
      </c>
      <c r="I1732" s="4">
        <v>46</v>
      </c>
      <c r="J1732" s="4">
        <v>350</v>
      </c>
      <c r="L1732" s="31">
        <v>24.42</v>
      </c>
      <c r="M1732" s="32">
        <v>16.2</v>
      </c>
      <c r="N1732" s="33">
        <v>1.9</v>
      </c>
    </row>
    <row r="1733" spans="1:14" x14ac:dyDescent="0.25">
      <c r="A1733" s="30">
        <v>1</v>
      </c>
      <c r="B1733" s="2" t="s">
        <v>7398</v>
      </c>
      <c r="C1733" s="2" t="s">
        <v>7399</v>
      </c>
      <c r="D1733" s="2" t="s">
        <v>7135</v>
      </c>
      <c r="E1733" s="5">
        <v>12</v>
      </c>
      <c r="F1733" s="2" t="s">
        <v>1849</v>
      </c>
      <c r="G1733" s="2" t="s">
        <v>7409</v>
      </c>
      <c r="H1733" s="2" t="s">
        <v>1651</v>
      </c>
      <c r="I1733" s="4">
        <v>6525</v>
      </c>
      <c r="J1733" s="4">
        <v>5000</v>
      </c>
      <c r="L1733" s="31">
        <v>500.42</v>
      </c>
      <c r="M1733" s="32">
        <v>23</v>
      </c>
      <c r="N1733" s="33">
        <v>13</v>
      </c>
    </row>
    <row r="1734" spans="1:14" x14ac:dyDescent="0.25">
      <c r="A1734" s="30">
        <v>1</v>
      </c>
      <c r="B1734" s="2" t="s">
        <v>7398</v>
      </c>
      <c r="C1734" s="2" t="s">
        <v>7399</v>
      </c>
      <c r="D1734" s="2" t="s">
        <v>7136</v>
      </c>
      <c r="E1734" s="5">
        <v>12</v>
      </c>
      <c r="F1734" s="2" t="s">
        <v>1915</v>
      </c>
      <c r="G1734" s="2" t="s">
        <v>7410</v>
      </c>
      <c r="H1734" s="2" t="s">
        <v>1652</v>
      </c>
      <c r="I1734" s="4">
        <v>210</v>
      </c>
      <c r="J1734" s="4">
        <v>3133</v>
      </c>
      <c r="L1734" s="31">
        <v>94.42</v>
      </c>
      <c r="M1734" s="32">
        <v>35.4</v>
      </c>
      <c r="N1734" s="33">
        <v>2.2000000000000002</v>
      </c>
    </row>
    <row r="1735" spans="1:14" x14ac:dyDescent="0.25">
      <c r="A1735" s="30">
        <v>1</v>
      </c>
      <c r="B1735" s="2" t="s">
        <v>7398</v>
      </c>
      <c r="C1735" s="2" t="s">
        <v>7399</v>
      </c>
      <c r="D1735" s="2" t="s">
        <v>7137</v>
      </c>
      <c r="E1735" s="5">
        <v>12</v>
      </c>
      <c r="F1735" s="2" t="s">
        <v>1882</v>
      </c>
      <c r="G1735" s="2" t="s">
        <v>7409</v>
      </c>
      <c r="H1735" s="2" t="s">
        <v>1653</v>
      </c>
      <c r="I1735" s="4">
        <v>2318</v>
      </c>
      <c r="J1735" s="4">
        <v>980</v>
      </c>
      <c r="L1735" s="31">
        <v>90.28</v>
      </c>
      <c r="M1735" s="32">
        <v>36.5</v>
      </c>
      <c r="N1735" s="33">
        <v>25.7</v>
      </c>
    </row>
    <row r="1736" spans="1:14" x14ac:dyDescent="0.25">
      <c r="A1736" s="30">
        <v>1</v>
      </c>
      <c r="B1736" s="2" t="s">
        <v>7398</v>
      </c>
      <c r="C1736" s="2" t="s">
        <v>7399</v>
      </c>
      <c r="D1736" s="2" t="s">
        <v>7138</v>
      </c>
      <c r="E1736" s="5">
        <v>12</v>
      </c>
      <c r="F1736" s="2" t="s">
        <v>1915</v>
      </c>
      <c r="G1736" s="2" t="s">
        <v>7410</v>
      </c>
      <c r="H1736" s="2" t="s">
        <v>1654</v>
      </c>
      <c r="I1736" s="4">
        <v>16</v>
      </c>
      <c r="J1736" s="4">
        <v>1200</v>
      </c>
      <c r="L1736" s="31">
        <v>44.42</v>
      </c>
      <c r="M1736" s="32">
        <v>27.4</v>
      </c>
      <c r="N1736" s="33">
        <v>0.4</v>
      </c>
    </row>
    <row r="1737" spans="1:14" x14ac:dyDescent="0.25">
      <c r="A1737" s="30">
        <v>1</v>
      </c>
      <c r="B1737" s="2" t="s">
        <v>7398</v>
      </c>
      <c r="C1737" s="2" t="s">
        <v>7399</v>
      </c>
      <c r="D1737" s="2" t="s">
        <v>7139</v>
      </c>
      <c r="E1737" s="5">
        <v>12</v>
      </c>
      <c r="F1737" s="2" t="s">
        <v>1882</v>
      </c>
      <c r="G1737" s="2" t="s">
        <v>7409</v>
      </c>
      <c r="H1737" s="2" t="s">
        <v>1655</v>
      </c>
      <c r="I1737" s="4">
        <v>1675</v>
      </c>
      <c r="J1737" s="4">
        <v>830</v>
      </c>
      <c r="L1737" s="31">
        <v>55.28</v>
      </c>
      <c r="M1737" s="32">
        <v>45.3</v>
      </c>
      <c r="N1737" s="33">
        <v>30.3</v>
      </c>
    </row>
    <row r="1738" spans="1:14" x14ac:dyDescent="0.25">
      <c r="A1738" s="30">
        <v>1</v>
      </c>
      <c r="B1738" s="2" t="s">
        <v>7398</v>
      </c>
      <c r="C1738" s="2" t="s">
        <v>7399</v>
      </c>
      <c r="D1738" s="2" t="s">
        <v>7140</v>
      </c>
      <c r="E1738" s="5">
        <v>12</v>
      </c>
      <c r="F1738" s="2" t="s">
        <v>1882</v>
      </c>
      <c r="G1738" s="2" t="s">
        <v>7409</v>
      </c>
      <c r="H1738" s="2" t="s">
        <v>1656</v>
      </c>
      <c r="I1738" s="4">
        <v>3465</v>
      </c>
      <c r="J1738" s="4">
        <v>2000</v>
      </c>
      <c r="L1738" s="31">
        <v>40.28</v>
      </c>
      <c r="M1738" s="32">
        <v>135.69999999999999</v>
      </c>
      <c r="N1738" s="33">
        <v>86</v>
      </c>
    </row>
    <row r="1739" spans="1:14" x14ac:dyDescent="0.25">
      <c r="A1739" s="30">
        <v>1</v>
      </c>
      <c r="B1739" s="2" t="s">
        <v>7398</v>
      </c>
      <c r="C1739" s="2" t="s">
        <v>7399</v>
      </c>
      <c r="D1739" s="2" t="s">
        <v>7141</v>
      </c>
      <c r="E1739" s="5">
        <v>12</v>
      </c>
      <c r="F1739" s="2" t="s">
        <v>1881</v>
      </c>
      <c r="G1739" s="2" t="s">
        <v>7409</v>
      </c>
      <c r="H1739" s="2" t="s">
        <v>1657</v>
      </c>
      <c r="I1739" s="4">
        <v>105</v>
      </c>
      <c r="J1739" s="4">
        <v>2160</v>
      </c>
      <c r="L1739" s="31">
        <v>17</v>
      </c>
      <c r="M1739" s="32">
        <v>133.19999999999999</v>
      </c>
      <c r="N1739" s="33">
        <v>6.2</v>
      </c>
    </row>
    <row r="1740" spans="1:14" x14ac:dyDescent="0.25">
      <c r="A1740" s="30">
        <v>1</v>
      </c>
      <c r="B1740" s="2" t="s">
        <v>7398</v>
      </c>
      <c r="C1740" s="2" t="s">
        <v>7399</v>
      </c>
      <c r="D1740" s="2" t="s">
        <v>7142</v>
      </c>
      <c r="E1740" s="5">
        <v>12</v>
      </c>
      <c r="F1740" s="2" t="s">
        <v>1849</v>
      </c>
      <c r="G1740" s="2" t="s">
        <v>7409</v>
      </c>
      <c r="H1740" s="2" t="s">
        <v>1658</v>
      </c>
      <c r="I1740" s="4">
        <v>3743</v>
      </c>
      <c r="J1740" s="4">
        <v>5400</v>
      </c>
      <c r="L1740" s="31">
        <v>745.71</v>
      </c>
      <c r="M1740" s="32">
        <v>12.3</v>
      </c>
      <c r="N1740" s="33">
        <v>5</v>
      </c>
    </row>
    <row r="1741" spans="1:14" x14ac:dyDescent="0.25">
      <c r="A1741" s="30">
        <v>1</v>
      </c>
      <c r="B1741" s="2" t="s">
        <v>7398</v>
      </c>
      <c r="C1741" s="2" t="s">
        <v>7399</v>
      </c>
      <c r="D1741" s="2" t="s">
        <v>7143</v>
      </c>
      <c r="E1741" s="5">
        <v>12</v>
      </c>
      <c r="F1741" s="2" t="s">
        <v>1882</v>
      </c>
      <c r="G1741" s="2" t="s">
        <v>7409</v>
      </c>
      <c r="H1741" s="2" t="s">
        <v>1659</v>
      </c>
      <c r="I1741" s="4">
        <v>860</v>
      </c>
      <c r="J1741" s="4">
        <v>1881</v>
      </c>
      <c r="L1741" s="31">
        <v>3.85</v>
      </c>
      <c r="M1741" s="32">
        <v>711.9</v>
      </c>
      <c r="N1741" s="33">
        <v>223.4</v>
      </c>
    </row>
    <row r="1742" spans="1:14" x14ac:dyDescent="0.25">
      <c r="A1742" s="30">
        <v>1</v>
      </c>
      <c r="B1742" s="2" t="s">
        <v>7398</v>
      </c>
      <c r="C1742" s="2" t="s">
        <v>7399</v>
      </c>
      <c r="D1742" s="2" t="s">
        <v>7144</v>
      </c>
      <c r="E1742" s="5">
        <v>12</v>
      </c>
      <c r="F1742" s="2" t="s">
        <v>1882</v>
      </c>
      <c r="G1742" s="2" t="s">
        <v>7409</v>
      </c>
      <c r="H1742" s="2" t="s">
        <v>1660</v>
      </c>
      <c r="I1742" s="4">
        <v>553</v>
      </c>
      <c r="J1742" s="4">
        <v>155</v>
      </c>
      <c r="L1742" s="31">
        <v>35.42</v>
      </c>
      <c r="M1742" s="32">
        <v>20</v>
      </c>
      <c r="N1742" s="33">
        <v>15.6</v>
      </c>
    </row>
    <row r="1743" spans="1:14" x14ac:dyDescent="0.25">
      <c r="A1743" s="30">
        <v>1</v>
      </c>
      <c r="B1743" s="2" t="s">
        <v>7398</v>
      </c>
      <c r="C1743" s="2" t="s">
        <v>7399</v>
      </c>
      <c r="D1743" s="2" t="s">
        <v>7145</v>
      </c>
      <c r="E1743" s="5">
        <v>12</v>
      </c>
      <c r="F1743" s="2" t="s">
        <v>1882</v>
      </c>
      <c r="G1743" s="2" t="s">
        <v>7409</v>
      </c>
      <c r="H1743" s="2" t="s">
        <v>1661</v>
      </c>
      <c r="I1743" s="4">
        <v>1696</v>
      </c>
      <c r="J1743" s="4">
        <v>209</v>
      </c>
      <c r="L1743" s="31">
        <v>91.85</v>
      </c>
      <c r="M1743" s="32">
        <v>20.7</v>
      </c>
      <c r="N1743" s="33">
        <v>18.5</v>
      </c>
    </row>
    <row r="1744" spans="1:14" x14ac:dyDescent="0.25">
      <c r="A1744" s="30">
        <v>1</v>
      </c>
      <c r="B1744" s="2" t="s">
        <v>7398</v>
      </c>
      <c r="C1744" s="2" t="s">
        <v>7399</v>
      </c>
      <c r="D1744" s="2" t="s">
        <v>7146</v>
      </c>
      <c r="E1744" s="5">
        <v>12</v>
      </c>
      <c r="F1744" s="2" t="s">
        <v>1882</v>
      </c>
      <c r="G1744" s="2" t="s">
        <v>7409</v>
      </c>
      <c r="H1744" s="2" t="s">
        <v>1662</v>
      </c>
      <c r="I1744" s="4">
        <v>4379</v>
      </c>
      <c r="J1744" s="4">
        <v>1750</v>
      </c>
      <c r="L1744" s="31">
        <v>108.14</v>
      </c>
      <c r="M1744" s="32">
        <v>56.7</v>
      </c>
      <c r="N1744" s="33">
        <v>40.5</v>
      </c>
    </row>
    <row r="1745" spans="1:14" x14ac:dyDescent="0.25">
      <c r="A1745" s="30">
        <v>1</v>
      </c>
      <c r="B1745" s="2" t="s">
        <v>7398</v>
      </c>
      <c r="C1745" s="2" t="s">
        <v>7399</v>
      </c>
      <c r="D1745" s="2" t="s">
        <v>7147</v>
      </c>
      <c r="E1745" s="5">
        <v>12</v>
      </c>
      <c r="F1745" s="2" t="s">
        <v>1882</v>
      </c>
      <c r="G1745" s="2" t="s">
        <v>7409</v>
      </c>
      <c r="H1745" s="2" t="s">
        <v>1663</v>
      </c>
      <c r="I1745" s="4">
        <v>605</v>
      </c>
      <c r="J1745" s="4">
        <v>32000</v>
      </c>
      <c r="L1745" s="31">
        <v>159</v>
      </c>
      <c r="M1745" s="32">
        <v>205.1</v>
      </c>
      <c r="N1745" s="33">
        <v>3.8</v>
      </c>
    </row>
    <row r="1746" spans="1:14" x14ac:dyDescent="0.25">
      <c r="A1746" s="30">
        <v>1</v>
      </c>
      <c r="B1746" s="2" t="s">
        <v>7398</v>
      </c>
      <c r="C1746" s="2" t="s">
        <v>7399</v>
      </c>
      <c r="D1746" s="2" t="s">
        <v>7148</v>
      </c>
      <c r="E1746" s="5">
        <v>12</v>
      </c>
      <c r="F1746" s="2" t="s">
        <v>1882</v>
      </c>
      <c r="G1746" s="2" t="s">
        <v>7409</v>
      </c>
      <c r="H1746" s="2" t="s">
        <v>1664</v>
      </c>
      <c r="I1746" s="4">
        <v>492</v>
      </c>
      <c r="J1746" s="4">
        <v>100</v>
      </c>
      <c r="L1746" s="31">
        <v>16.28</v>
      </c>
      <c r="M1746" s="32">
        <v>36.4</v>
      </c>
      <c r="N1746" s="33">
        <v>30.2</v>
      </c>
    </row>
    <row r="1747" spans="1:14" x14ac:dyDescent="0.25">
      <c r="A1747" s="30">
        <v>1</v>
      </c>
      <c r="B1747" s="2" t="s">
        <v>7398</v>
      </c>
      <c r="C1747" s="2" t="s">
        <v>7399</v>
      </c>
      <c r="D1747" s="2" t="s">
        <v>7149</v>
      </c>
      <c r="E1747" s="5">
        <v>12</v>
      </c>
      <c r="F1747" s="2" t="s">
        <v>1882</v>
      </c>
      <c r="G1747" s="2" t="s">
        <v>7409</v>
      </c>
      <c r="H1747" s="2" t="s">
        <v>1665</v>
      </c>
      <c r="I1747" s="4">
        <v>3583</v>
      </c>
      <c r="J1747" s="4">
        <v>1200</v>
      </c>
      <c r="L1747" s="31">
        <v>156.57</v>
      </c>
      <c r="M1747" s="32">
        <v>30.5</v>
      </c>
      <c r="N1747" s="33">
        <v>22.9</v>
      </c>
    </row>
    <row r="1748" spans="1:14" x14ac:dyDescent="0.25">
      <c r="A1748" s="30">
        <v>1</v>
      </c>
      <c r="B1748" s="2" t="s">
        <v>7398</v>
      </c>
      <c r="C1748" s="2" t="s">
        <v>7399</v>
      </c>
      <c r="D1748" s="2" t="s">
        <v>7150</v>
      </c>
      <c r="E1748" s="5">
        <v>12</v>
      </c>
      <c r="F1748" s="2" t="s">
        <v>1882</v>
      </c>
      <c r="G1748" s="2" t="s">
        <v>7409</v>
      </c>
      <c r="H1748" s="2" t="s">
        <v>1666</v>
      </c>
      <c r="I1748" s="4">
        <v>72</v>
      </c>
      <c r="J1748" s="4">
        <v>150</v>
      </c>
      <c r="L1748" s="31">
        <v>7</v>
      </c>
      <c r="M1748" s="32">
        <v>31.7</v>
      </c>
      <c r="N1748" s="33">
        <v>10.3</v>
      </c>
    </row>
    <row r="1749" spans="1:14" x14ac:dyDescent="0.25">
      <c r="A1749" s="30">
        <v>1</v>
      </c>
      <c r="B1749" s="2" t="s">
        <v>7398</v>
      </c>
      <c r="C1749" s="2" t="s">
        <v>7399</v>
      </c>
      <c r="D1749" s="2" t="s">
        <v>7151</v>
      </c>
      <c r="E1749" s="5">
        <v>12</v>
      </c>
      <c r="F1749" s="2" t="s">
        <v>1882</v>
      </c>
      <c r="G1749" s="2" t="s">
        <v>7409</v>
      </c>
      <c r="H1749" s="2" t="s">
        <v>1667</v>
      </c>
      <c r="I1749" s="4">
        <v>13333</v>
      </c>
      <c r="J1749" s="4">
        <v>5040</v>
      </c>
      <c r="L1749" s="31">
        <v>531.41999999999996</v>
      </c>
      <c r="M1749" s="32">
        <v>34.6</v>
      </c>
      <c r="N1749" s="33">
        <v>25.1</v>
      </c>
    </row>
    <row r="1750" spans="1:14" x14ac:dyDescent="0.25">
      <c r="A1750" s="30">
        <v>1</v>
      </c>
      <c r="B1750" s="2" t="s">
        <v>7398</v>
      </c>
      <c r="C1750" s="2" t="s">
        <v>7399</v>
      </c>
      <c r="D1750" s="2" t="s">
        <v>7152</v>
      </c>
      <c r="E1750" s="5">
        <v>12</v>
      </c>
      <c r="F1750" s="2" t="s">
        <v>1882</v>
      </c>
      <c r="G1750" s="2" t="s">
        <v>7409</v>
      </c>
      <c r="H1750" s="2" t="s">
        <v>1668</v>
      </c>
      <c r="I1750" s="4">
        <v>38</v>
      </c>
      <c r="J1750" s="4">
        <v>180</v>
      </c>
      <c r="L1750" s="31">
        <v>3</v>
      </c>
      <c r="M1750" s="32">
        <v>72.7</v>
      </c>
      <c r="N1750" s="33">
        <v>12.7</v>
      </c>
    </row>
    <row r="1751" spans="1:14" x14ac:dyDescent="0.25">
      <c r="A1751" s="30">
        <v>1</v>
      </c>
      <c r="B1751" s="2" t="s">
        <v>7398</v>
      </c>
      <c r="C1751" s="2" t="s">
        <v>7399</v>
      </c>
      <c r="D1751" s="2" t="s">
        <v>7153</v>
      </c>
      <c r="E1751" s="5">
        <v>12</v>
      </c>
      <c r="F1751" s="2" t="s">
        <v>1882</v>
      </c>
      <c r="G1751" s="2" t="s">
        <v>7409</v>
      </c>
      <c r="H1751" s="2" t="s">
        <v>1669</v>
      </c>
      <c r="I1751" s="4">
        <v>596</v>
      </c>
      <c r="J1751" s="4">
        <v>0</v>
      </c>
      <c r="L1751" s="31">
        <v>13.85</v>
      </c>
      <c r="M1751" s="32">
        <v>43</v>
      </c>
      <c r="N1751" s="33">
        <v>43</v>
      </c>
    </row>
    <row r="1752" spans="1:14" x14ac:dyDescent="0.25">
      <c r="A1752" s="30">
        <v>1</v>
      </c>
      <c r="B1752" s="2" t="s">
        <v>7398</v>
      </c>
      <c r="C1752" s="2" t="s">
        <v>7399</v>
      </c>
      <c r="D1752" s="2" t="s">
        <v>7154</v>
      </c>
      <c r="E1752" s="5">
        <v>12</v>
      </c>
      <c r="F1752" s="2" t="s">
        <v>1882</v>
      </c>
      <c r="G1752" s="2" t="s">
        <v>7409</v>
      </c>
      <c r="H1752" s="2" t="s">
        <v>1670</v>
      </c>
      <c r="I1752" s="4">
        <v>768</v>
      </c>
      <c r="J1752" s="4">
        <v>500</v>
      </c>
      <c r="L1752" s="31">
        <v>30.42</v>
      </c>
      <c r="M1752" s="32">
        <v>41.7</v>
      </c>
      <c r="N1752" s="33">
        <v>25.2</v>
      </c>
    </row>
    <row r="1753" spans="1:14" x14ac:dyDescent="0.25">
      <c r="A1753" s="30">
        <v>1</v>
      </c>
      <c r="B1753" s="2" t="s">
        <v>7398</v>
      </c>
      <c r="C1753" s="2" t="s">
        <v>7399</v>
      </c>
      <c r="D1753" s="2" t="s">
        <v>7155</v>
      </c>
      <c r="E1753" s="5">
        <v>12</v>
      </c>
      <c r="F1753" s="2" t="s">
        <v>1882</v>
      </c>
      <c r="G1753" s="2" t="s">
        <v>7409</v>
      </c>
      <c r="H1753" s="2" t="s">
        <v>1671</v>
      </c>
      <c r="I1753" s="4">
        <v>2200</v>
      </c>
      <c r="J1753" s="4">
        <v>209</v>
      </c>
      <c r="L1753" s="31">
        <v>69.569999999999993</v>
      </c>
      <c r="M1753" s="32">
        <v>34.6</v>
      </c>
      <c r="N1753" s="33">
        <v>31.6</v>
      </c>
    </row>
    <row r="1754" spans="1:14" x14ac:dyDescent="0.25">
      <c r="A1754" s="30">
        <v>1</v>
      </c>
      <c r="B1754" s="2" t="s">
        <v>7398</v>
      </c>
      <c r="C1754" s="2" t="s">
        <v>7399</v>
      </c>
      <c r="D1754" s="2" t="s">
        <v>7156</v>
      </c>
      <c r="E1754" s="5">
        <v>12</v>
      </c>
      <c r="F1754" s="2" t="s">
        <v>1874</v>
      </c>
      <c r="G1754" s="2" t="s">
        <v>7410</v>
      </c>
      <c r="H1754" s="2" t="s">
        <v>1672</v>
      </c>
      <c r="I1754" s="4">
        <v>123</v>
      </c>
      <c r="J1754" s="4">
        <v>55</v>
      </c>
      <c r="L1754" s="31">
        <v>14</v>
      </c>
      <c r="M1754" s="32">
        <v>12.7</v>
      </c>
      <c r="N1754" s="33">
        <v>8.8000000000000007</v>
      </c>
    </row>
    <row r="1755" spans="1:14" x14ac:dyDescent="0.25">
      <c r="A1755" s="30">
        <v>1</v>
      </c>
      <c r="B1755" s="2" t="s">
        <v>7398</v>
      </c>
      <c r="C1755" s="2" t="s">
        <v>7399</v>
      </c>
      <c r="D1755" s="2" t="s">
        <v>7157</v>
      </c>
      <c r="E1755" s="5">
        <v>12</v>
      </c>
      <c r="F1755" s="2" t="s">
        <v>2081</v>
      </c>
      <c r="G1755" s="2" t="s">
        <v>7409</v>
      </c>
      <c r="H1755" s="2" t="s">
        <v>7447</v>
      </c>
      <c r="I1755" s="4">
        <v>4630</v>
      </c>
      <c r="J1755" s="4">
        <v>900</v>
      </c>
      <c r="L1755" s="31">
        <v>284.57</v>
      </c>
      <c r="M1755" s="32">
        <v>19.399999999999999</v>
      </c>
      <c r="N1755" s="33">
        <v>16.3</v>
      </c>
    </row>
    <row r="1756" spans="1:14" x14ac:dyDescent="0.25">
      <c r="A1756" s="30">
        <v>1</v>
      </c>
      <c r="B1756" s="2" t="s">
        <v>7398</v>
      </c>
      <c r="C1756" s="2" t="s">
        <v>7399</v>
      </c>
      <c r="D1756" s="2" t="s">
        <v>7158</v>
      </c>
      <c r="E1756" s="5">
        <v>15</v>
      </c>
      <c r="F1756" s="2" t="s">
        <v>1849</v>
      </c>
      <c r="G1756" s="2" t="s">
        <v>7409</v>
      </c>
      <c r="H1756" s="2" t="s">
        <v>1674</v>
      </c>
      <c r="I1756" s="4">
        <v>4777</v>
      </c>
      <c r="J1756" s="4">
        <v>1980</v>
      </c>
      <c r="L1756" s="31">
        <v>121.42</v>
      </c>
      <c r="M1756" s="32">
        <v>55.6</v>
      </c>
      <c r="N1756" s="33">
        <v>39.299999999999997</v>
      </c>
    </row>
    <row r="1757" spans="1:14" x14ac:dyDescent="0.25">
      <c r="A1757" s="30">
        <v>1</v>
      </c>
      <c r="B1757" s="2" t="s">
        <v>7398</v>
      </c>
      <c r="C1757" s="2" t="s">
        <v>7399</v>
      </c>
      <c r="D1757" s="2" t="s">
        <v>7159</v>
      </c>
      <c r="E1757" s="5">
        <v>12</v>
      </c>
      <c r="F1757" s="2" t="s">
        <v>1922</v>
      </c>
      <c r="G1757" s="2" t="s">
        <v>7410</v>
      </c>
      <c r="H1757" s="2" t="s">
        <v>1675</v>
      </c>
      <c r="I1757" s="4">
        <v>1293</v>
      </c>
      <c r="J1757" s="4">
        <v>1520</v>
      </c>
      <c r="L1757" s="31">
        <v>219</v>
      </c>
      <c r="M1757" s="32">
        <v>12.8</v>
      </c>
      <c r="N1757" s="33">
        <v>5.9</v>
      </c>
    </row>
    <row r="1758" spans="1:14" x14ac:dyDescent="0.25">
      <c r="A1758" s="30">
        <v>1</v>
      </c>
      <c r="B1758" s="2" t="s">
        <v>7398</v>
      </c>
      <c r="C1758" s="2" t="s">
        <v>7399</v>
      </c>
      <c r="D1758" s="2" t="s">
        <v>7160</v>
      </c>
      <c r="E1758" s="5">
        <v>12</v>
      </c>
      <c r="F1758" s="2" t="s">
        <v>1845</v>
      </c>
      <c r="G1758" s="2" t="s">
        <v>7410</v>
      </c>
      <c r="H1758" s="2" t="s">
        <v>1676</v>
      </c>
      <c r="I1758" s="4">
        <v>593</v>
      </c>
      <c r="J1758" s="4">
        <v>840</v>
      </c>
      <c r="L1758" s="31">
        <v>105.42</v>
      </c>
      <c r="M1758" s="32">
        <v>13.6</v>
      </c>
      <c r="N1758" s="33">
        <v>5.6</v>
      </c>
    </row>
    <row r="1759" spans="1:14" x14ac:dyDescent="0.25">
      <c r="A1759" s="30">
        <v>1</v>
      </c>
      <c r="B1759" s="2" t="s">
        <v>7398</v>
      </c>
      <c r="C1759" s="2" t="s">
        <v>7399</v>
      </c>
      <c r="D1759" s="2" t="s">
        <v>7161</v>
      </c>
      <c r="E1759" s="5">
        <v>6</v>
      </c>
      <c r="F1759" s="2" t="s">
        <v>1946</v>
      </c>
      <c r="G1759" s="2" t="s">
        <v>7410</v>
      </c>
      <c r="H1759" s="2" t="s">
        <v>1677</v>
      </c>
      <c r="I1759" s="4">
        <v>1008</v>
      </c>
      <c r="J1759" s="4">
        <v>1610</v>
      </c>
      <c r="L1759" s="31">
        <v>199</v>
      </c>
      <c r="M1759" s="32">
        <v>13.2</v>
      </c>
      <c r="N1759" s="33">
        <v>5.0999999999999996</v>
      </c>
    </row>
    <row r="1760" spans="1:14" x14ac:dyDescent="0.25">
      <c r="A1760" s="30">
        <v>1</v>
      </c>
      <c r="B1760" s="2" t="s">
        <v>7398</v>
      </c>
      <c r="C1760" s="2" t="s">
        <v>7399</v>
      </c>
      <c r="D1760" s="2" t="s">
        <v>7162</v>
      </c>
      <c r="E1760" s="5">
        <v>6</v>
      </c>
      <c r="F1760" s="2" t="s">
        <v>1946</v>
      </c>
      <c r="G1760" s="2" t="s">
        <v>7410</v>
      </c>
      <c r="H1760" s="2" t="s">
        <v>1678</v>
      </c>
      <c r="I1760" s="4">
        <v>370</v>
      </c>
      <c r="J1760" s="4">
        <v>468</v>
      </c>
      <c r="L1760" s="31">
        <v>59.28</v>
      </c>
      <c r="M1760" s="32">
        <v>14.1</v>
      </c>
      <c r="N1760" s="33">
        <v>6.2</v>
      </c>
    </row>
    <row r="1761" spans="1:14" x14ac:dyDescent="0.25">
      <c r="A1761" s="30">
        <v>1</v>
      </c>
      <c r="B1761" s="2" t="s">
        <v>7398</v>
      </c>
      <c r="C1761" s="2" t="s">
        <v>7399</v>
      </c>
      <c r="D1761" s="2" t="s">
        <v>7163</v>
      </c>
      <c r="E1761" s="5">
        <v>6</v>
      </c>
      <c r="F1761" s="2" t="s">
        <v>2082</v>
      </c>
      <c r="G1761" s="2" t="s">
        <v>7410</v>
      </c>
      <c r="H1761" s="2" t="s">
        <v>1679</v>
      </c>
      <c r="I1761" s="4">
        <v>32</v>
      </c>
      <c r="J1761" s="4">
        <v>60</v>
      </c>
      <c r="L1761" s="31">
        <v>7.28</v>
      </c>
      <c r="M1761" s="32">
        <v>12.6</v>
      </c>
      <c r="N1761" s="33">
        <v>4.4000000000000004</v>
      </c>
    </row>
    <row r="1762" spans="1:14" x14ac:dyDescent="0.25">
      <c r="A1762" s="30">
        <v>1</v>
      </c>
      <c r="B1762" s="2" t="s">
        <v>7398</v>
      </c>
      <c r="C1762" s="2" t="s">
        <v>7399</v>
      </c>
      <c r="D1762" s="2" t="s">
        <v>7164</v>
      </c>
      <c r="E1762" s="5">
        <v>12</v>
      </c>
      <c r="F1762" s="2" t="s">
        <v>1841</v>
      </c>
      <c r="G1762" s="2" t="s">
        <v>7410</v>
      </c>
      <c r="H1762" s="2" t="s">
        <v>1680</v>
      </c>
      <c r="I1762" s="4">
        <v>71</v>
      </c>
      <c r="J1762" s="4">
        <v>1000</v>
      </c>
      <c r="L1762" s="31">
        <v>13</v>
      </c>
      <c r="M1762" s="32">
        <v>82.4</v>
      </c>
      <c r="N1762" s="33">
        <v>5.5</v>
      </c>
    </row>
    <row r="1763" spans="1:14" x14ac:dyDescent="0.25">
      <c r="A1763" s="30">
        <v>1</v>
      </c>
      <c r="B1763" s="2" t="s">
        <v>7398</v>
      </c>
      <c r="C1763" s="2" t="s">
        <v>7399</v>
      </c>
      <c r="D1763" s="2" t="s">
        <v>7165</v>
      </c>
      <c r="E1763" s="5">
        <v>12</v>
      </c>
      <c r="F1763" s="2" t="s">
        <v>1915</v>
      </c>
      <c r="G1763" s="2" t="s">
        <v>7410</v>
      </c>
      <c r="H1763" s="2" t="s">
        <v>1681</v>
      </c>
      <c r="I1763" s="4">
        <v>0</v>
      </c>
      <c r="J1763" s="4">
        <v>300</v>
      </c>
      <c r="L1763" s="31">
        <v>1.71</v>
      </c>
      <c r="M1763" s="32">
        <v>175.4</v>
      </c>
      <c r="N1763" s="33">
        <v>0</v>
      </c>
    </row>
    <row r="1764" spans="1:14" x14ac:dyDescent="0.25">
      <c r="A1764" s="30">
        <v>1</v>
      </c>
      <c r="B1764" s="2" t="s">
        <v>7398</v>
      </c>
      <c r="C1764" s="2" t="s">
        <v>7399</v>
      </c>
      <c r="D1764" s="2" t="s">
        <v>7166</v>
      </c>
      <c r="E1764" s="5">
        <v>6</v>
      </c>
      <c r="F1764" s="2" t="s">
        <v>2083</v>
      </c>
      <c r="G1764" s="2" t="s">
        <v>7410</v>
      </c>
      <c r="H1764" s="2" t="s">
        <v>1682</v>
      </c>
      <c r="I1764" s="4">
        <v>5</v>
      </c>
      <c r="J1764" s="4">
        <v>24</v>
      </c>
      <c r="L1764" s="31">
        <v>0.56999999999999995</v>
      </c>
      <c r="M1764" s="32">
        <v>50.9</v>
      </c>
      <c r="N1764" s="33">
        <v>8.8000000000000007</v>
      </c>
    </row>
    <row r="1765" spans="1:14" x14ac:dyDescent="0.25">
      <c r="A1765" s="30">
        <v>1</v>
      </c>
      <c r="B1765" s="2" t="s">
        <v>7398</v>
      </c>
      <c r="C1765" s="2" t="s">
        <v>7399</v>
      </c>
      <c r="D1765" s="2" t="s">
        <v>7167</v>
      </c>
      <c r="E1765" s="5">
        <v>12</v>
      </c>
      <c r="F1765" s="2" t="s">
        <v>1881</v>
      </c>
      <c r="G1765" s="2" t="s">
        <v>7409</v>
      </c>
      <c r="H1765" s="2" t="s">
        <v>1683</v>
      </c>
      <c r="I1765" s="4">
        <v>168</v>
      </c>
      <c r="J1765" s="4">
        <v>1296</v>
      </c>
      <c r="L1765" s="31">
        <v>26.85</v>
      </c>
      <c r="M1765" s="32">
        <v>54.5</v>
      </c>
      <c r="N1765" s="33">
        <v>6.3</v>
      </c>
    </row>
    <row r="1766" spans="1:14" x14ac:dyDescent="0.25">
      <c r="A1766" s="30">
        <v>1</v>
      </c>
      <c r="B1766" s="2" t="s">
        <v>7398</v>
      </c>
      <c r="C1766" s="2" t="s">
        <v>7399</v>
      </c>
      <c r="D1766" s="2" t="s">
        <v>7168</v>
      </c>
      <c r="E1766" s="5">
        <v>12</v>
      </c>
      <c r="F1766" s="2" t="s">
        <v>1882</v>
      </c>
      <c r="G1766" s="2" t="s">
        <v>7409</v>
      </c>
      <c r="H1766" s="2" t="s">
        <v>1684</v>
      </c>
      <c r="I1766" s="4">
        <v>54</v>
      </c>
      <c r="J1766" s="4">
        <v>276</v>
      </c>
      <c r="L1766" s="31">
        <v>5.28</v>
      </c>
      <c r="M1766" s="32">
        <v>62.5</v>
      </c>
      <c r="N1766" s="33">
        <v>10.199999999999999</v>
      </c>
    </row>
    <row r="1767" spans="1:14" x14ac:dyDescent="0.25">
      <c r="A1767" s="30">
        <v>1</v>
      </c>
      <c r="B1767" s="2" t="s">
        <v>7398</v>
      </c>
      <c r="C1767" s="2" t="s">
        <v>7399</v>
      </c>
      <c r="D1767" s="2" t="s">
        <v>7169</v>
      </c>
      <c r="E1767" s="5">
        <v>12</v>
      </c>
      <c r="F1767" s="2" t="s">
        <v>1882</v>
      </c>
      <c r="G1767" s="2" t="s">
        <v>7409</v>
      </c>
      <c r="H1767" s="2" t="s">
        <v>1685</v>
      </c>
      <c r="I1767" s="4">
        <v>275</v>
      </c>
      <c r="J1767" s="4">
        <v>240</v>
      </c>
      <c r="L1767" s="31">
        <v>6.85</v>
      </c>
      <c r="M1767" s="32">
        <v>75.2</v>
      </c>
      <c r="N1767" s="33">
        <v>40.1</v>
      </c>
    </row>
    <row r="1768" spans="1:14" x14ac:dyDescent="0.25">
      <c r="A1768" s="30">
        <v>1</v>
      </c>
      <c r="B1768" s="2" t="s">
        <v>7398</v>
      </c>
      <c r="C1768" s="2" t="s">
        <v>7399</v>
      </c>
      <c r="D1768" s="2" t="s">
        <v>7170</v>
      </c>
      <c r="E1768" s="5">
        <v>12</v>
      </c>
      <c r="F1768" s="2" t="s">
        <v>1849</v>
      </c>
      <c r="G1768" s="2" t="s">
        <v>7409</v>
      </c>
      <c r="H1768" s="2" t="s">
        <v>1686</v>
      </c>
      <c r="I1768" s="4">
        <v>3613</v>
      </c>
      <c r="J1768" s="4">
        <v>5090</v>
      </c>
      <c r="L1768" s="31">
        <v>787.14</v>
      </c>
      <c r="M1768" s="32">
        <v>11.1</v>
      </c>
      <c r="N1768" s="33">
        <v>4.5999999999999996</v>
      </c>
    </row>
    <row r="1769" spans="1:14" x14ac:dyDescent="0.25">
      <c r="A1769" s="30">
        <v>1</v>
      </c>
      <c r="B1769" s="2" t="s">
        <v>7398</v>
      </c>
      <c r="C1769" s="2" t="s">
        <v>7399</v>
      </c>
      <c r="D1769" s="2" t="s">
        <v>7171</v>
      </c>
      <c r="E1769" s="5">
        <v>12</v>
      </c>
      <c r="F1769" s="2" t="s">
        <v>1849</v>
      </c>
      <c r="G1769" s="2" t="s">
        <v>7409</v>
      </c>
      <c r="H1769" s="2" t="s">
        <v>1687</v>
      </c>
      <c r="I1769" s="4">
        <v>11141</v>
      </c>
      <c r="J1769" s="4">
        <v>0</v>
      </c>
      <c r="L1769" s="31">
        <v>520.57000000000005</v>
      </c>
      <c r="M1769" s="32">
        <v>21.4</v>
      </c>
      <c r="N1769" s="33">
        <v>21.4</v>
      </c>
    </row>
    <row r="1770" spans="1:14" x14ac:dyDescent="0.25">
      <c r="A1770" s="30">
        <v>1</v>
      </c>
      <c r="B1770" s="2" t="s">
        <v>7398</v>
      </c>
      <c r="C1770" s="2" t="s">
        <v>7399</v>
      </c>
      <c r="D1770" s="2" t="s">
        <v>7172</v>
      </c>
      <c r="E1770" s="5">
        <v>12</v>
      </c>
      <c r="F1770" s="2" t="s">
        <v>1849</v>
      </c>
      <c r="G1770" s="2" t="s">
        <v>7409</v>
      </c>
      <c r="H1770" s="2" t="s">
        <v>1688</v>
      </c>
      <c r="I1770" s="4">
        <v>1899</v>
      </c>
      <c r="J1770" s="4">
        <v>4370</v>
      </c>
      <c r="L1770" s="31">
        <v>491.57</v>
      </c>
      <c r="M1770" s="32">
        <v>12.8</v>
      </c>
      <c r="N1770" s="33">
        <v>3.9</v>
      </c>
    </row>
    <row r="1771" spans="1:14" x14ac:dyDescent="0.25">
      <c r="A1771" s="30">
        <v>1</v>
      </c>
      <c r="B1771" s="2" t="s">
        <v>7398</v>
      </c>
      <c r="C1771" s="2" t="s">
        <v>7399</v>
      </c>
      <c r="D1771" s="2" t="s">
        <v>7173</v>
      </c>
      <c r="E1771" s="5">
        <v>16</v>
      </c>
      <c r="F1771" s="2" t="s">
        <v>1845</v>
      </c>
      <c r="G1771" s="2" t="s">
        <v>7409</v>
      </c>
      <c r="H1771" s="2" t="s">
        <v>1689</v>
      </c>
      <c r="I1771" s="4">
        <v>764</v>
      </c>
      <c r="J1771" s="4">
        <v>0</v>
      </c>
      <c r="L1771" s="31">
        <v>27.28</v>
      </c>
      <c r="M1771" s="32">
        <v>28</v>
      </c>
      <c r="N1771" s="33">
        <v>28</v>
      </c>
    </row>
    <row r="1772" spans="1:14" x14ac:dyDescent="0.25">
      <c r="A1772" s="30">
        <v>1</v>
      </c>
      <c r="B1772" s="2" t="s">
        <v>7398</v>
      </c>
      <c r="C1772" s="2" t="s">
        <v>7399</v>
      </c>
      <c r="D1772" s="2" t="s">
        <v>7174</v>
      </c>
      <c r="E1772" s="5">
        <v>20</v>
      </c>
      <c r="F1772" s="2" t="s">
        <v>1849</v>
      </c>
      <c r="G1772" s="2" t="s">
        <v>7410</v>
      </c>
      <c r="H1772" s="2" t="s">
        <v>1690</v>
      </c>
      <c r="I1772" s="4">
        <v>207</v>
      </c>
      <c r="J1772" s="4">
        <v>160</v>
      </c>
      <c r="L1772" s="31">
        <v>25</v>
      </c>
      <c r="M1772" s="32">
        <v>14.7</v>
      </c>
      <c r="N1772" s="33">
        <v>8.3000000000000007</v>
      </c>
    </row>
    <row r="1773" spans="1:14" x14ac:dyDescent="0.25">
      <c r="A1773" s="30">
        <v>1</v>
      </c>
      <c r="B1773" s="2" t="s">
        <v>7398</v>
      </c>
      <c r="C1773" s="2" t="s">
        <v>7399</v>
      </c>
      <c r="D1773" s="2" t="s">
        <v>7175</v>
      </c>
      <c r="E1773" s="5">
        <v>12</v>
      </c>
      <c r="F1773" s="2" t="s">
        <v>1881</v>
      </c>
      <c r="G1773" s="2" t="s">
        <v>7409</v>
      </c>
      <c r="H1773" s="2" t="s">
        <v>1691</v>
      </c>
      <c r="I1773" s="4">
        <v>0</v>
      </c>
      <c r="J1773" s="4">
        <v>864</v>
      </c>
      <c r="L1773" s="31">
        <v>6</v>
      </c>
      <c r="M1773" s="32">
        <v>144</v>
      </c>
      <c r="N1773" s="33">
        <v>0</v>
      </c>
    </row>
    <row r="1774" spans="1:14" x14ac:dyDescent="0.25">
      <c r="A1774" s="30">
        <v>1</v>
      </c>
      <c r="B1774" s="2" t="s">
        <v>7398</v>
      </c>
      <c r="C1774" s="2" t="s">
        <v>7399</v>
      </c>
      <c r="D1774" s="2" t="s">
        <v>7176</v>
      </c>
      <c r="E1774" s="5">
        <v>12</v>
      </c>
      <c r="F1774" s="2" t="s">
        <v>1849</v>
      </c>
      <c r="G1774" s="2" t="s">
        <v>7409</v>
      </c>
      <c r="H1774" s="2" t="s">
        <v>1692</v>
      </c>
      <c r="I1774" s="4">
        <v>1684</v>
      </c>
      <c r="J1774" s="4">
        <v>2910</v>
      </c>
      <c r="L1774" s="31">
        <v>225.28</v>
      </c>
      <c r="M1774" s="32">
        <v>20.399999999999999</v>
      </c>
      <c r="N1774" s="33">
        <v>7.5</v>
      </c>
    </row>
    <row r="1775" spans="1:14" x14ac:dyDescent="0.25">
      <c r="A1775" s="30">
        <v>1</v>
      </c>
      <c r="B1775" s="2" t="s">
        <v>7398</v>
      </c>
      <c r="C1775" s="2" t="s">
        <v>7399</v>
      </c>
      <c r="D1775" s="2" t="s">
        <v>7177</v>
      </c>
      <c r="E1775" s="5">
        <v>12</v>
      </c>
      <c r="F1775" s="2" t="s">
        <v>1849</v>
      </c>
      <c r="G1775" s="2" t="s">
        <v>7409</v>
      </c>
      <c r="H1775" s="2" t="s">
        <v>1693</v>
      </c>
      <c r="I1775" s="4">
        <v>281</v>
      </c>
      <c r="J1775" s="4">
        <v>0</v>
      </c>
      <c r="L1775" s="31">
        <v>53.85</v>
      </c>
      <c r="M1775" s="32">
        <v>5.2</v>
      </c>
      <c r="N1775" s="33">
        <v>5.2</v>
      </c>
    </row>
    <row r="1776" spans="1:14" x14ac:dyDescent="0.25">
      <c r="A1776" s="30">
        <v>1</v>
      </c>
      <c r="B1776" s="2" t="s">
        <v>7398</v>
      </c>
      <c r="C1776" s="2" t="s">
        <v>7399</v>
      </c>
      <c r="D1776" s="2" t="s">
        <v>7178</v>
      </c>
      <c r="E1776" s="5">
        <v>12</v>
      </c>
      <c r="F1776" s="2" t="s">
        <v>1849</v>
      </c>
      <c r="G1776" s="2" t="s">
        <v>7409</v>
      </c>
      <c r="H1776" s="2" t="s">
        <v>1694</v>
      </c>
      <c r="I1776" s="4">
        <v>614</v>
      </c>
      <c r="J1776" s="4">
        <v>1794</v>
      </c>
      <c r="L1776" s="31">
        <v>190.57</v>
      </c>
      <c r="M1776" s="32">
        <v>12.6</v>
      </c>
      <c r="N1776" s="33">
        <v>3.2</v>
      </c>
    </row>
    <row r="1777" spans="1:14" x14ac:dyDescent="0.25">
      <c r="A1777" s="30">
        <v>1</v>
      </c>
      <c r="B1777" s="2" t="s">
        <v>7398</v>
      </c>
      <c r="C1777" s="2" t="s">
        <v>7399</v>
      </c>
      <c r="D1777" s="2" t="s">
        <v>7179</v>
      </c>
      <c r="E1777" s="5">
        <v>13</v>
      </c>
      <c r="F1777" s="2" t="s">
        <v>1849</v>
      </c>
      <c r="G1777" s="2" t="s">
        <v>7410</v>
      </c>
      <c r="H1777" s="2" t="s">
        <v>1695</v>
      </c>
      <c r="I1777" s="4">
        <v>16</v>
      </c>
      <c r="J1777" s="4">
        <v>240</v>
      </c>
      <c r="L1777" s="31">
        <v>4.1399999999999997</v>
      </c>
      <c r="M1777" s="32">
        <v>61.8</v>
      </c>
      <c r="N1777" s="33">
        <v>3.9</v>
      </c>
    </row>
    <row r="1778" spans="1:14" x14ac:dyDescent="0.25">
      <c r="A1778" s="30">
        <v>1</v>
      </c>
      <c r="B1778" s="2" t="s">
        <v>7398</v>
      </c>
      <c r="C1778" s="2" t="s">
        <v>7399</v>
      </c>
      <c r="D1778" s="2" t="s">
        <v>7180</v>
      </c>
      <c r="E1778" s="5">
        <v>12</v>
      </c>
      <c r="F1778" s="2" t="s">
        <v>1922</v>
      </c>
      <c r="G1778" s="2" t="s">
        <v>7410</v>
      </c>
      <c r="H1778" s="2" t="s">
        <v>1696</v>
      </c>
      <c r="I1778" s="4">
        <v>89</v>
      </c>
      <c r="J1778" s="4">
        <v>2000</v>
      </c>
      <c r="L1778" s="31">
        <v>66.849999999999994</v>
      </c>
      <c r="M1778" s="32">
        <v>31.2</v>
      </c>
      <c r="N1778" s="33">
        <v>1.3</v>
      </c>
    </row>
    <row r="1779" spans="1:14" x14ac:dyDescent="0.25">
      <c r="A1779" s="30">
        <v>1</v>
      </c>
      <c r="B1779" s="2" t="s">
        <v>7398</v>
      </c>
      <c r="C1779" s="2" t="s">
        <v>7399</v>
      </c>
      <c r="D1779" s="2" t="s">
        <v>7181</v>
      </c>
      <c r="E1779" s="5">
        <v>12</v>
      </c>
      <c r="F1779" s="2" t="s">
        <v>1868</v>
      </c>
      <c r="G1779" s="2" t="s">
        <v>7409</v>
      </c>
      <c r="H1779" s="2" t="s">
        <v>1697</v>
      </c>
      <c r="I1779" s="4">
        <v>117</v>
      </c>
      <c r="J1779" s="4">
        <v>0</v>
      </c>
      <c r="L1779" s="31">
        <v>1.28</v>
      </c>
      <c r="M1779" s="32">
        <v>91.4</v>
      </c>
      <c r="N1779" s="33">
        <v>91.4</v>
      </c>
    </row>
    <row r="1780" spans="1:14" x14ac:dyDescent="0.25">
      <c r="A1780" s="30">
        <v>1</v>
      </c>
      <c r="B1780" s="2" t="s">
        <v>7398</v>
      </c>
      <c r="C1780" s="2" t="s">
        <v>7399</v>
      </c>
      <c r="D1780" s="2" t="s">
        <v>7182</v>
      </c>
      <c r="E1780" s="5">
        <v>12</v>
      </c>
      <c r="F1780" s="2" t="s">
        <v>1868</v>
      </c>
      <c r="G1780" s="2" t="s">
        <v>7409</v>
      </c>
      <c r="H1780" s="2" t="s">
        <v>1698</v>
      </c>
      <c r="I1780" s="4">
        <v>0</v>
      </c>
      <c r="J1780" s="4">
        <v>0</v>
      </c>
      <c r="L1780" s="31">
        <v>1.42</v>
      </c>
      <c r="M1780" s="32">
        <v>0</v>
      </c>
      <c r="N1780" s="33">
        <v>0</v>
      </c>
    </row>
    <row r="1781" spans="1:14" x14ac:dyDescent="0.25">
      <c r="A1781" s="30">
        <v>1</v>
      </c>
      <c r="B1781" s="2" t="s">
        <v>7398</v>
      </c>
      <c r="C1781" s="2" t="s">
        <v>7399</v>
      </c>
      <c r="D1781" s="2" t="s">
        <v>7183</v>
      </c>
      <c r="E1781" s="5">
        <v>24</v>
      </c>
      <c r="F1781" s="2" t="s">
        <v>1855</v>
      </c>
      <c r="G1781" s="2" t="s">
        <v>7409</v>
      </c>
      <c r="H1781" s="2" t="s">
        <v>1699</v>
      </c>
      <c r="I1781" s="4">
        <v>3531</v>
      </c>
      <c r="J1781" s="4">
        <v>1890</v>
      </c>
      <c r="L1781" s="31">
        <v>852</v>
      </c>
      <c r="M1781" s="32">
        <v>6.4</v>
      </c>
      <c r="N1781" s="33">
        <v>4.0999999999999996</v>
      </c>
    </row>
    <row r="1782" spans="1:14" x14ac:dyDescent="0.25">
      <c r="A1782" s="30">
        <v>1</v>
      </c>
      <c r="B1782" s="2" t="s">
        <v>7398</v>
      </c>
      <c r="C1782" s="2" t="s">
        <v>7399</v>
      </c>
      <c r="D1782" s="2" t="s">
        <v>7184</v>
      </c>
      <c r="E1782" s="5">
        <v>24</v>
      </c>
      <c r="F1782" s="2" t="s">
        <v>1855</v>
      </c>
      <c r="G1782" s="2" t="s">
        <v>7409</v>
      </c>
      <c r="H1782" s="2" t="s">
        <v>1700</v>
      </c>
      <c r="I1782" s="4">
        <v>855</v>
      </c>
      <c r="J1782" s="4">
        <v>585</v>
      </c>
      <c r="L1782" s="31">
        <v>223.57</v>
      </c>
      <c r="M1782" s="32">
        <v>6.4</v>
      </c>
      <c r="N1782" s="33">
        <v>3.8</v>
      </c>
    </row>
    <row r="1783" spans="1:14" x14ac:dyDescent="0.25">
      <c r="A1783" s="30">
        <v>1</v>
      </c>
      <c r="B1783" s="2" t="s">
        <v>7398</v>
      </c>
      <c r="C1783" s="2" t="s">
        <v>7399</v>
      </c>
      <c r="D1783" s="2" t="s">
        <v>7185</v>
      </c>
      <c r="E1783" s="5">
        <v>16</v>
      </c>
      <c r="F1783" s="2" t="s">
        <v>1904</v>
      </c>
      <c r="G1783" s="2" t="s">
        <v>7409</v>
      </c>
      <c r="H1783" s="2" t="s">
        <v>1701</v>
      </c>
      <c r="I1783" s="4">
        <v>6887</v>
      </c>
      <c r="J1783" s="4">
        <v>7140</v>
      </c>
      <c r="L1783" s="31">
        <v>369.14</v>
      </c>
      <c r="M1783" s="32">
        <v>38</v>
      </c>
      <c r="N1783" s="33">
        <v>18.7</v>
      </c>
    </row>
    <row r="1784" spans="1:14" x14ac:dyDescent="0.25">
      <c r="A1784" s="30">
        <v>1</v>
      </c>
      <c r="B1784" s="2" t="s">
        <v>7398</v>
      </c>
      <c r="C1784" s="2" t="s">
        <v>7399</v>
      </c>
      <c r="D1784" s="2" t="s">
        <v>7186</v>
      </c>
      <c r="E1784" s="5">
        <v>16</v>
      </c>
      <c r="F1784" s="2" t="s">
        <v>1904</v>
      </c>
      <c r="G1784" s="2" t="s">
        <v>7409</v>
      </c>
      <c r="H1784" s="2" t="s">
        <v>1702</v>
      </c>
      <c r="I1784" s="4">
        <v>4644</v>
      </c>
      <c r="J1784" s="4">
        <v>9180</v>
      </c>
      <c r="L1784" s="31">
        <v>360</v>
      </c>
      <c r="M1784" s="32">
        <v>38.4</v>
      </c>
      <c r="N1784" s="33">
        <v>12.9</v>
      </c>
    </row>
    <row r="1785" spans="1:14" x14ac:dyDescent="0.25">
      <c r="A1785" s="30">
        <v>1</v>
      </c>
      <c r="B1785" s="2" t="s">
        <v>7398</v>
      </c>
      <c r="C1785" s="2" t="s">
        <v>7399</v>
      </c>
      <c r="D1785" s="2" t="s">
        <v>7187</v>
      </c>
      <c r="E1785" s="5">
        <v>12</v>
      </c>
      <c r="F1785" s="2" t="s">
        <v>1910</v>
      </c>
      <c r="G1785" s="2" t="s">
        <v>7409</v>
      </c>
      <c r="H1785" s="2" t="s">
        <v>1703</v>
      </c>
      <c r="I1785" s="4">
        <v>982</v>
      </c>
      <c r="J1785" s="4">
        <v>2160</v>
      </c>
      <c r="L1785" s="31">
        <v>225.57</v>
      </c>
      <c r="M1785" s="32">
        <v>13.9</v>
      </c>
      <c r="N1785" s="33">
        <v>4.4000000000000004</v>
      </c>
    </row>
    <row r="1786" spans="1:14" x14ac:dyDescent="0.25">
      <c r="A1786" s="30">
        <v>1</v>
      </c>
      <c r="B1786" s="2" t="s">
        <v>7398</v>
      </c>
      <c r="C1786" s="2" t="s">
        <v>7399</v>
      </c>
      <c r="D1786" s="2" t="s">
        <v>7188</v>
      </c>
      <c r="E1786" s="5">
        <v>12</v>
      </c>
      <c r="F1786" s="2" t="s">
        <v>1910</v>
      </c>
      <c r="G1786" s="2" t="s">
        <v>7409</v>
      </c>
      <c r="H1786" s="2" t="s">
        <v>1704</v>
      </c>
      <c r="I1786" s="4">
        <v>747</v>
      </c>
      <c r="J1786" s="4">
        <v>320</v>
      </c>
      <c r="L1786" s="31">
        <v>125.42</v>
      </c>
      <c r="M1786" s="32">
        <v>8.5</v>
      </c>
      <c r="N1786" s="33">
        <v>6</v>
      </c>
    </row>
    <row r="1787" spans="1:14" x14ac:dyDescent="0.25">
      <c r="A1787" s="30">
        <v>1</v>
      </c>
      <c r="B1787" s="2" t="s">
        <v>7398</v>
      </c>
      <c r="C1787" s="2" t="s">
        <v>7399</v>
      </c>
      <c r="D1787" s="2" t="s">
        <v>7189</v>
      </c>
      <c r="E1787" s="5">
        <v>12</v>
      </c>
      <c r="F1787" s="2" t="s">
        <v>1910</v>
      </c>
      <c r="G1787" s="2" t="s">
        <v>7409</v>
      </c>
      <c r="H1787" s="2" t="s">
        <v>1705</v>
      </c>
      <c r="I1787" s="4">
        <v>1032</v>
      </c>
      <c r="J1787" s="4">
        <v>3160</v>
      </c>
      <c r="L1787" s="31">
        <v>314.57</v>
      </c>
      <c r="M1787" s="32">
        <v>13.3</v>
      </c>
      <c r="N1787" s="33">
        <v>3.3</v>
      </c>
    </row>
    <row r="1788" spans="1:14" x14ac:dyDescent="0.25">
      <c r="A1788" s="30">
        <v>1</v>
      </c>
      <c r="B1788" s="2" t="s">
        <v>7398</v>
      </c>
      <c r="C1788" s="2" t="s">
        <v>7399</v>
      </c>
      <c r="D1788" s="2" t="s">
        <v>7190</v>
      </c>
      <c r="E1788" s="5">
        <v>12</v>
      </c>
      <c r="F1788" s="2" t="s">
        <v>1910</v>
      </c>
      <c r="G1788" s="2" t="s">
        <v>7409</v>
      </c>
      <c r="H1788" s="2" t="s">
        <v>1706</v>
      </c>
      <c r="I1788" s="4">
        <v>825</v>
      </c>
      <c r="J1788" s="4">
        <v>1560</v>
      </c>
      <c r="L1788" s="31">
        <v>65.14</v>
      </c>
      <c r="M1788" s="32">
        <v>36.6</v>
      </c>
      <c r="N1788" s="33">
        <v>12.7</v>
      </c>
    </row>
    <row r="1789" spans="1:14" x14ac:dyDescent="0.25">
      <c r="A1789" s="30">
        <v>1</v>
      </c>
      <c r="B1789" s="2" t="s">
        <v>7398</v>
      </c>
      <c r="C1789" s="2" t="s">
        <v>7399</v>
      </c>
      <c r="D1789" s="2" t="s">
        <v>7191</v>
      </c>
      <c r="E1789" s="5">
        <v>12</v>
      </c>
      <c r="F1789" s="2" t="s">
        <v>1881</v>
      </c>
      <c r="G1789" s="2" t="s">
        <v>7409</v>
      </c>
      <c r="H1789" s="2" t="s">
        <v>1707</v>
      </c>
      <c r="I1789" s="4">
        <v>11279</v>
      </c>
      <c r="J1789" s="4">
        <v>0</v>
      </c>
      <c r="L1789" s="31">
        <v>297.42</v>
      </c>
      <c r="M1789" s="32">
        <v>37.9</v>
      </c>
      <c r="N1789" s="33">
        <v>37.9</v>
      </c>
    </row>
    <row r="1790" spans="1:14" x14ac:dyDescent="0.25">
      <c r="A1790" s="30">
        <v>1</v>
      </c>
      <c r="B1790" s="2" t="s">
        <v>7398</v>
      </c>
      <c r="C1790" s="2" t="s">
        <v>7399</v>
      </c>
      <c r="D1790" s="2" t="s">
        <v>7192</v>
      </c>
      <c r="E1790" s="5">
        <v>12</v>
      </c>
      <c r="F1790" s="2" t="s">
        <v>1849</v>
      </c>
      <c r="G1790" s="2" t="s">
        <v>7409</v>
      </c>
      <c r="H1790" s="2" t="s">
        <v>1708</v>
      </c>
      <c r="I1790" s="4">
        <v>2943</v>
      </c>
      <c r="J1790" s="4">
        <v>0</v>
      </c>
      <c r="L1790" s="31">
        <v>325.27999999999997</v>
      </c>
      <c r="M1790" s="32">
        <v>9</v>
      </c>
      <c r="N1790" s="33">
        <v>9</v>
      </c>
    </row>
    <row r="1791" spans="1:14" x14ac:dyDescent="0.25">
      <c r="A1791" s="30">
        <v>1</v>
      </c>
      <c r="B1791" s="2" t="s">
        <v>7398</v>
      </c>
      <c r="C1791" s="2" t="s">
        <v>7399</v>
      </c>
      <c r="D1791" s="2" t="s">
        <v>7193</v>
      </c>
      <c r="E1791" s="5">
        <v>12</v>
      </c>
      <c r="F1791" s="2" t="s">
        <v>1849</v>
      </c>
      <c r="G1791" s="2" t="s">
        <v>7409</v>
      </c>
      <c r="H1791" s="2" t="s">
        <v>1709</v>
      </c>
      <c r="I1791" s="4">
        <v>1105</v>
      </c>
      <c r="J1791" s="4">
        <v>0</v>
      </c>
      <c r="L1791" s="31">
        <v>211.85</v>
      </c>
      <c r="M1791" s="32">
        <v>5.2</v>
      </c>
      <c r="N1791" s="33">
        <v>5.2</v>
      </c>
    </row>
    <row r="1792" spans="1:14" x14ac:dyDescent="0.25">
      <c r="A1792" s="30">
        <v>1</v>
      </c>
      <c r="B1792" s="2" t="s">
        <v>7398</v>
      </c>
      <c r="C1792" s="2" t="s">
        <v>7399</v>
      </c>
      <c r="D1792" s="2" t="s">
        <v>7194</v>
      </c>
      <c r="E1792" s="5">
        <v>10</v>
      </c>
      <c r="F1792" s="2" t="s">
        <v>1855</v>
      </c>
      <c r="G1792" s="2" t="s">
        <v>7409</v>
      </c>
      <c r="H1792" s="2" t="s">
        <v>1710</v>
      </c>
      <c r="I1792" s="4">
        <v>115</v>
      </c>
      <c r="J1792" s="4">
        <v>210</v>
      </c>
      <c r="L1792" s="31">
        <v>20.71</v>
      </c>
      <c r="M1792" s="32">
        <v>15.7</v>
      </c>
      <c r="N1792" s="33">
        <v>5.6</v>
      </c>
    </row>
    <row r="1793" spans="1:14" x14ac:dyDescent="0.25">
      <c r="A1793" s="30">
        <v>1</v>
      </c>
      <c r="B1793" s="2" t="s">
        <v>7398</v>
      </c>
      <c r="C1793" s="2" t="s">
        <v>7399</v>
      </c>
      <c r="D1793" s="2" t="s">
        <v>7195</v>
      </c>
      <c r="E1793" s="5">
        <v>10</v>
      </c>
      <c r="F1793" s="2" t="s">
        <v>1855</v>
      </c>
      <c r="G1793" s="2" t="s">
        <v>7409</v>
      </c>
      <c r="H1793" s="2" t="s">
        <v>1711</v>
      </c>
      <c r="I1793" s="4">
        <v>644</v>
      </c>
      <c r="J1793" s="4">
        <v>7210</v>
      </c>
      <c r="L1793" s="31">
        <v>319.70999999999998</v>
      </c>
      <c r="M1793" s="32">
        <v>24.6</v>
      </c>
      <c r="N1793" s="33">
        <v>2</v>
      </c>
    </row>
    <row r="1794" spans="1:14" x14ac:dyDescent="0.25">
      <c r="A1794" s="30">
        <v>1</v>
      </c>
      <c r="B1794" s="2" t="s">
        <v>7398</v>
      </c>
      <c r="C1794" s="2" t="s">
        <v>7399</v>
      </c>
      <c r="D1794" s="2" t="s">
        <v>7196</v>
      </c>
      <c r="E1794" s="5">
        <v>12</v>
      </c>
      <c r="F1794" s="2" t="s">
        <v>1905</v>
      </c>
      <c r="G1794" s="2" t="s">
        <v>7410</v>
      </c>
      <c r="H1794" s="2" t="s">
        <v>1712</v>
      </c>
      <c r="I1794" s="4">
        <v>230</v>
      </c>
      <c r="J1794" s="4">
        <v>1472</v>
      </c>
      <c r="L1794" s="31">
        <v>31.85</v>
      </c>
      <c r="M1794" s="32">
        <v>53.4</v>
      </c>
      <c r="N1794" s="33">
        <v>7.2</v>
      </c>
    </row>
    <row r="1795" spans="1:14" x14ac:dyDescent="0.25">
      <c r="A1795" s="30">
        <v>1</v>
      </c>
      <c r="B1795" s="2" t="s">
        <v>7398</v>
      </c>
      <c r="C1795" s="2" t="s">
        <v>7399</v>
      </c>
      <c r="D1795" s="2" t="s">
        <v>7197</v>
      </c>
      <c r="E1795" s="5">
        <v>12</v>
      </c>
      <c r="F1795" s="2" t="s">
        <v>1905</v>
      </c>
      <c r="G1795" s="2" t="s">
        <v>7410</v>
      </c>
      <c r="H1795" s="2" t="s">
        <v>1713</v>
      </c>
      <c r="I1795" s="4">
        <v>472</v>
      </c>
      <c r="J1795" s="4">
        <v>1856</v>
      </c>
      <c r="L1795" s="31">
        <v>48.28</v>
      </c>
      <c r="M1795" s="32">
        <v>48.2</v>
      </c>
      <c r="N1795" s="33">
        <v>9.8000000000000007</v>
      </c>
    </row>
    <row r="1796" spans="1:14" x14ac:dyDescent="0.25">
      <c r="A1796" s="30">
        <v>1</v>
      </c>
      <c r="B1796" s="2" t="s">
        <v>7398</v>
      </c>
      <c r="C1796" s="2" t="s">
        <v>7399</v>
      </c>
      <c r="D1796" s="2" t="s">
        <v>7198</v>
      </c>
      <c r="E1796" s="5">
        <v>12</v>
      </c>
      <c r="F1796" s="2" t="s">
        <v>1849</v>
      </c>
      <c r="G1796" s="2" t="s">
        <v>7409</v>
      </c>
      <c r="H1796" s="2" t="s">
        <v>1714</v>
      </c>
      <c r="I1796" s="4">
        <v>444</v>
      </c>
      <c r="J1796" s="4">
        <v>0</v>
      </c>
      <c r="L1796" s="31">
        <v>61.85</v>
      </c>
      <c r="M1796" s="32">
        <v>7.2</v>
      </c>
      <c r="N1796" s="33">
        <v>7.2</v>
      </c>
    </row>
    <row r="1797" spans="1:14" x14ac:dyDescent="0.25">
      <c r="A1797" s="30">
        <v>1</v>
      </c>
      <c r="B1797" s="2" t="s">
        <v>7398</v>
      </c>
      <c r="C1797" s="2" t="s">
        <v>7399</v>
      </c>
      <c r="D1797" s="2" t="s">
        <v>7199</v>
      </c>
      <c r="E1797" s="5">
        <v>12</v>
      </c>
      <c r="F1797" s="2" t="s">
        <v>1873</v>
      </c>
      <c r="G1797" s="2" t="s">
        <v>7409</v>
      </c>
      <c r="H1797" s="2" t="s">
        <v>1715</v>
      </c>
      <c r="I1797" s="4">
        <v>4255</v>
      </c>
      <c r="J1797" s="4">
        <v>0</v>
      </c>
      <c r="L1797" s="31">
        <v>13.71</v>
      </c>
      <c r="M1797" s="32">
        <v>310.39999999999998</v>
      </c>
      <c r="N1797" s="33">
        <v>310.39999999999998</v>
      </c>
    </row>
    <row r="1798" spans="1:14" x14ac:dyDescent="0.25">
      <c r="A1798" s="30">
        <v>1</v>
      </c>
      <c r="B1798" s="2" t="s">
        <v>7398</v>
      </c>
      <c r="C1798" s="2" t="s">
        <v>7399</v>
      </c>
      <c r="D1798" s="2" t="s">
        <v>7200</v>
      </c>
      <c r="E1798" s="5">
        <v>12</v>
      </c>
      <c r="F1798" s="2" t="s">
        <v>1910</v>
      </c>
      <c r="G1798" s="2" t="s">
        <v>7409</v>
      </c>
      <c r="H1798" s="2" t="s">
        <v>1716</v>
      </c>
      <c r="I1798" s="4">
        <v>0</v>
      </c>
      <c r="J1798" s="4">
        <v>298</v>
      </c>
      <c r="L1798" s="31">
        <v>0</v>
      </c>
      <c r="M1798" s="32">
        <v>0</v>
      </c>
      <c r="N1798" s="33">
        <v>9999</v>
      </c>
    </row>
    <row r="1799" spans="1:14" x14ac:dyDescent="0.25">
      <c r="A1799" s="30">
        <v>1</v>
      </c>
      <c r="B1799" s="2" t="s">
        <v>7398</v>
      </c>
      <c r="C1799" s="2" t="s">
        <v>7399</v>
      </c>
      <c r="D1799" s="2" t="s">
        <v>7201</v>
      </c>
      <c r="E1799" s="5">
        <v>6</v>
      </c>
      <c r="F1799" s="2" t="s">
        <v>1850</v>
      </c>
      <c r="G1799" s="2" t="s">
        <v>7409</v>
      </c>
      <c r="H1799" s="2" t="s">
        <v>1717</v>
      </c>
      <c r="I1799" s="4">
        <v>2182</v>
      </c>
      <c r="J1799" s="4">
        <v>4368</v>
      </c>
      <c r="L1799" s="31">
        <v>113.14</v>
      </c>
      <c r="M1799" s="32">
        <v>57.9</v>
      </c>
      <c r="N1799" s="33">
        <v>19.3</v>
      </c>
    </row>
    <row r="1800" spans="1:14" x14ac:dyDescent="0.25">
      <c r="A1800" s="30">
        <v>1</v>
      </c>
      <c r="B1800" s="2" t="s">
        <v>7398</v>
      </c>
      <c r="C1800" s="2" t="s">
        <v>7399</v>
      </c>
      <c r="D1800" s="2" t="s">
        <v>7202</v>
      </c>
      <c r="E1800" s="5">
        <v>12</v>
      </c>
      <c r="F1800" s="2" t="s">
        <v>2075</v>
      </c>
      <c r="G1800" s="2" t="s">
        <v>7410</v>
      </c>
      <c r="H1800" s="2" t="s">
        <v>1718</v>
      </c>
      <c r="I1800" s="4">
        <v>289</v>
      </c>
      <c r="J1800" s="4">
        <v>528</v>
      </c>
      <c r="L1800" s="31">
        <v>6</v>
      </c>
      <c r="M1800" s="32">
        <v>136.19999999999999</v>
      </c>
      <c r="N1800" s="33">
        <v>48.2</v>
      </c>
    </row>
    <row r="1801" spans="1:14" x14ac:dyDescent="0.25">
      <c r="A1801" s="30">
        <v>1</v>
      </c>
      <c r="B1801" s="2" t="s">
        <v>7398</v>
      </c>
      <c r="C1801" s="2" t="s">
        <v>7399</v>
      </c>
      <c r="D1801" s="2" t="s">
        <v>7203</v>
      </c>
      <c r="E1801" s="5">
        <v>12</v>
      </c>
      <c r="F1801" s="2" t="s">
        <v>2075</v>
      </c>
      <c r="G1801" s="2" t="s">
        <v>7410</v>
      </c>
      <c r="H1801" s="2" t="s">
        <v>1719</v>
      </c>
      <c r="I1801" s="4">
        <v>174</v>
      </c>
      <c r="J1801" s="4">
        <v>176</v>
      </c>
      <c r="L1801" s="31">
        <v>3</v>
      </c>
      <c r="M1801" s="32">
        <v>116.7</v>
      </c>
      <c r="N1801" s="33">
        <v>58</v>
      </c>
    </row>
    <row r="1802" spans="1:14" x14ac:dyDescent="0.25">
      <c r="A1802" s="30">
        <v>1</v>
      </c>
      <c r="B1802" s="2" t="s">
        <v>7398</v>
      </c>
      <c r="C1802" s="2" t="s">
        <v>7399</v>
      </c>
      <c r="D1802" s="2" t="s">
        <v>7204</v>
      </c>
      <c r="E1802" s="5">
        <v>12</v>
      </c>
      <c r="F1802" s="2" t="s">
        <v>2075</v>
      </c>
      <c r="G1802" s="2" t="s">
        <v>7410</v>
      </c>
      <c r="H1802" s="2" t="s">
        <v>1720</v>
      </c>
      <c r="I1802" s="4">
        <v>467</v>
      </c>
      <c r="J1802" s="4">
        <v>264</v>
      </c>
      <c r="L1802" s="31">
        <v>9.14</v>
      </c>
      <c r="M1802" s="32">
        <v>80</v>
      </c>
      <c r="N1802" s="33">
        <v>51.1</v>
      </c>
    </row>
    <row r="1803" spans="1:14" x14ac:dyDescent="0.25">
      <c r="A1803" s="30">
        <v>1</v>
      </c>
      <c r="B1803" s="2" t="s">
        <v>7398</v>
      </c>
      <c r="C1803" s="2" t="s">
        <v>7399</v>
      </c>
      <c r="D1803" s="2" t="s">
        <v>7205</v>
      </c>
      <c r="E1803" s="5">
        <v>12</v>
      </c>
      <c r="F1803" s="2" t="s">
        <v>2084</v>
      </c>
      <c r="G1803" s="2" t="s">
        <v>7409</v>
      </c>
      <c r="H1803" s="2" t="s">
        <v>7448</v>
      </c>
      <c r="I1803" s="4">
        <v>154</v>
      </c>
      <c r="J1803" s="4">
        <v>405</v>
      </c>
      <c r="L1803" s="31">
        <v>9.7100000000000009</v>
      </c>
      <c r="M1803" s="32">
        <v>57.6</v>
      </c>
      <c r="N1803" s="33">
        <v>15.9</v>
      </c>
    </row>
    <row r="1804" spans="1:14" x14ac:dyDescent="0.25">
      <c r="A1804" s="30">
        <v>1</v>
      </c>
      <c r="B1804" s="2" t="s">
        <v>7398</v>
      </c>
      <c r="C1804" s="2" t="s">
        <v>7399</v>
      </c>
      <c r="D1804" s="2" t="s">
        <v>7206</v>
      </c>
      <c r="E1804" s="5">
        <v>12</v>
      </c>
      <c r="F1804" s="2" t="s">
        <v>1849</v>
      </c>
      <c r="G1804" s="2" t="s">
        <v>7409</v>
      </c>
      <c r="H1804" s="2" t="s">
        <v>1722</v>
      </c>
      <c r="I1804" s="4">
        <v>479</v>
      </c>
      <c r="J1804" s="4">
        <v>1440</v>
      </c>
      <c r="L1804" s="31">
        <v>36</v>
      </c>
      <c r="M1804" s="32">
        <v>53.3</v>
      </c>
      <c r="N1804" s="33">
        <v>13.3</v>
      </c>
    </row>
    <row r="1805" spans="1:14" x14ac:dyDescent="0.25">
      <c r="A1805" s="30">
        <v>1</v>
      </c>
      <c r="B1805" s="2" t="s">
        <v>7398</v>
      </c>
      <c r="C1805" s="2" t="s">
        <v>7399</v>
      </c>
      <c r="D1805" s="2" t="s">
        <v>7207</v>
      </c>
      <c r="E1805" s="5">
        <v>12</v>
      </c>
      <c r="F1805" s="2" t="s">
        <v>1849</v>
      </c>
      <c r="G1805" s="2" t="s">
        <v>7409</v>
      </c>
      <c r="H1805" s="2" t="s">
        <v>1723</v>
      </c>
      <c r="I1805" s="4">
        <v>523</v>
      </c>
      <c r="J1805" s="4">
        <v>1224</v>
      </c>
      <c r="L1805" s="31">
        <v>4.8499999999999996</v>
      </c>
      <c r="M1805" s="32">
        <v>360.2</v>
      </c>
      <c r="N1805" s="33">
        <v>107.8</v>
      </c>
    </row>
    <row r="1806" spans="1:14" x14ac:dyDescent="0.25">
      <c r="A1806" s="30">
        <v>1</v>
      </c>
      <c r="B1806" s="2" t="s">
        <v>7398</v>
      </c>
      <c r="C1806" s="2" t="s">
        <v>7399</v>
      </c>
      <c r="D1806" s="2" t="s">
        <v>7208</v>
      </c>
      <c r="E1806" s="5">
        <v>12</v>
      </c>
      <c r="F1806" s="2" t="s">
        <v>1849</v>
      </c>
      <c r="G1806" s="2" t="s">
        <v>7409</v>
      </c>
      <c r="H1806" s="2" t="s">
        <v>1724</v>
      </c>
      <c r="I1806" s="4">
        <v>189</v>
      </c>
      <c r="J1806" s="4">
        <v>540</v>
      </c>
      <c r="L1806" s="31">
        <v>2.14</v>
      </c>
      <c r="M1806" s="32">
        <v>340.7</v>
      </c>
      <c r="N1806" s="33">
        <v>88.3</v>
      </c>
    </row>
    <row r="1807" spans="1:14" x14ac:dyDescent="0.25">
      <c r="A1807" s="30">
        <v>1</v>
      </c>
      <c r="B1807" s="2" t="s">
        <v>7398</v>
      </c>
      <c r="C1807" s="2" t="s">
        <v>7399</v>
      </c>
      <c r="D1807" s="2" t="s">
        <v>7209</v>
      </c>
      <c r="E1807" s="5">
        <v>12</v>
      </c>
      <c r="F1807" s="2" t="s">
        <v>1849</v>
      </c>
      <c r="G1807" s="2" t="s">
        <v>7409</v>
      </c>
      <c r="H1807" s="2" t="s">
        <v>1725</v>
      </c>
      <c r="I1807" s="4">
        <v>38</v>
      </c>
      <c r="J1807" s="4">
        <v>90</v>
      </c>
      <c r="L1807" s="31">
        <v>1.1399999999999999</v>
      </c>
      <c r="M1807" s="32">
        <v>112.3</v>
      </c>
      <c r="N1807" s="33">
        <v>33.299999999999997</v>
      </c>
    </row>
    <row r="1808" spans="1:14" x14ac:dyDescent="0.25">
      <c r="A1808" s="30">
        <v>1</v>
      </c>
      <c r="B1808" s="2" t="s">
        <v>7398</v>
      </c>
      <c r="C1808" s="2" t="s">
        <v>7399</v>
      </c>
      <c r="D1808" s="2" t="s">
        <v>7210</v>
      </c>
      <c r="E1808" s="5">
        <v>12</v>
      </c>
      <c r="F1808" s="2" t="s">
        <v>1849</v>
      </c>
      <c r="G1808" s="2" t="s">
        <v>7409</v>
      </c>
      <c r="H1808" s="2" t="s">
        <v>1726</v>
      </c>
      <c r="I1808" s="4">
        <v>254</v>
      </c>
      <c r="J1808" s="4">
        <v>90</v>
      </c>
      <c r="L1808" s="31">
        <v>2.85</v>
      </c>
      <c r="M1808" s="32">
        <v>120.7</v>
      </c>
      <c r="N1808" s="33">
        <v>89.1</v>
      </c>
    </row>
    <row r="1809" spans="1:14" x14ac:dyDescent="0.25">
      <c r="A1809" s="30">
        <v>1</v>
      </c>
      <c r="B1809" s="2" t="s">
        <v>7398</v>
      </c>
      <c r="C1809" s="2" t="s">
        <v>7399</v>
      </c>
      <c r="D1809" s="2" t="s">
        <v>7211</v>
      </c>
      <c r="E1809" s="5">
        <v>6</v>
      </c>
      <c r="F1809" s="2" t="s">
        <v>1850</v>
      </c>
      <c r="G1809" s="2" t="s">
        <v>7409</v>
      </c>
      <c r="H1809" s="2" t="s">
        <v>1727</v>
      </c>
      <c r="I1809" s="4">
        <v>267</v>
      </c>
      <c r="J1809" s="4">
        <v>312</v>
      </c>
      <c r="L1809" s="31">
        <v>4.28</v>
      </c>
      <c r="M1809" s="32">
        <v>135.30000000000001</v>
      </c>
      <c r="N1809" s="33">
        <v>62.4</v>
      </c>
    </row>
    <row r="1810" spans="1:14" x14ac:dyDescent="0.25">
      <c r="A1810" s="30">
        <v>1</v>
      </c>
      <c r="B1810" s="2" t="s">
        <v>7398</v>
      </c>
      <c r="C1810" s="2" t="s">
        <v>7399</v>
      </c>
      <c r="D1810" s="2" t="s">
        <v>7212</v>
      </c>
      <c r="E1810" s="5">
        <v>12</v>
      </c>
      <c r="F1810" s="2" t="s">
        <v>2085</v>
      </c>
      <c r="G1810" s="2" t="s">
        <v>7409</v>
      </c>
      <c r="H1810" s="2" t="s">
        <v>1728</v>
      </c>
      <c r="I1810" s="4">
        <v>62</v>
      </c>
      <c r="J1810" s="4">
        <v>108</v>
      </c>
      <c r="L1810" s="31">
        <v>3</v>
      </c>
      <c r="M1810" s="32">
        <v>56.7</v>
      </c>
      <c r="N1810" s="33">
        <v>20.7</v>
      </c>
    </row>
    <row r="1811" spans="1:14" x14ac:dyDescent="0.25">
      <c r="A1811" s="30">
        <v>1</v>
      </c>
      <c r="B1811" s="2" t="s">
        <v>7398</v>
      </c>
      <c r="C1811" s="2" t="s">
        <v>7399</v>
      </c>
      <c r="D1811" s="2" t="s">
        <v>7213</v>
      </c>
      <c r="E1811" s="5">
        <v>24</v>
      </c>
      <c r="F1811" s="2" t="s">
        <v>1874</v>
      </c>
      <c r="G1811" s="2" t="s">
        <v>7401</v>
      </c>
      <c r="H1811" s="2" t="s">
        <v>1729</v>
      </c>
      <c r="I1811" s="4">
        <v>0</v>
      </c>
      <c r="J1811" s="4">
        <v>0</v>
      </c>
      <c r="L1811" s="31">
        <v>0.14000000000000001</v>
      </c>
      <c r="M1811" s="32">
        <v>0</v>
      </c>
      <c r="N1811" s="33">
        <v>0</v>
      </c>
    </row>
    <row r="1812" spans="1:14" x14ac:dyDescent="0.25">
      <c r="A1812" s="30">
        <v>1</v>
      </c>
      <c r="B1812" s="2" t="s">
        <v>7398</v>
      </c>
      <c r="C1812" s="2" t="s">
        <v>7399</v>
      </c>
      <c r="D1812" s="2" t="s">
        <v>7214</v>
      </c>
      <c r="E1812" s="5">
        <v>24</v>
      </c>
      <c r="F1812" s="2" t="s">
        <v>1874</v>
      </c>
      <c r="G1812" s="2" t="s">
        <v>7401</v>
      </c>
      <c r="H1812" s="2" t="s">
        <v>1730</v>
      </c>
      <c r="I1812" s="4">
        <v>86</v>
      </c>
      <c r="J1812" s="4">
        <v>0</v>
      </c>
      <c r="L1812" s="31">
        <v>7.71</v>
      </c>
      <c r="M1812" s="32">
        <v>11.2</v>
      </c>
      <c r="N1812" s="33">
        <v>11.2</v>
      </c>
    </row>
    <row r="1813" spans="1:14" x14ac:dyDescent="0.25">
      <c r="A1813" s="30">
        <v>1</v>
      </c>
      <c r="B1813" s="2" t="s">
        <v>7398</v>
      </c>
      <c r="C1813" s="2" t="s">
        <v>7399</v>
      </c>
      <c r="D1813" s="2" t="s">
        <v>7215</v>
      </c>
      <c r="E1813" s="5">
        <v>24</v>
      </c>
      <c r="F1813" s="2" t="s">
        <v>1874</v>
      </c>
      <c r="G1813" s="2" t="s">
        <v>7401</v>
      </c>
      <c r="H1813" s="2" t="s">
        <v>1731</v>
      </c>
      <c r="I1813" s="4">
        <v>3</v>
      </c>
      <c r="J1813" s="4">
        <v>0</v>
      </c>
      <c r="L1813" s="31">
        <v>2.42</v>
      </c>
      <c r="M1813" s="32">
        <v>1.2</v>
      </c>
      <c r="N1813" s="33">
        <v>1.2</v>
      </c>
    </row>
    <row r="1814" spans="1:14" x14ac:dyDescent="0.25">
      <c r="A1814" s="30">
        <v>1</v>
      </c>
      <c r="B1814" s="2" t="s">
        <v>7398</v>
      </c>
      <c r="C1814" s="2" t="s">
        <v>7399</v>
      </c>
      <c r="D1814" s="2" t="s">
        <v>7216</v>
      </c>
      <c r="E1814" s="5">
        <v>24</v>
      </c>
      <c r="F1814" s="2" t="s">
        <v>1874</v>
      </c>
      <c r="G1814" s="2" t="s">
        <v>7401</v>
      </c>
      <c r="H1814" s="2" t="s">
        <v>1732</v>
      </c>
      <c r="I1814" s="4">
        <v>52</v>
      </c>
      <c r="J1814" s="4">
        <v>0</v>
      </c>
      <c r="L1814" s="31">
        <v>4.28</v>
      </c>
      <c r="M1814" s="32">
        <v>12.1</v>
      </c>
      <c r="N1814" s="33">
        <v>12.1</v>
      </c>
    </row>
    <row r="1815" spans="1:14" x14ac:dyDescent="0.25">
      <c r="A1815" s="30">
        <v>1</v>
      </c>
      <c r="B1815" s="2" t="s">
        <v>7398</v>
      </c>
      <c r="C1815" s="2" t="s">
        <v>7399</v>
      </c>
      <c r="D1815" s="2" t="s">
        <v>7217</v>
      </c>
      <c r="E1815" s="5">
        <v>24</v>
      </c>
      <c r="F1815" s="2" t="s">
        <v>1874</v>
      </c>
      <c r="G1815" s="2" t="s">
        <v>7401</v>
      </c>
      <c r="H1815" s="2" t="s">
        <v>1733</v>
      </c>
      <c r="I1815" s="4">
        <v>131</v>
      </c>
      <c r="J1815" s="4">
        <v>0</v>
      </c>
      <c r="L1815" s="31">
        <v>18.57</v>
      </c>
      <c r="M1815" s="32">
        <v>7.1</v>
      </c>
      <c r="N1815" s="33">
        <v>7.1</v>
      </c>
    </row>
    <row r="1816" spans="1:14" x14ac:dyDescent="0.25">
      <c r="A1816" s="30">
        <v>1</v>
      </c>
      <c r="B1816" s="2" t="s">
        <v>7398</v>
      </c>
      <c r="C1816" s="2" t="s">
        <v>7399</v>
      </c>
      <c r="D1816" s="2" t="s">
        <v>7218</v>
      </c>
      <c r="E1816" s="5">
        <v>24</v>
      </c>
      <c r="F1816" s="2" t="s">
        <v>1874</v>
      </c>
      <c r="G1816" s="2" t="s">
        <v>7401</v>
      </c>
      <c r="H1816" s="2" t="s">
        <v>1734</v>
      </c>
      <c r="I1816" s="4">
        <v>0</v>
      </c>
      <c r="J1816" s="4">
        <v>0</v>
      </c>
      <c r="L1816" s="31">
        <v>21.71</v>
      </c>
      <c r="M1816" s="32">
        <v>0</v>
      </c>
      <c r="N1816" s="33">
        <v>0</v>
      </c>
    </row>
    <row r="1817" spans="1:14" x14ac:dyDescent="0.25">
      <c r="A1817" s="30">
        <v>1</v>
      </c>
      <c r="B1817" s="2" t="s">
        <v>7398</v>
      </c>
      <c r="C1817" s="2" t="s">
        <v>7399</v>
      </c>
      <c r="D1817" s="2" t="s">
        <v>7219</v>
      </c>
      <c r="E1817" s="5">
        <v>12</v>
      </c>
      <c r="F1817" s="2" t="s">
        <v>1882</v>
      </c>
      <c r="G1817" s="2" t="s">
        <v>7409</v>
      </c>
      <c r="H1817" s="2" t="s">
        <v>1735</v>
      </c>
      <c r="I1817" s="4">
        <v>293</v>
      </c>
      <c r="J1817" s="4">
        <v>0</v>
      </c>
      <c r="L1817" s="31">
        <v>2.2799999999999998</v>
      </c>
      <c r="M1817" s="32">
        <v>128.5</v>
      </c>
      <c r="N1817" s="33">
        <v>128.5</v>
      </c>
    </row>
    <row r="1818" spans="1:14" x14ac:dyDescent="0.25">
      <c r="A1818" s="30">
        <v>1</v>
      </c>
      <c r="B1818" s="2" t="s">
        <v>7398</v>
      </c>
      <c r="C1818" s="2" t="s">
        <v>7399</v>
      </c>
      <c r="D1818" s="2" t="s">
        <v>7220</v>
      </c>
      <c r="E1818" s="5">
        <v>8</v>
      </c>
      <c r="F1818" s="2" t="s">
        <v>1882</v>
      </c>
      <c r="G1818" s="2" t="s">
        <v>7409</v>
      </c>
      <c r="H1818" s="2" t="s">
        <v>1736</v>
      </c>
      <c r="I1818" s="4">
        <v>292</v>
      </c>
      <c r="J1818" s="4">
        <v>50</v>
      </c>
      <c r="L1818" s="31">
        <v>3.85</v>
      </c>
      <c r="M1818" s="32">
        <v>88.8</v>
      </c>
      <c r="N1818" s="33">
        <v>75.8</v>
      </c>
    </row>
    <row r="1819" spans="1:14" x14ac:dyDescent="0.25">
      <c r="A1819" s="30">
        <v>1</v>
      </c>
      <c r="B1819" s="2" t="s">
        <v>7398</v>
      </c>
      <c r="C1819" s="2" t="s">
        <v>7399</v>
      </c>
      <c r="D1819" s="2" t="s">
        <v>7221</v>
      </c>
      <c r="E1819" s="5">
        <v>12</v>
      </c>
      <c r="F1819" s="2" t="s">
        <v>1882</v>
      </c>
      <c r="G1819" s="2" t="s">
        <v>7409</v>
      </c>
      <c r="H1819" s="2" t="s">
        <v>1737</v>
      </c>
      <c r="I1819" s="4">
        <v>0</v>
      </c>
      <c r="J1819" s="4">
        <v>0</v>
      </c>
      <c r="L1819" s="31">
        <v>0</v>
      </c>
      <c r="M1819" s="32">
        <v>0</v>
      </c>
      <c r="N1819" s="33">
        <v>9999</v>
      </c>
    </row>
    <row r="1820" spans="1:14" x14ac:dyDescent="0.25">
      <c r="A1820" s="30">
        <v>1</v>
      </c>
      <c r="B1820" s="2" t="s">
        <v>7398</v>
      </c>
      <c r="C1820" s="2" t="s">
        <v>7399</v>
      </c>
      <c r="D1820" s="2" t="s">
        <v>7222</v>
      </c>
      <c r="E1820" s="5">
        <v>12</v>
      </c>
      <c r="F1820" s="2" t="s">
        <v>1882</v>
      </c>
      <c r="G1820" s="2" t="s">
        <v>7409</v>
      </c>
      <c r="H1820" s="2" t="s">
        <v>1738</v>
      </c>
      <c r="I1820" s="4">
        <v>442</v>
      </c>
      <c r="J1820" s="4">
        <v>627</v>
      </c>
      <c r="L1820" s="31">
        <v>26.57</v>
      </c>
      <c r="M1820" s="32">
        <v>40.200000000000003</v>
      </c>
      <c r="N1820" s="33">
        <v>16.600000000000001</v>
      </c>
    </row>
    <row r="1821" spans="1:14" x14ac:dyDescent="0.25">
      <c r="A1821" s="30">
        <v>1</v>
      </c>
      <c r="B1821" s="2" t="s">
        <v>7398</v>
      </c>
      <c r="C1821" s="2" t="s">
        <v>7399</v>
      </c>
      <c r="D1821" s="2" t="s">
        <v>7223</v>
      </c>
      <c r="E1821" s="5">
        <v>12</v>
      </c>
      <c r="F1821" s="2" t="s">
        <v>1910</v>
      </c>
      <c r="G1821" s="2" t="s">
        <v>7409</v>
      </c>
      <c r="H1821" s="2" t="s">
        <v>1739</v>
      </c>
      <c r="I1821" s="4">
        <v>34</v>
      </c>
      <c r="J1821" s="4">
        <v>500</v>
      </c>
      <c r="L1821" s="31">
        <v>2.57</v>
      </c>
      <c r="M1821" s="32">
        <v>207.8</v>
      </c>
      <c r="N1821" s="33">
        <v>13.2</v>
      </c>
    </row>
    <row r="1822" spans="1:14" x14ac:dyDescent="0.25">
      <c r="A1822" s="30">
        <v>1</v>
      </c>
      <c r="B1822" s="2" t="s">
        <v>7398</v>
      </c>
      <c r="C1822" s="2" t="s">
        <v>7399</v>
      </c>
      <c r="D1822" s="2" t="s">
        <v>7224</v>
      </c>
      <c r="E1822" s="5">
        <v>12</v>
      </c>
      <c r="F1822" s="2" t="s">
        <v>1910</v>
      </c>
      <c r="G1822" s="2" t="s">
        <v>7409</v>
      </c>
      <c r="H1822" s="2" t="s">
        <v>1740</v>
      </c>
      <c r="I1822" s="4">
        <v>402</v>
      </c>
      <c r="J1822" s="4">
        <v>2109</v>
      </c>
      <c r="L1822" s="31">
        <v>22.71</v>
      </c>
      <c r="M1822" s="32">
        <v>110.6</v>
      </c>
      <c r="N1822" s="33">
        <v>17.7</v>
      </c>
    </row>
    <row r="1823" spans="1:14" x14ac:dyDescent="0.25">
      <c r="A1823" s="30">
        <v>1</v>
      </c>
      <c r="B1823" s="2" t="s">
        <v>7398</v>
      </c>
      <c r="C1823" s="2" t="s">
        <v>7399</v>
      </c>
      <c r="D1823" s="2" t="s">
        <v>7225</v>
      </c>
      <c r="E1823" s="5">
        <v>12</v>
      </c>
      <c r="F1823" s="2" t="s">
        <v>1895</v>
      </c>
      <c r="G1823" s="2" t="s">
        <v>7409</v>
      </c>
      <c r="H1823" s="2" t="s">
        <v>1741</v>
      </c>
      <c r="I1823" s="4">
        <v>161</v>
      </c>
      <c r="J1823" s="4">
        <v>1150</v>
      </c>
      <c r="L1823" s="31">
        <v>18.14</v>
      </c>
      <c r="M1823" s="32">
        <v>72.3</v>
      </c>
      <c r="N1823" s="33">
        <v>8.9</v>
      </c>
    </row>
    <row r="1824" spans="1:14" x14ac:dyDescent="0.25">
      <c r="A1824" s="30">
        <v>1</v>
      </c>
      <c r="B1824" s="2" t="s">
        <v>7398</v>
      </c>
      <c r="C1824" s="2" t="s">
        <v>7399</v>
      </c>
      <c r="D1824" s="2" t="s">
        <v>7226</v>
      </c>
      <c r="E1824" s="5">
        <v>12</v>
      </c>
      <c r="F1824" s="2" t="s">
        <v>1910</v>
      </c>
      <c r="G1824" s="2" t="s">
        <v>7409</v>
      </c>
      <c r="H1824" s="2" t="s">
        <v>1742</v>
      </c>
      <c r="I1824" s="4">
        <v>101</v>
      </c>
      <c r="J1824" s="4">
        <v>500</v>
      </c>
      <c r="L1824" s="31">
        <v>3.42</v>
      </c>
      <c r="M1824" s="32">
        <v>175.7</v>
      </c>
      <c r="N1824" s="33">
        <v>29.5</v>
      </c>
    </row>
    <row r="1825" spans="1:14" x14ac:dyDescent="0.25">
      <c r="A1825" s="30">
        <v>1</v>
      </c>
      <c r="B1825" s="2" t="s">
        <v>7398</v>
      </c>
      <c r="C1825" s="2" t="s">
        <v>7399</v>
      </c>
      <c r="D1825" s="2" t="s">
        <v>7227</v>
      </c>
      <c r="E1825" s="5">
        <v>12</v>
      </c>
      <c r="F1825" s="2" t="s">
        <v>2086</v>
      </c>
      <c r="G1825" s="2" t="s">
        <v>7410</v>
      </c>
      <c r="H1825" s="2" t="s">
        <v>1743</v>
      </c>
      <c r="I1825" s="4">
        <v>120</v>
      </c>
      <c r="J1825" s="4">
        <v>360</v>
      </c>
      <c r="L1825" s="31">
        <v>7.85</v>
      </c>
      <c r="M1825" s="32">
        <v>61.1</v>
      </c>
      <c r="N1825" s="33">
        <v>15.3</v>
      </c>
    </row>
    <row r="1826" spans="1:14" x14ac:dyDescent="0.25">
      <c r="A1826" s="30">
        <v>1</v>
      </c>
      <c r="B1826" s="2" t="s">
        <v>7398</v>
      </c>
      <c r="C1826" s="2" t="s">
        <v>7399</v>
      </c>
      <c r="D1826" s="2" t="s">
        <v>7228</v>
      </c>
      <c r="E1826" s="5">
        <v>12</v>
      </c>
      <c r="F1826" s="2" t="s">
        <v>1879</v>
      </c>
      <c r="G1826" s="2" t="s">
        <v>7409</v>
      </c>
      <c r="H1826" s="2" t="s">
        <v>1745</v>
      </c>
      <c r="I1826" s="4">
        <v>5959</v>
      </c>
      <c r="J1826" s="4">
        <v>4104</v>
      </c>
      <c r="L1826" s="31">
        <v>152.57</v>
      </c>
      <c r="M1826" s="32">
        <v>66</v>
      </c>
      <c r="N1826" s="33">
        <v>39.1</v>
      </c>
    </row>
    <row r="1827" spans="1:14" x14ac:dyDescent="0.25">
      <c r="A1827" s="30">
        <v>1</v>
      </c>
      <c r="B1827" s="2" t="s">
        <v>7398</v>
      </c>
      <c r="C1827" s="2" t="s">
        <v>7399</v>
      </c>
      <c r="D1827" s="2" t="s">
        <v>7229</v>
      </c>
      <c r="E1827" s="5">
        <v>12</v>
      </c>
      <c r="F1827" s="2" t="s">
        <v>1882</v>
      </c>
      <c r="G1827" s="2" t="s">
        <v>7409</v>
      </c>
      <c r="H1827" s="2" t="s">
        <v>1746</v>
      </c>
      <c r="I1827" s="4">
        <v>21</v>
      </c>
      <c r="J1827" s="4">
        <v>0</v>
      </c>
      <c r="L1827" s="31">
        <v>0.28000000000000003</v>
      </c>
      <c r="M1827" s="32">
        <v>75</v>
      </c>
      <c r="N1827" s="33">
        <v>75</v>
      </c>
    </row>
    <row r="1828" spans="1:14" x14ac:dyDescent="0.25">
      <c r="A1828" s="30">
        <v>1</v>
      </c>
      <c r="B1828" s="2" t="s">
        <v>7398</v>
      </c>
      <c r="C1828" s="2" t="s">
        <v>7399</v>
      </c>
      <c r="D1828" s="2" t="s">
        <v>7230</v>
      </c>
      <c r="E1828" s="5">
        <v>12</v>
      </c>
      <c r="F1828" s="2" t="s">
        <v>1882</v>
      </c>
      <c r="G1828" s="2" t="s">
        <v>7409</v>
      </c>
      <c r="H1828" s="2" t="s">
        <v>1747</v>
      </c>
      <c r="I1828" s="4">
        <v>178</v>
      </c>
      <c r="J1828" s="4">
        <v>0</v>
      </c>
      <c r="L1828" s="31">
        <v>1.57</v>
      </c>
      <c r="M1828" s="32">
        <v>113.4</v>
      </c>
      <c r="N1828" s="33">
        <v>113.4</v>
      </c>
    </row>
    <row r="1829" spans="1:14" x14ac:dyDescent="0.25">
      <c r="A1829" s="30">
        <v>1</v>
      </c>
      <c r="B1829" s="2" t="s">
        <v>7398</v>
      </c>
      <c r="C1829" s="2" t="s">
        <v>7399</v>
      </c>
      <c r="D1829" s="2" t="s">
        <v>7231</v>
      </c>
      <c r="E1829" s="5">
        <v>12</v>
      </c>
      <c r="F1829" s="2" t="s">
        <v>1882</v>
      </c>
      <c r="G1829" s="2" t="s">
        <v>7409</v>
      </c>
      <c r="H1829" s="2" t="s">
        <v>1748</v>
      </c>
      <c r="I1829" s="4">
        <v>182</v>
      </c>
      <c r="J1829" s="4">
        <v>209</v>
      </c>
      <c r="L1829" s="31">
        <v>10.14</v>
      </c>
      <c r="M1829" s="32">
        <v>38.6</v>
      </c>
      <c r="N1829" s="33">
        <v>17.899999999999999</v>
      </c>
    </row>
    <row r="1830" spans="1:14" x14ac:dyDescent="0.25">
      <c r="A1830" s="30">
        <v>1</v>
      </c>
      <c r="B1830" s="2" t="s">
        <v>7398</v>
      </c>
      <c r="C1830" s="2" t="s">
        <v>7399</v>
      </c>
      <c r="D1830" s="2" t="s">
        <v>7232</v>
      </c>
      <c r="E1830" s="5">
        <v>12</v>
      </c>
      <c r="F1830" s="2" t="s">
        <v>1882</v>
      </c>
      <c r="G1830" s="2" t="s">
        <v>7409</v>
      </c>
      <c r="H1830" s="2" t="s">
        <v>1749</v>
      </c>
      <c r="I1830" s="4">
        <v>48</v>
      </c>
      <c r="J1830" s="4">
        <v>0</v>
      </c>
      <c r="L1830" s="31">
        <v>1.42</v>
      </c>
      <c r="M1830" s="32">
        <v>33.799999999999997</v>
      </c>
      <c r="N1830" s="33">
        <v>33.799999999999997</v>
      </c>
    </row>
    <row r="1831" spans="1:14" x14ac:dyDescent="0.25">
      <c r="A1831" s="30">
        <v>1</v>
      </c>
      <c r="B1831" s="2" t="s">
        <v>7398</v>
      </c>
      <c r="C1831" s="2" t="s">
        <v>7399</v>
      </c>
      <c r="D1831" s="2" t="s">
        <v>7233</v>
      </c>
      <c r="E1831" s="5">
        <v>12</v>
      </c>
      <c r="F1831" s="2" t="s">
        <v>1849</v>
      </c>
      <c r="G1831" s="2" t="s">
        <v>7409</v>
      </c>
      <c r="H1831" s="2" t="s">
        <v>1750</v>
      </c>
      <c r="I1831" s="4">
        <v>4724</v>
      </c>
      <c r="J1831" s="4">
        <v>7600</v>
      </c>
      <c r="L1831" s="31">
        <v>74.28</v>
      </c>
      <c r="M1831" s="32">
        <v>165.9</v>
      </c>
      <c r="N1831" s="33">
        <v>63.6</v>
      </c>
    </row>
    <row r="1832" spans="1:14" x14ac:dyDescent="0.25">
      <c r="A1832" s="30">
        <v>1</v>
      </c>
      <c r="B1832" s="2" t="s">
        <v>7398</v>
      </c>
      <c r="C1832" s="2" t="s">
        <v>7399</v>
      </c>
      <c r="D1832" s="2" t="s">
        <v>7234</v>
      </c>
      <c r="E1832" s="5">
        <v>12</v>
      </c>
      <c r="F1832" s="2" t="s">
        <v>1882</v>
      </c>
      <c r="G1832" s="2" t="s">
        <v>7410</v>
      </c>
      <c r="H1832" s="2" t="s">
        <v>1751</v>
      </c>
      <c r="I1832" s="4">
        <v>0</v>
      </c>
      <c r="J1832" s="4">
        <v>0</v>
      </c>
      <c r="L1832" s="31">
        <v>0</v>
      </c>
      <c r="M1832" s="32">
        <v>0</v>
      </c>
      <c r="N1832" s="33">
        <v>9999</v>
      </c>
    </row>
    <row r="1833" spans="1:14" x14ac:dyDescent="0.25">
      <c r="A1833" s="30">
        <v>1</v>
      </c>
      <c r="B1833" s="2" t="s">
        <v>7398</v>
      </c>
      <c r="C1833" s="2" t="s">
        <v>7399</v>
      </c>
      <c r="D1833" s="2" t="s">
        <v>7235</v>
      </c>
      <c r="E1833" s="5">
        <v>8</v>
      </c>
      <c r="F1833" s="2" t="s">
        <v>1928</v>
      </c>
      <c r="G1833" s="2" t="s">
        <v>7409</v>
      </c>
      <c r="H1833" s="2" t="s">
        <v>1752</v>
      </c>
      <c r="I1833" s="4">
        <v>1140</v>
      </c>
      <c r="J1833" s="4">
        <v>4800</v>
      </c>
      <c r="L1833" s="31">
        <v>50.28</v>
      </c>
      <c r="M1833" s="32">
        <v>118.1</v>
      </c>
      <c r="N1833" s="33">
        <v>22.7</v>
      </c>
    </row>
    <row r="1834" spans="1:14" x14ac:dyDescent="0.25">
      <c r="A1834" s="30">
        <v>1</v>
      </c>
      <c r="B1834" s="2" t="s">
        <v>7398</v>
      </c>
      <c r="C1834" s="2" t="s">
        <v>7399</v>
      </c>
      <c r="D1834" s="2" t="s">
        <v>7236</v>
      </c>
      <c r="E1834" s="5">
        <v>12</v>
      </c>
      <c r="F1834" s="2" t="s">
        <v>1874</v>
      </c>
      <c r="G1834" s="2" t="s">
        <v>7410</v>
      </c>
      <c r="H1834" s="2" t="s">
        <v>1753</v>
      </c>
      <c r="I1834" s="4">
        <v>84</v>
      </c>
      <c r="J1834" s="4">
        <v>0</v>
      </c>
      <c r="L1834" s="31">
        <v>2.14</v>
      </c>
      <c r="M1834" s="32">
        <v>39.299999999999997</v>
      </c>
      <c r="N1834" s="33">
        <v>39.299999999999997</v>
      </c>
    </row>
    <row r="1835" spans="1:14" x14ac:dyDescent="0.25">
      <c r="A1835" s="30">
        <v>1</v>
      </c>
      <c r="B1835" s="2" t="s">
        <v>7398</v>
      </c>
      <c r="C1835" s="2" t="s">
        <v>7399</v>
      </c>
      <c r="D1835" s="2" t="s">
        <v>7237</v>
      </c>
      <c r="E1835" s="5">
        <v>12</v>
      </c>
      <c r="F1835" s="2" t="s">
        <v>1874</v>
      </c>
      <c r="G1835" s="2" t="s">
        <v>7410</v>
      </c>
      <c r="H1835" s="2" t="s">
        <v>1754</v>
      </c>
      <c r="I1835" s="4">
        <v>132</v>
      </c>
      <c r="J1835" s="4">
        <v>0</v>
      </c>
      <c r="L1835" s="31">
        <v>2.57</v>
      </c>
      <c r="M1835" s="32">
        <v>51.4</v>
      </c>
      <c r="N1835" s="33">
        <v>51.4</v>
      </c>
    </row>
    <row r="1836" spans="1:14" x14ac:dyDescent="0.25">
      <c r="A1836" s="30">
        <v>1</v>
      </c>
      <c r="B1836" s="2" t="s">
        <v>7398</v>
      </c>
      <c r="C1836" s="2" t="s">
        <v>7399</v>
      </c>
      <c r="D1836" s="2" t="s">
        <v>7238</v>
      </c>
      <c r="E1836" s="5">
        <v>12</v>
      </c>
      <c r="F1836" s="2" t="s">
        <v>1849</v>
      </c>
      <c r="G1836" s="2" t="s">
        <v>7409</v>
      </c>
      <c r="H1836" s="2" t="s">
        <v>1755</v>
      </c>
      <c r="I1836" s="4">
        <v>351</v>
      </c>
      <c r="J1836" s="4">
        <v>1404</v>
      </c>
      <c r="L1836" s="31">
        <v>86.85</v>
      </c>
      <c r="M1836" s="32">
        <v>20.2</v>
      </c>
      <c r="N1836" s="33">
        <v>4</v>
      </c>
    </row>
    <row r="1837" spans="1:14" x14ac:dyDescent="0.25">
      <c r="A1837" s="30">
        <v>1</v>
      </c>
      <c r="B1837" s="2" t="s">
        <v>7398</v>
      </c>
      <c r="C1837" s="2" t="s">
        <v>7399</v>
      </c>
      <c r="D1837" s="2" t="s">
        <v>7239</v>
      </c>
      <c r="E1837" s="5">
        <v>12</v>
      </c>
      <c r="F1837" s="2" t="s">
        <v>1849</v>
      </c>
      <c r="G1837" s="2" t="s">
        <v>7409</v>
      </c>
      <c r="H1837" s="2" t="s">
        <v>1756</v>
      </c>
      <c r="I1837" s="4">
        <v>490</v>
      </c>
      <c r="J1837" s="4">
        <v>1716</v>
      </c>
      <c r="L1837" s="31">
        <v>116.42</v>
      </c>
      <c r="M1837" s="32">
        <v>18.899999999999999</v>
      </c>
      <c r="N1837" s="33">
        <v>4.2</v>
      </c>
    </row>
    <row r="1838" spans="1:14" x14ac:dyDescent="0.25">
      <c r="A1838" s="30">
        <v>1</v>
      </c>
      <c r="B1838" s="2" t="s">
        <v>7398</v>
      </c>
      <c r="C1838" s="2" t="s">
        <v>7399</v>
      </c>
      <c r="D1838" s="2" t="s">
        <v>7240</v>
      </c>
      <c r="E1838" s="5">
        <v>12</v>
      </c>
      <c r="F1838" s="2" t="s">
        <v>1849</v>
      </c>
      <c r="G1838" s="2" t="s">
        <v>7409</v>
      </c>
      <c r="H1838" s="2" t="s">
        <v>1757</v>
      </c>
      <c r="I1838" s="4">
        <v>709</v>
      </c>
      <c r="J1838" s="4">
        <v>1287</v>
      </c>
      <c r="L1838" s="31">
        <v>104</v>
      </c>
      <c r="M1838" s="32">
        <v>19.2</v>
      </c>
      <c r="N1838" s="33">
        <v>6.8</v>
      </c>
    </row>
    <row r="1839" spans="1:14" x14ac:dyDescent="0.25">
      <c r="A1839" s="30">
        <v>1</v>
      </c>
      <c r="B1839" s="2" t="s">
        <v>7398</v>
      </c>
      <c r="C1839" s="2" t="s">
        <v>7399</v>
      </c>
      <c r="D1839" s="2" t="s">
        <v>7241</v>
      </c>
      <c r="E1839" s="5">
        <v>12</v>
      </c>
      <c r="F1839" s="2" t="s">
        <v>1859</v>
      </c>
      <c r="G1839" s="2" t="s">
        <v>7410</v>
      </c>
      <c r="H1839" s="2" t="s">
        <v>1758</v>
      </c>
      <c r="I1839" s="4">
        <v>154</v>
      </c>
      <c r="J1839" s="4">
        <v>0</v>
      </c>
      <c r="L1839" s="31">
        <v>7.14</v>
      </c>
      <c r="M1839" s="32">
        <v>21.6</v>
      </c>
      <c r="N1839" s="33">
        <v>21.6</v>
      </c>
    </row>
    <row r="1840" spans="1:14" x14ac:dyDescent="0.25">
      <c r="A1840" s="30">
        <v>1</v>
      </c>
      <c r="B1840" s="2" t="s">
        <v>7398</v>
      </c>
      <c r="C1840" s="2" t="s">
        <v>7399</v>
      </c>
      <c r="D1840" s="2" t="s">
        <v>7242</v>
      </c>
      <c r="E1840" s="5">
        <v>12</v>
      </c>
      <c r="F1840" s="2" t="s">
        <v>1859</v>
      </c>
      <c r="G1840" s="2" t="s">
        <v>7410</v>
      </c>
      <c r="H1840" s="2" t="s">
        <v>1759</v>
      </c>
      <c r="I1840" s="4">
        <v>44</v>
      </c>
      <c r="J1840" s="4">
        <v>0</v>
      </c>
      <c r="L1840" s="31">
        <v>2</v>
      </c>
      <c r="M1840" s="32">
        <v>22</v>
      </c>
      <c r="N1840" s="33">
        <v>22</v>
      </c>
    </row>
    <row r="1841" spans="1:14" x14ac:dyDescent="0.25">
      <c r="A1841" s="30">
        <v>1</v>
      </c>
      <c r="B1841" s="2" t="s">
        <v>7398</v>
      </c>
      <c r="C1841" s="2" t="s">
        <v>7399</v>
      </c>
      <c r="D1841" s="2" t="s">
        <v>7243</v>
      </c>
      <c r="E1841" s="5">
        <v>12</v>
      </c>
      <c r="F1841" s="2" t="s">
        <v>1859</v>
      </c>
      <c r="G1841" s="2" t="s">
        <v>7410</v>
      </c>
      <c r="H1841" s="2" t="s">
        <v>1760</v>
      </c>
      <c r="I1841" s="4">
        <v>16</v>
      </c>
      <c r="J1841" s="4">
        <v>490</v>
      </c>
      <c r="L1841" s="31">
        <v>4.57</v>
      </c>
      <c r="M1841" s="32">
        <v>110.7</v>
      </c>
      <c r="N1841" s="33">
        <v>3.5</v>
      </c>
    </row>
    <row r="1842" spans="1:14" x14ac:dyDescent="0.25">
      <c r="A1842" s="30">
        <v>1</v>
      </c>
      <c r="B1842" s="2" t="s">
        <v>7398</v>
      </c>
      <c r="C1842" s="2" t="s">
        <v>7399</v>
      </c>
      <c r="D1842" s="2" t="s">
        <v>7244</v>
      </c>
      <c r="E1842" s="5">
        <v>12</v>
      </c>
      <c r="F1842" s="2" t="s">
        <v>1859</v>
      </c>
      <c r="G1842" s="2" t="s">
        <v>7410</v>
      </c>
      <c r="H1842" s="2" t="s">
        <v>1761</v>
      </c>
      <c r="I1842" s="4">
        <v>91</v>
      </c>
      <c r="J1842" s="4">
        <v>210</v>
      </c>
      <c r="L1842" s="31">
        <v>1.1399999999999999</v>
      </c>
      <c r="M1842" s="32">
        <v>264</v>
      </c>
      <c r="N1842" s="33">
        <v>79.8</v>
      </c>
    </row>
    <row r="1843" spans="1:14" x14ac:dyDescent="0.25">
      <c r="A1843" s="30">
        <v>1</v>
      </c>
      <c r="B1843" s="2" t="s">
        <v>7398</v>
      </c>
      <c r="C1843" s="2" t="s">
        <v>7399</v>
      </c>
      <c r="D1843" s="2" t="s">
        <v>7245</v>
      </c>
      <c r="E1843" s="5">
        <v>12</v>
      </c>
      <c r="F1843" s="2" t="s">
        <v>1859</v>
      </c>
      <c r="G1843" s="2" t="s">
        <v>7410</v>
      </c>
      <c r="H1843" s="2" t="s">
        <v>1762</v>
      </c>
      <c r="I1843" s="4">
        <v>40</v>
      </c>
      <c r="J1843" s="4">
        <v>70</v>
      </c>
      <c r="L1843" s="31">
        <v>0.85</v>
      </c>
      <c r="M1843" s="32">
        <v>129.4</v>
      </c>
      <c r="N1843" s="33">
        <v>47.1</v>
      </c>
    </row>
    <row r="1844" spans="1:14" x14ac:dyDescent="0.25">
      <c r="A1844" s="30">
        <v>1</v>
      </c>
      <c r="B1844" s="2" t="s">
        <v>7398</v>
      </c>
      <c r="C1844" s="2" t="s">
        <v>7399</v>
      </c>
      <c r="D1844" s="2" t="s">
        <v>7246</v>
      </c>
      <c r="E1844" s="5">
        <v>24</v>
      </c>
      <c r="F1844" s="2" t="s">
        <v>1839</v>
      </c>
      <c r="G1844" s="2" t="s">
        <v>7434</v>
      </c>
      <c r="H1844" s="2" t="s">
        <v>1764</v>
      </c>
      <c r="I1844" s="4">
        <v>213</v>
      </c>
      <c r="J1844" s="4">
        <v>0</v>
      </c>
      <c r="L1844" s="31">
        <v>7.42</v>
      </c>
      <c r="M1844" s="32">
        <v>28.7</v>
      </c>
      <c r="N1844" s="33">
        <v>28.7</v>
      </c>
    </row>
    <row r="1845" spans="1:14" x14ac:dyDescent="0.25">
      <c r="A1845" s="30">
        <v>1</v>
      </c>
      <c r="B1845" s="2" t="s">
        <v>7398</v>
      </c>
      <c r="C1845" s="2" t="s">
        <v>7399</v>
      </c>
      <c r="D1845" s="2" t="s">
        <v>7247</v>
      </c>
      <c r="E1845" s="5">
        <v>12</v>
      </c>
      <c r="F1845" s="2" t="s">
        <v>1859</v>
      </c>
      <c r="G1845" s="2" t="s">
        <v>7410</v>
      </c>
      <c r="H1845" s="2" t="s">
        <v>1765</v>
      </c>
      <c r="I1845" s="4">
        <v>39</v>
      </c>
      <c r="J1845" s="4">
        <v>0</v>
      </c>
      <c r="L1845" s="31">
        <v>9</v>
      </c>
      <c r="M1845" s="32">
        <v>4.3</v>
      </c>
      <c r="N1845" s="33">
        <v>4.3</v>
      </c>
    </row>
    <row r="1846" spans="1:14" x14ac:dyDescent="0.25">
      <c r="A1846" s="30">
        <v>1</v>
      </c>
      <c r="B1846" s="2" t="s">
        <v>7398</v>
      </c>
      <c r="C1846" s="2" t="s">
        <v>7399</v>
      </c>
      <c r="D1846" s="2" t="s">
        <v>7248</v>
      </c>
      <c r="E1846" s="5">
        <v>12</v>
      </c>
      <c r="F1846" s="2" t="s">
        <v>1859</v>
      </c>
      <c r="G1846" s="2" t="s">
        <v>7410</v>
      </c>
      <c r="H1846" s="2" t="s">
        <v>1766</v>
      </c>
      <c r="I1846" s="4">
        <v>113</v>
      </c>
      <c r="J1846" s="4">
        <v>0</v>
      </c>
      <c r="L1846" s="31">
        <v>4.57</v>
      </c>
      <c r="M1846" s="32">
        <v>24.7</v>
      </c>
      <c r="N1846" s="33">
        <v>24.7</v>
      </c>
    </row>
    <row r="1847" spans="1:14" x14ac:dyDescent="0.25">
      <c r="A1847" s="30">
        <v>1</v>
      </c>
      <c r="B1847" s="2" t="s">
        <v>7398</v>
      </c>
      <c r="C1847" s="2" t="s">
        <v>7399</v>
      </c>
      <c r="D1847" s="2" t="s">
        <v>7249</v>
      </c>
      <c r="E1847" s="5">
        <v>12</v>
      </c>
      <c r="F1847" s="2" t="s">
        <v>1875</v>
      </c>
      <c r="G1847" s="2" t="s">
        <v>7409</v>
      </c>
      <c r="H1847" s="2" t="s">
        <v>1767</v>
      </c>
      <c r="I1847" s="4">
        <v>0</v>
      </c>
      <c r="J1847" s="4">
        <v>500</v>
      </c>
      <c r="L1847" s="31">
        <v>0</v>
      </c>
      <c r="M1847" s="32">
        <v>0</v>
      </c>
      <c r="N1847" s="33">
        <v>9999</v>
      </c>
    </row>
    <row r="1848" spans="1:14" x14ac:dyDescent="0.25">
      <c r="A1848" s="30">
        <v>1</v>
      </c>
      <c r="B1848" s="2" t="s">
        <v>7398</v>
      </c>
      <c r="C1848" s="2" t="s">
        <v>7399</v>
      </c>
      <c r="D1848" s="2" t="s">
        <v>7250</v>
      </c>
      <c r="E1848" s="5">
        <v>12</v>
      </c>
      <c r="F1848" s="2" t="s">
        <v>1849</v>
      </c>
      <c r="G1848" s="2" t="s">
        <v>7410</v>
      </c>
      <c r="H1848" s="2" t="s">
        <v>1768</v>
      </c>
      <c r="I1848" s="4">
        <v>37</v>
      </c>
      <c r="J1848" s="4">
        <v>0</v>
      </c>
      <c r="L1848" s="31">
        <v>1</v>
      </c>
      <c r="M1848" s="32">
        <v>37</v>
      </c>
      <c r="N1848" s="33">
        <v>37</v>
      </c>
    </row>
    <row r="1849" spans="1:14" x14ac:dyDescent="0.25">
      <c r="A1849" s="30">
        <v>1</v>
      </c>
      <c r="B1849" s="2" t="s">
        <v>7398</v>
      </c>
      <c r="C1849" s="2" t="s">
        <v>7399</v>
      </c>
      <c r="D1849" s="2" t="s">
        <v>7251</v>
      </c>
      <c r="E1849" s="5">
        <v>12</v>
      </c>
      <c r="F1849" s="2" t="s">
        <v>1849</v>
      </c>
      <c r="G1849" s="2" t="s">
        <v>7410</v>
      </c>
      <c r="H1849" s="2" t="s">
        <v>1769</v>
      </c>
      <c r="I1849" s="4">
        <v>66</v>
      </c>
      <c r="J1849" s="4">
        <v>0</v>
      </c>
      <c r="L1849" s="31">
        <v>1.57</v>
      </c>
      <c r="M1849" s="32">
        <v>42</v>
      </c>
      <c r="N1849" s="33">
        <v>42</v>
      </c>
    </row>
    <row r="1850" spans="1:14" x14ac:dyDescent="0.25">
      <c r="A1850" s="30">
        <v>1</v>
      </c>
      <c r="B1850" s="2" t="s">
        <v>7398</v>
      </c>
      <c r="C1850" s="2" t="s">
        <v>7399</v>
      </c>
      <c r="D1850" s="2" t="s">
        <v>7252</v>
      </c>
      <c r="E1850" s="5">
        <v>12</v>
      </c>
      <c r="F1850" s="2" t="s">
        <v>1874</v>
      </c>
      <c r="G1850" s="2" t="s">
        <v>7410</v>
      </c>
      <c r="H1850" s="2" t="s">
        <v>1770</v>
      </c>
      <c r="I1850" s="4">
        <v>26</v>
      </c>
      <c r="J1850" s="4">
        <v>0</v>
      </c>
      <c r="L1850" s="31">
        <v>0.85</v>
      </c>
      <c r="M1850" s="32">
        <v>30.6</v>
      </c>
      <c r="N1850" s="33">
        <v>30.6</v>
      </c>
    </row>
    <row r="1851" spans="1:14" x14ac:dyDescent="0.25">
      <c r="A1851" s="30">
        <v>1</v>
      </c>
      <c r="B1851" s="2" t="s">
        <v>7398</v>
      </c>
      <c r="C1851" s="2" t="s">
        <v>7399</v>
      </c>
      <c r="D1851" s="2" t="s">
        <v>7253</v>
      </c>
      <c r="E1851" s="5">
        <v>12</v>
      </c>
      <c r="F1851" s="2" t="s">
        <v>1874</v>
      </c>
      <c r="G1851" s="2" t="s">
        <v>7409</v>
      </c>
      <c r="H1851" s="2" t="s">
        <v>1771</v>
      </c>
      <c r="I1851" s="4">
        <v>765</v>
      </c>
      <c r="J1851" s="4">
        <v>78</v>
      </c>
      <c r="L1851" s="31">
        <v>80.14</v>
      </c>
      <c r="M1851" s="32">
        <v>10.5</v>
      </c>
      <c r="N1851" s="33">
        <v>9.5</v>
      </c>
    </row>
    <row r="1852" spans="1:14" x14ac:dyDescent="0.25">
      <c r="A1852" s="30">
        <v>1</v>
      </c>
      <c r="B1852" s="2" t="s">
        <v>7398</v>
      </c>
      <c r="C1852" s="2" t="s">
        <v>7399</v>
      </c>
      <c r="D1852" s="2" t="s">
        <v>7254</v>
      </c>
      <c r="E1852" s="5">
        <v>12</v>
      </c>
      <c r="F1852" s="2" t="s">
        <v>1874</v>
      </c>
      <c r="G1852" s="2" t="s">
        <v>7409</v>
      </c>
      <c r="H1852" s="2" t="s">
        <v>1772</v>
      </c>
      <c r="I1852" s="4">
        <v>709</v>
      </c>
      <c r="J1852" s="4">
        <v>320</v>
      </c>
      <c r="L1852" s="31">
        <v>72.28</v>
      </c>
      <c r="M1852" s="32">
        <v>14.2</v>
      </c>
      <c r="N1852" s="33">
        <v>9.8000000000000007</v>
      </c>
    </row>
    <row r="1853" spans="1:14" x14ac:dyDescent="0.25">
      <c r="A1853" s="30">
        <v>1</v>
      </c>
      <c r="B1853" s="2" t="s">
        <v>7398</v>
      </c>
      <c r="C1853" s="2" t="s">
        <v>7399</v>
      </c>
      <c r="D1853" s="2" t="s">
        <v>7255</v>
      </c>
      <c r="E1853" s="5">
        <v>20</v>
      </c>
      <c r="F1853" s="2" t="s">
        <v>1849</v>
      </c>
      <c r="G1853" s="2" t="s">
        <v>7410</v>
      </c>
      <c r="H1853" s="2" t="s">
        <v>1773</v>
      </c>
      <c r="I1853" s="4">
        <v>36</v>
      </c>
      <c r="J1853" s="4">
        <v>0</v>
      </c>
      <c r="L1853" s="31">
        <v>2.14</v>
      </c>
      <c r="M1853" s="32">
        <v>16.8</v>
      </c>
      <c r="N1853" s="33">
        <v>16.8</v>
      </c>
    </row>
    <row r="1854" spans="1:14" x14ac:dyDescent="0.25">
      <c r="A1854" s="30">
        <v>1</v>
      </c>
      <c r="B1854" s="2" t="s">
        <v>7398</v>
      </c>
      <c r="C1854" s="2" t="s">
        <v>7399</v>
      </c>
      <c r="D1854" s="2" t="s">
        <v>7256</v>
      </c>
      <c r="E1854" s="5">
        <v>24</v>
      </c>
      <c r="F1854" s="2" t="s">
        <v>1882</v>
      </c>
      <c r="G1854" s="2" t="s">
        <v>7409</v>
      </c>
      <c r="H1854" s="2" t="s">
        <v>1774</v>
      </c>
      <c r="I1854" s="4">
        <v>84</v>
      </c>
      <c r="J1854" s="4">
        <v>120</v>
      </c>
      <c r="L1854" s="31">
        <v>48.85</v>
      </c>
      <c r="M1854" s="32">
        <v>4.2</v>
      </c>
      <c r="N1854" s="33">
        <v>1.7</v>
      </c>
    </row>
    <row r="1855" spans="1:14" x14ac:dyDescent="0.25">
      <c r="A1855" s="30">
        <v>1</v>
      </c>
      <c r="B1855" s="2" t="s">
        <v>7398</v>
      </c>
      <c r="C1855" s="2" t="s">
        <v>7399</v>
      </c>
      <c r="D1855" s="2" t="s">
        <v>7257</v>
      </c>
      <c r="E1855" s="5">
        <v>12</v>
      </c>
      <c r="F1855" s="2" t="s">
        <v>1915</v>
      </c>
      <c r="G1855" s="2" t="s">
        <v>7410</v>
      </c>
      <c r="H1855" s="2" t="s">
        <v>1775</v>
      </c>
      <c r="I1855" s="4">
        <v>102</v>
      </c>
      <c r="J1855" s="4">
        <v>100</v>
      </c>
      <c r="L1855" s="31">
        <v>1.71</v>
      </c>
      <c r="M1855" s="32">
        <v>118.1</v>
      </c>
      <c r="N1855" s="33">
        <v>59.6</v>
      </c>
    </row>
    <row r="1856" spans="1:14" x14ac:dyDescent="0.25">
      <c r="A1856" s="30">
        <v>1</v>
      </c>
      <c r="B1856" s="2" t="s">
        <v>7398</v>
      </c>
      <c r="C1856" s="2" t="s">
        <v>7399</v>
      </c>
      <c r="D1856" s="2" t="s">
        <v>7258</v>
      </c>
      <c r="E1856" s="5">
        <v>12</v>
      </c>
      <c r="F1856" s="2" t="s">
        <v>1915</v>
      </c>
      <c r="G1856" s="2" t="s">
        <v>7410</v>
      </c>
      <c r="H1856" s="2" t="s">
        <v>1776</v>
      </c>
      <c r="I1856" s="4">
        <v>60</v>
      </c>
      <c r="J1856" s="4">
        <v>100</v>
      </c>
      <c r="L1856" s="31">
        <v>3</v>
      </c>
      <c r="M1856" s="32">
        <v>53.3</v>
      </c>
      <c r="N1856" s="33">
        <v>20</v>
      </c>
    </row>
    <row r="1857" spans="1:14" x14ac:dyDescent="0.25">
      <c r="A1857" s="30">
        <v>1</v>
      </c>
      <c r="B1857" s="2" t="s">
        <v>7398</v>
      </c>
      <c r="C1857" s="2" t="s">
        <v>7399</v>
      </c>
      <c r="D1857" s="2" t="s">
        <v>7259</v>
      </c>
      <c r="E1857" s="5">
        <v>24</v>
      </c>
      <c r="F1857" s="2" t="s">
        <v>1849</v>
      </c>
      <c r="G1857" s="2" t="s">
        <v>7409</v>
      </c>
      <c r="H1857" s="2" t="s">
        <v>1777</v>
      </c>
      <c r="I1857" s="4">
        <v>59</v>
      </c>
      <c r="J1857" s="4">
        <v>0</v>
      </c>
      <c r="L1857" s="31">
        <v>8.14</v>
      </c>
      <c r="M1857" s="32">
        <v>7.2</v>
      </c>
      <c r="N1857" s="33">
        <v>7.2</v>
      </c>
    </row>
    <row r="1858" spans="1:14" x14ac:dyDescent="0.25">
      <c r="A1858" s="30">
        <v>1</v>
      </c>
      <c r="B1858" s="2" t="s">
        <v>7398</v>
      </c>
      <c r="C1858" s="2" t="s">
        <v>7399</v>
      </c>
      <c r="D1858" s="2" t="s">
        <v>7260</v>
      </c>
      <c r="E1858" s="5">
        <v>24</v>
      </c>
      <c r="F1858" s="2" t="s">
        <v>1849</v>
      </c>
      <c r="G1858" s="2" t="s">
        <v>7409</v>
      </c>
      <c r="H1858" s="2" t="s">
        <v>1778</v>
      </c>
      <c r="I1858" s="4">
        <v>9</v>
      </c>
      <c r="J1858" s="4">
        <v>45</v>
      </c>
      <c r="L1858" s="31">
        <v>1.42</v>
      </c>
      <c r="M1858" s="32">
        <v>38</v>
      </c>
      <c r="N1858" s="33">
        <v>6.3</v>
      </c>
    </row>
    <row r="1859" spans="1:14" x14ac:dyDescent="0.25">
      <c r="A1859" s="30">
        <v>1</v>
      </c>
      <c r="B1859" s="2" t="s">
        <v>7398</v>
      </c>
      <c r="C1859" s="2" t="s">
        <v>7399</v>
      </c>
      <c r="D1859" s="2" t="s">
        <v>7261</v>
      </c>
      <c r="E1859" s="5">
        <v>6</v>
      </c>
      <c r="F1859" s="2" t="s">
        <v>1849</v>
      </c>
      <c r="G1859" s="2" t="s">
        <v>7400</v>
      </c>
      <c r="H1859" s="2" t="s">
        <v>7449</v>
      </c>
      <c r="I1859" s="4">
        <v>0</v>
      </c>
      <c r="J1859" s="4">
        <v>0</v>
      </c>
      <c r="L1859" s="31">
        <v>0</v>
      </c>
      <c r="M1859" s="32">
        <v>0</v>
      </c>
      <c r="N1859" s="33">
        <v>9999</v>
      </c>
    </row>
    <row r="1860" spans="1:14" x14ac:dyDescent="0.25">
      <c r="A1860" s="30">
        <v>1</v>
      </c>
      <c r="B1860" s="2" t="s">
        <v>7398</v>
      </c>
      <c r="C1860" s="2" t="s">
        <v>7399</v>
      </c>
      <c r="D1860" s="2" t="s">
        <v>7262</v>
      </c>
      <c r="E1860" s="5">
        <v>6</v>
      </c>
      <c r="F1860" s="2" t="s">
        <v>1849</v>
      </c>
      <c r="G1860" s="2" t="s">
        <v>7400</v>
      </c>
      <c r="H1860" s="2" t="s">
        <v>7450</v>
      </c>
      <c r="I1860" s="4">
        <v>0</v>
      </c>
      <c r="J1860" s="4">
        <v>0</v>
      </c>
      <c r="L1860" s="31">
        <v>0</v>
      </c>
      <c r="M1860" s="32">
        <v>0</v>
      </c>
      <c r="N1860" s="33">
        <v>9999</v>
      </c>
    </row>
    <row r="1861" spans="1:14" x14ac:dyDescent="0.25">
      <c r="A1861" s="30">
        <v>1</v>
      </c>
      <c r="B1861" s="2" t="s">
        <v>7398</v>
      </c>
      <c r="C1861" s="2" t="s">
        <v>7399</v>
      </c>
      <c r="D1861" s="2" t="s">
        <v>7263</v>
      </c>
      <c r="E1861" s="5">
        <v>12</v>
      </c>
      <c r="F1861" s="2" t="s">
        <v>1868</v>
      </c>
      <c r="G1861" s="2" t="s">
        <v>7410</v>
      </c>
      <c r="H1861" s="2" t="s">
        <v>1779</v>
      </c>
      <c r="I1861" s="4">
        <v>42</v>
      </c>
      <c r="J1861" s="4">
        <v>0</v>
      </c>
      <c r="L1861" s="31">
        <v>2.42</v>
      </c>
      <c r="M1861" s="32">
        <v>17.399999999999999</v>
      </c>
      <c r="N1861" s="33">
        <v>17.399999999999999</v>
      </c>
    </row>
    <row r="1862" spans="1:14" x14ac:dyDescent="0.25">
      <c r="A1862" s="30">
        <v>1</v>
      </c>
      <c r="B1862" s="2" t="s">
        <v>7398</v>
      </c>
      <c r="C1862" s="2" t="s">
        <v>7399</v>
      </c>
      <c r="D1862" s="2" t="s">
        <v>7264</v>
      </c>
      <c r="E1862" s="5">
        <v>12</v>
      </c>
      <c r="F1862" s="2" t="s">
        <v>1868</v>
      </c>
      <c r="G1862" s="2" t="s">
        <v>7410</v>
      </c>
      <c r="H1862" s="2" t="s">
        <v>1780</v>
      </c>
      <c r="I1862" s="4">
        <v>0</v>
      </c>
      <c r="J1862" s="4">
        <v>110</v>
      </c>
      <c r="L1862" s="31">
        <v>1.57</v>
      </c>
      <c r="M1862" s="32">
        <v>70.099999999999994</v>
      </c>
      <c r="N1862" s="33">
        <v>0</v>
      </c>
    </row>
    <row r="1863" spans="1:14" x14ac:dyDescent="0.25">
      <c r="A1863" s="30">
        <v>1</v>
      </c>
      <c r="B1863" s="2" t="s">
        <v>7398</v>
      </c>
      <c r="C1863" s="2" t="s">
        <v>7399</v>
      </c>
      <c r="D1863" s="2" t="s">
        <v>7265</v>
      </c>
      <c r="E1863" s="5">
        <v>10</v>
      </c>
      <c r="F1863" s="2" t="s">
        <v>1910</v>
      </c>
      <c r="G1863" s="2" t="s">
        <v>7409</v>
      </c>
      <c r="H1863" s="2" t="s">
        <v>1781</v>
      </c>
      <c r="I1863" s="4">
        <v>172</v>
      </c>
      <c r="J1863" s="4">
        <v>192</v>
      </c>
      <c r="L1863" s="31">
        <v>27</v>
      </c>
      <c r="M1863" s="32">
        <v>13.5</v>
      </c>
      <c r="N1863" s="33">
        <v>6.4</v>
      </c>
    </row>
    <row r="1864" spans="1:14" x14ac:dyDescent="0.25">
      <c r="A1864" s="30">
        <v>1</v>
      </c>
      <c r="B1864" s="2" t="s">
        <v>7398</v>
      </c>
      <c r="C1864" s="2" t="s">
        <v>7399</v>
      </c>
      <c r="D1864" s="2" t="s">
        <v>7266</v>
      </c>
      <c r="E1864" s="5">
        <v>20</v>
      </c>
      <c r="F1864" s="2" t="s">
        <v>1849</v>
      </c>
      <c r="G1864" s="2" t="s">
        <v>7409</v>
      </c>
      <c r="H1864" s="2" t="s">
        <v>1782</v>
      </c>
      <c r="I1864" s="4">
        <v>12</v>
      </c>
      <c r="J1864" s="4">
        <v>0</v>
      </c>
      <c r="L1864" s="31">
        <v>0.42</v>
      </c>
      <c r="M1864" s="32">
        <v>28.6</v>
      </c>
      <c r="N1864" s="33">
        <v>28.6</v>
      </c>
    </row>
    <row r="1865" spans="1:14" x14ac:dyDescent="0.25">
      <c r="A1865" s="30">
        <v>1</v>
      </c>
      <c r="B1865" s="2" t="s">
        <v>7398</v>
      </c>
      <c r="C1865" s="2" t="s">
        <v>7399</v>
      </c>
      <c r="D1865" s="2" t="s">
        <v>7267</v>
      </c>
      <c r="E1865" s="5">
        <v>12</v>
      </c>
      <c r="F1865" s="2" t="s">
        <v>1855</v>
      </c>
      <c r="G1865" s="2" t="s">
        <v>7410</v>
      </c>
      <c r="H1865" s="2" t="s">
        <v>1783</v>
      </c>
      <c r="I1865" s="4">
        <v>9208</v>
      </c>
      <c r="J1865" s="4">
        <v>0</v>
      </c>
      <c r="L1865" s="31">
        <v>92.14</v>
      </c>
      <c r="M1865" s="32">
        <v>99.9</v>
      </c>
      <c r="N1865" s="33">
        <v>99.9</v>
      </c>
    </row>
    <row r="1866" spans="1:14" x14ac:dyDescent="0.25">
      <c r="A1866" s="30">
        <v>1</v>
      </c>
      <c r="B1866" s="2" t="s">
        <v>7398</v>
      </c>
      <c r="C1866" s="2" t="s">
        <v>7399</v>
      </c>
      <c r="D1866" s="2" t="s">
        <v>7268</v>
      </c>
      <c r="E1866" s="5">
        <v>12</v>
      </c>
      <c r="F1866" s="2" t="s">
        <v>1882</v>
      </c>
      <c r="G1866" s="2" t="s">
        <v>7409</v>
      </c>
      <c r="H1866" s="2" t="s">
        <v>1784</v>
      </c>
      <c r="I1866" s="4">
        <v>315</v>
      </c>
      <c r="J1866" s="4">
        <v>0</v>
      </c>
      <c r="L1866" s="31">
        <v>1.57</v>
      </c>
      <c r="M1866" s="32">
        <v>200.6</v>
      </c>
      <c r="N1866" s="33">
        <v>200.6</v>
      </c>
    </row>
    <row r="1867" spans="1:14" x14ac:dyDescent="0.25">
      <c r="A1867" s="30">
        <v>1</v>
      </c>
      <c r="B1867" s="2" t="s">
        <v>7398</v>
      </c>
      <c r="C1867" s="2" t="s">
        <v>7399</v>
      </c>
      <c r="D1867" s="2" t="s">
        <v>7269</v>
      </c>
      <c r="E1867" s="5">
        <v>24</v>
      </c>
      <c r="F1867" s="2" t="s">
        <v>1839</v>
      </c>
      <c r="G1867" s="2" t="s">
        <v>7434</v>
      </c>
      <c r="H1867" s="2" t="s">
        <v>1785</v>
      </c>
      <c r="I1867" s="4">
        <v>430</v>
      </c>
      <c r="J1867" s="4">
        <v>240</v>
      </c>
      <c r="L1867" s="31">
        <v>21.28</v>
      </c>
      <c r="M1867" s="32">
        <v>31.5</v>
      </c>
      <c r="N1867" s="33">
        <v>20.2</v>
      </c>
    </row>
    <row r="1868" spans="1:14" x14ac:dyDescent="0.25">
      <c r="A1868" s="30">
        <v>1</v>
      </c>
      <c r="B1868" s="2" t="s">
        <v>7398</v>
      </c>
      <c r="C1868" s="2" t="s">
        <v>7399</v>
      </c>
      <c r="D1868" s="2" t="s">
        <v>7270</v>
      </c>
      <c r="E1868" s="5">
        <v>6</v>
      </c>
      <c r="F1868" s="2" t="s">
        <v>2074</v>
      </c>
      <c r="G1868" s="2" t="s">
        <v>7409</v>
      </c>
      <c r="H1868" s="2" t="s">
        <v>1786</v>
      </c>
      <c r="I1868" s="4">
        <v>330</v>
      </c>
      <c r="J1868" s="4">
        <v>0</v>
      </c>
      <c r="L1868" s="31">
        <v>1.57</v>
      </c>
      <c r="M1868" s="32">
        <v>210.2</v>
      </c>
      <c r="N1868" s="33">
        <v>210.2</v>
      </c>
    </row>
    <row r="1869" spans="1:14" x14ac:dyDescent="0.25">
      <c r="A1869" s="30">
        <v>1</v>
      </c>
      <c r="B1869" s="2" t="s">
        <v>7398</v>
      </c>
      <c r="C1869" s="2" t="s">
        <v>7399</v>
      </c>
      <c r="D1869" s="2" t="s">
        <v>7271</v>
      </c>
      <c r="E1869" s="5">
        <v>20</v>
      </c>
      <c r="F1869" s="2" t="s">
        <v>1849</v>
      </c>
      <c r="G1869" s="2" t="s">
        <v>7410</v>
      </c>
      <c r="H1869" s="2" t="s">
        <v>1787</v>
      </c>
      <c r="I1869" s="4">
        <v>252</v>
      </c>
      <c r="J1869" s="4">
        <v>0</v>
      </c>
      <c r="L1869" s="31">
        <v>1.42</v>
      </c>
      <c r="M1869" s="32">
        <v>177.5</v>
      </c>
      <c r="N1869" s="33">
        <v>177.5</v>
      </c>
    </row>
    <row r="1870" spans="1:14" x14ac:dyDescent="0.25">
      <c r="A1870" s="30">
        <v>1</v>
      </c>
      <c r="B1870" s="2" t="s">
        <v>7398</v>
      </c>
      <c r="C1870" s="2" t="s">
        <v>7399</v>
      </c>
      <c r="D1870" s="2" t="s">
        <v>7272</v>
      </c>
      <c r="E1870" s="5">
        <v>16</v>
      </c>
      <c r="F1870" s="2" t="s">
        <v>2087</v>
      </c>
      <c r="G1870" s="2" t="s">
        <v>7409</v>
      </c>
      <c r="H1870" s="2" t="s">
        <v>1788</v>
      </c>
      <c r="I1870" s="4">
        <v>88</v>
      </c>
      <c r="J1870" s="4">
        <v>160</v>
      </c>
      <c r="L1870" s="31">
        <v>50.71</v>
      </c>
      <c r="M1870" s="32">
        <v>4.9000000000000004</v>
      </c>
      <c r="N1870" s="33">
        <v>1.7</v>
      </c>
    </row>
    <row r="1871" spans="1:14" x14ac:dyDescent="0.25">
      <c r="A1871" s="30">
        <v>1</v>
      </c>
      <c r="B1871" s="2" t="s">
        <v>7398</v>
      </c>
      <c r="C1871" s="2" t="s">
        <v>7399</v>
      </c>
      <c r="D1871" s="2" t="s">
        <v>7273</v>
      </c>
      <c r="E1871" s="5">
        <v>12</v>
      </c>
      <c r="F1871" s="2" t="s">
        <v>1876</v>
      </c>
      <c r="G1871" s="2" t="s">
        <v>7405</v>
      </c>
      <c r="H1871" s="2" t="s">
        <v>1789</v>
      </c>
      <c r="I1871" s="4">
        <v>386</v>
      </c>
      <c r="J1871" s="4">
        <v>180</v>
      </c>
      <c r="L1871" s="31">
        <v>1.71</v>
      </c>
      <c r="M1871" s="32">
        <v>331</v>
      </c>
      <c r="N1871" s="33">
        <v>225.7</v>
      </c>
    </row>
    <row r="1872" spans="1:14" x14ac:dyDescent="0.25">
      <c r="A1872" s="30">
        <v>1</v>
      </c>
      <c r="B1872" s="2" t="s">
        <v>7398</v>
      </c>
      <c r="C1872" s="2" t="s">
        <v>7399</v>
      </c>
      <c r="D1872" s="2" t="s">
        <v>7274</v>
      </c>
      <c r="E1872" s="5">
        <v>12</v>
      </c>
      <c r="F1872" s="2" t="s">
        <v>1849</v>
      </c>
      <c r="G1872" s="2" t="s">
        <v>7409</v>
      </c>
      <c r="H1872" s="2" t="s">
        <v>1790</v>
      </c>
      <c r="I1872" s="4">
        <v>121</v>
      </c>
      <c r="J1872" s="4">
        <v>286</v>
      </c>
      <c r="L1872" s="31">
        <v>20.28</v>
      </c>
      <c r="M1872" s="32">
        <v>20.100000000000001</v>
      </c>
      <c r="N1872" s="33">
        <v>6</v>
      </c>
    </row>
    <row r="1873" spans="1:14" x14ac:dyDescent="0.25">
      <c r="A1873" s="30">
        <v>1</v>
      </c>
      <c r="B1873" s="2" t="s">
        <v>7398</v>
      </c>
      <c r="C1873" s="2" t="s">
        <v>7399</v>
      </c>
      <c r="D1873" s="2" t="s">
        <v>7275</v>
      </c>
      <c r="E1873" s="5">
        <v>12</v>
      </c>
      <c r="F1873" s="2" t="s">
        <v>1849</v>
      </c>
      <c r="H1873" s="2" t="s">
        <v>1791</v>
      </c>
      <c r="I1873" s="4">
        <v>134</v>
      </c>
      <c r="J1873" s="4">
        <v>286</v>
      </c>
      <c r="L1873" s="31">
        <v>29.14</v>
      </c>
      <c r="M1873" s="32">
        <v>14.4</v>
      </c>
      <c r="N1873" s="33">
        <v>4.5999999999999996</v>
      </c>
    </row>
    <row r="1874" spans="1:14" x14ac:dyDescent="0.25">
      <c r="A1874" s="30">
        <v>1</v>
      </c>
      <c r="B1874" s="2" t="s">
        <v>7398</v>
      </c>
      <c r="C1874" s="2" t="s">
        <v>7399</v>
      </c>
      <c r="D1874" s="2" t="s">
        <v>7276</v>
      </c>
      <c r="E1874" s="5">
        <v>6</v>
      </c>
      <c r="F1874" s="2" t="s">
        <v>1927</v>
      </c>
      <c r="G1874" s="2" t="s">
        <v>7410</v>
      </c>
      <c r="H1874" s="2" t="s">
        <v>5383</v>
      </c>
      <c r="I1874" s="4">
        <v>259</v>
      </c>
      <c r="J1874" s="4">
        <v>81</v>
      </c>
      <c r="L1874" s="31">
        <v>1.28</v>
      </c>
      <c r="M1874" s="32">
        <v>265.60000000000002</v>
      </c>
      <c r="N1874" s="33">
        <v>202.3</v>
      </c>
    </row>
    <row r="1875" spans="1:14" x14ac:dyDescent="0.25">
      <c r="A1875" s="30">
        <v>1</v>
      </c>
      <c r="B1875" s="2" t="s">
        <v>7398</v>
      </c>
      <c r="C1875" s="2" t="s">
        <v>7399</v>
      </c>
      <c r="D1875" s="2" t="s">
        <v>7277</v>
      </c>
      <c r="E1875" s="5">
        <v>12</v>
      </c>
      <c r="F1875" s="2" t="s">
        <v>1849</v>
      </c>
      <c r="G1875" s="2" t="s">
        <v>7409</v>
      </c>
      <c r="H1875" s="2" t="s">
        <v>1792</v>
      </c>
      <c r="I1875" s="4">
        <v>908</v>
      </c>
      <c r="J1875" s="4">
        <v>1287</v>
      </c>
      <c r="L1875" s="31">
        <v>105.14</v>
      </c>
      <c r="M1875" s="32">
        <v>20.9</v>
      </c>
      <c r="N1875" s="33">
        <v>8.6</v>
      </c>
    </row>
    <row r="1876" spans="1:14" x14ac:dyDescent="0.25">
      <c r="A1876" s="30">
        <v>1</v>
      </c>
      <c r="B1876" s="2" t="s">
        <v>7398</v>
      </c>
      <c r="C1876" s="2" t="s">
        <v>7399</v>
      </c>
      <c r="D1876" s="2" t="s">
        <v>7278</v>
      </c>
      <c r="E1876" s="5">
        <v>6</v>
      </c>
      <c r="F1876" s="2" t="s">
        <v>1927</v>
      </c>
      <c r="G1876" s="2" t="s">
        <v>7410</v>
      </c>
      <c r="H1876" s="2" t="s">
        <v>5385</v>
      </c>
      <c r="I1876" s="4">
        <v>379</v>
      </c>
      <c r="J1876" s="4">
        <v>0</v>
      </c>
      <c r="L1876" s="31">
        <v>0.71</v>
      </c>
      <c r="M1876" s="32">
        <v>533.79999999999995</v>
      </c>
      <c r="N1876" s="33">
        <v>533.79999999999995</v>
      </c>
    </row>
    <row r="1877" spans="1:14" x14ac:dyDescent="0.25">
      <c r="A1877" s="30">
        <v>1</v>
      </c>
      <c r="B1877" s="2" t="s">
        <v>7398</v>
      </c>
      <c r="C1877" s="2" t="s">
        <v>7399</v>
      </c>
      <c r="D1877" s="2" t="s">
        <v>7279</v>
      </c>
      <c r="E1877" s="5">
        <v>6</v>
      </c>
      <c r="F1877" s="2" t="s">
        <v>1927</v>
      </c>
      <c r="G1877" s="2" t="s">
        <v>7410</v>
      </c>
      <c r="H1877" s="2" t="s">
        <v>5401</v>
      </c>
      <c r="I1877" s="4">
        <v>151</v>
      </c>
      <c r="J1877" s="4">
        <v>0</v>
      </c>
      <c r="L1877" s="31">
        <v>0.42</v>
      </c>
      <c r="M1877" s="32">
        <v>359.5</v>
      </c>
      <c r="N1877" s="33">
        <v>359.5</v>
      </c>
    </row>
    <row r="1878" spans="1:14" x14ac:dyDescent="0.25">
      <c r="A1878" s="30">
        <v>1</v>
      </c>
      <c r="B1878" s="2" t="s">
        <v>7398</v>
      </c>
      <c r="C1878" s="2" t="s">
        <v>7399</v>
      </c>
      <c r="D1878" s="2" t="s">
        <v>7280</v>
      </c>
      <c r="E1878" s="5">
        <v>12</v>
      </c>
      <c r="F1878" s="2" t="s">
        <v>1874</v>
      </c>
      <c r="G1878" s="2" t="s">
        <v>7410</v>
      </c>
      <c r="H1878" s="2" t="s">
        <v>1793</v>
      </c>
      <c r="I1878" s="4">
        <v>52</v>
      </c>
      <c r="J1878" s="4">
        <v>420</v>
      </c>
      <c r="L1878" s="31">
        <v>12.85</v>
      </c>
      <c r="M1878" s="32">
        <v>36.700000000000003</v>
      </c>
      <c r="N1878" s="33">
        <v>4</v>
      </c>
    </row>
    <row r="1879" spans="1:14" x14ac:dyDescent="0.25">
      <c r="A1879" s="30">
        <v>1</v>
      </c>
      <c r="B1879" s="2" t="s">
        <v>7398</v>
      </c>
      <c r="C1879" s="2" t="s">
        <v>7399</v>
      </c>
      <c r="D1879" s="2" t="s">
        <v>7281</v>
      </c>
      <c r="E1879" s="5">
        <v>13</v>
      </c>
      <c r="F1879" s="2" t="s">
        <v>1849</v>
      </c>
      <c r="G1879" s="2" t="s">
        <v>7409</v>
      </c>
      <c r="H1879" s="2" t="s">
        <v>1794</v>
      </c>
      <c r="I1879" s="4">
        <v>53</v>
      </c>
      <c r="J1879" s="4">
        <v>120</v>
      </c>
      <c r="L1879" s="31">
        <v>0.85</v>
      </c>
      <c r="M1879" s="32">
        <v>203.5</v>
      </c>
      <c r="N1879" s="33">
        <v>62.4</v>
      </c>
    </row>
    <row r="1880" spans="1:14" x14ac:dyDescent="0.25">
      <c r="A1880" s="30">
        <v>1</v>
      </c>
      <c r="B1880" s="2" t="s">
        <v>7398</v>
      </c>
      <c r="C1880" s="2" t="s">
        <v>7399</v>
      </c>
      <c r="D1880" s="2" t="s">
        <v>7282</v>
      </c>
      <c r="E1880" s="5">
        <v>13</v>
      </c>
      <c r="F1880" s="2" t="s">
        <v>1849</v>
      </c>
      <c r="G1880" s="2" t="s">
        <v>7409</v>
      </c>
      <c r="H1880" s="2" t="s">
        <v>1795</v>
      </c>
      <c r="I1880" s="4">
        <v>43</v>
      </c>
      <c r="J1880" s="4">
        <v>120</v>
      </c>
      <c r="L1880" s="31">
        <v>0.42</v>
      </c>
      <c r="M1880" s="32">
        <v>388.1</v>
      </c>
      <c r="N1880" s="33">
        <v>102.4</v>
      </c>
    </row>
    <row r="1881" spans="1:14" x14ac:dyDescent="0.25">
      <c r="A1881" s="30">
        <v>1</v>
      </c>
      <c r="B1881" s="2" t="s">
        <v>7398</v>
      </c>
      <c r="C1881" s="2" t="s">
        <v>7399</v>
      </c>
      <c r="D1881" s="2" t="s">
        <v>7283</v>
      </c>
      <c r="E1881" s="5">
        <v>12</v>
      </c>
      <c r="F1881" s="2" t="s">
        <v>2088</v>
      </c>
      <c r="G1881" s="2" t="s">
        <v>7409</v>
      </c>
      <c r="H1881" s="2" t="s">
        <v>1796</v>
      </c>
      <c r="I1881" s="4">
        <v>36</v>
      </c>
      <c r="J1881" s="4">
        <v>1350</v>
      </c>
      <c r="L1881" s="31">
        <v>1.42</v>
      </c>
      <c r="M1881" s="32">
        <v>976.1</v>
      </c>
      <c r="N1881" s="33">
        <v>25.4</v>
      </c>
    </row>
    <row r="1882" spans="1:14" x14ac:dyDescent="0.25">
      <c r="A1882" s="30">
        <v>1</v>
      </c>
      <c r="B1882" s="2" t="s">
        <v>7398</v>
      </c>
      <c r="C1882" s="2" t="s">
        <v>7399</v>
      </c>
      <c r="D1882" s="2" t="s">
        <v>7284</v>
      </c>
      <c r="E1882" s="5">
        <v>12</v>
      </c>
      <c r="F1882" s="2" t="s">
        <v>2022</v>
      </c>
      <c r="G1882" s="2" t="s">
        <v>7409</v>
      </c>
      <c r="H1882" s="2" t="s">
        <v>1797</v>
      </c>
      <c r="I1882" s="4">
        <v>1224</v>
      </c>
      <c r="J1882" s="4">
        <v>270</v>
      </c>
      <c r="L1882" s="31">
        <v>2.42</v>
      </c>
      <c r="M1882" s="32">
        <v>617.4</v>
      </c>
      <c r="N1882" s="33">
        <v>505.8</v>
      </c>
    </row>
    <row r="1883" spans="1:14" x14ac:dyDescent="0.25">
      <c r="A1883" s="30">
        <v>1</v>
      </c>
      <c r="B1883" s="2" t="s">
        <v>7398</v>
      </c>
      <c r="C1883" s="2" t="s">
        <v>7399</v>
      </c>
      <c r="D1883" s="2" t="s">
        <v>7285</v>
      </c>
      <c r="E1883" s="5">
        <v>12</v>
      </c>
      <c r="F1883" s="2" t="s">
        <v>2022</v>
      </c>
      <c r="G1883" s="2" t="s">
        <v>7409</v>
      </c>
      <c r="H1883" s="2" t="s">
        <v>1798</v>
      </c>
      <c r="I1883" s="4">
        <v>374</v>
      </c>
      <c r="J1883" s="4">
        <v>270</v>
      </c>
      <c r="L1883" s="31">
        <v>2.71</v>
      </c>
      <c r="M1883" s="32">
        <v>237.6</v>
      </c>
      <c r="N1883" s="33">
        <v>138</v>
      </c>
    </row>
    <row r="1884" spans="1:14" x14ac:dyDescent="0.25">
      <c r="A1884" s="30">
        <v>1</v>
      </c>
      <c r="B1884" s="2" t="s">
        <v>7398</v>
      </c>
      <c r="C1884" s="2" t="s">
        <v>7399</v>
      </c>
      <c r="D1884" s="2" t="s">
        <v>7286</v>
      </c>
      <c r="E1884" s="5">
        <v>10</v>
      </c>
      <c r="F1884" s="2" t="s">
        <v>1849</v>
      </c>
      <c r="G1884" s="2" t="s">
        <v>7409</v>
      </c>
      <c r="H1884" s="2" t="s">
        <v>7451</v>
      </c>
      <c r="I1884" s="4">
        <v>0</v>
      </c>
      <c r="J1884" s="4">
        <v>0</v>
      </c>
      <c r="L1884" s="31">
        <v>0</v>
      </c>
      <c r="M1884" s="32">
        <v>0</v>
      </c>
      <c r="N1884" s="33">
        <v>9999</v>
      </c>
    </row>
    <row r="1885" spans="1:14" x14ac:dyDescent="0.25">
      <c r="A1885" s="30">
        <v>1</v>
      </c>
      <c r="B1885" s="2" t="s">
        <v>7398</v>
      </c>
      <c r="C1885" s="2" t="s">
        <v>7399</v>
      </c>
      <c r="D1885" s="2" t="s">
        <v>7287</v>
      </c>
      <c r="E1885" s="5">
        <v>15</v>
      </c>
      <c r="F1885" s="2" t="s">
        <v>1849</v>
      </c>
      <c r="H1885" s="2" t="s">
        <v>1800</v>
      </c>
      <c r="I1885" s="4">
        <v>3</v>
      </c>
      <c r="J1885" s="4">
        <v>55</v>
      </c>
      <c r="L1885" s="31">
        <v>0.85</v>
      </c>
      <c r="M1885" s="32">
        <v>68.2</v>
      </c>
      <c r="N1885" s="33">
        <v>3.5</v>
      </c>
    </row>
    <row r="1886" spans="1:14" x14ac:dyDescent="0.25">
      <c r="A1886" s="30">
        <v>1</v>
      </c>
      <c r="B1886" s="2" t="s">
        <v>7398</v>
      </c>
      <c r="C1886" s="2" t="s">
        <v>7399</v>
      </c>
      <c r="D1886" s="2" t="s">
        <v>7288</v>
      </c>
      <c r="E1886" s="5">
        <v>12</v>
      </c>
      <c r="F1886" s="2" t="s">
        <v>1855</v>
      </c>
      <c r="G1886" s="2" t="s">
        <v>7409</v>
      </c>
      <c r="H1886" s="2" t="s">
        <v>1801</v>
      </c>
      <c r="I1886" s="4">
        <v>141</v>
      </c>
      <c r="J1886" s="4">
        <v>0</v>
      </c>
      <c r="L1886" s="31">
        <v>0.28000000000000003</v>
      </c>
      <c r="M1886" s="32">
        <v>503.6</v>
      </c>
      <c r="N1886" s="33">
        <v>503.6</v>
      </c>
    </row>
    <row r="1887" spans="1:14" x14ac:dyDescent="0.25">
      <c r="A1887" s="30">
        <v>1</v>
      </c>
      <c r="B1887" s="2" t="s">
        <v>7398</v>
      </c>
      <c r="C1887" s="2" t="s">
        <v>7399</v>
      </c>
      <c r="D1887" s="2" t="s">
        <v>5340</v>
      </c>
      <c r="E1887" s="5">
        <v>24</v>
      </c>
      <c r="F1887" s="2" t="s">
        <v>1839</v>
      </c>
      <c r="G1887" s="2" t="s">
        <v>7410</v>
      </c>
      <c r="H1887" s="2" t="s">
        <v>1802</v>
      </c>
      <c r="I1887" s="4">
        <v>232</v>
      </c>
      <c r="J1887" s="4">
        <v>0</v>
      </c>
      <c r="L1887" s="31">
        <v>6.85</v>
      </c>
      <c r="M1887" s="32">
        <v>33.9</v>
      </c>
      <c r="N1887" s="33">
        <v>33.9</v>
      </c>
    </row>
    <row r="1888" spans="1:14" x14ac:dyDescent="0.25">
      <c r="A1888" s="30">
        <v>1</v>
      </c>
      <c r="B1888" s="2" t="s">
        <v>7398</v>
      </c>
      <c r="C1888" s="2" t="s">
        <v>7399</v>
      </c>
      <c r="D1888" s="2" t="s">
        <v>7289</v>
      </c>
      <c r="E1888" s="5">
        <v>8</v>
      </c>
      <c r="F1888" s="2" t="s">
        <v>1855</v>
      </c>
      <c r="G1888" s="2" t="s">
        <v>7410</v>
      </c>
      <c r="H1888" s="2" t="s">
        <v>5360</v>
      </c>
      <c r="I1888" s="4">
        <v>0</v>
      </c>
      <c r="J1888" s="4">
        <v>192</v>
      </c>
      <c r="L1888" s="31">
        <v>0</v>
      </c>
      <c r="M1888" s="32">
        <v>0</v>
      </c>
      <c r="N1888" s="33">
        <v>9999</v>
      </c>
    </row>
    <row r="1889" spans="1:14" x14ac:dyDescent="0.25">
      <c r="A1889" s="30">
        <v>1</v>
      </c>
      <c r="B1889" s="2" t="s">
        <v>7398</v>
      </c>
      <c r="C1889" s="2" t="s">
        <v>7399</v>
      </c>
      <c r="D1889" s="2" t="s">
        <v>7290</v>
      </c>
      <c r="E1889" s="5">
        <v>12</v>
      </c>
      <c r="F1889" s="2" t="s">
        <v>1882</v>
      </c>
      <c r="G1889" s="2" t="s">
        <v>7410</v>
      </c>
      <c r="H1889" s="2" t="s">
        <v>5387</v>
      </c>
      <c r="I1889" s="4">
        <v>285</v>
      </c>
      <c r="J1889" s="4">
        <v>0</v>
      </c>
      <c r="L1889" s="31">
        <v>5.57</v>
      </c>
      <c r="M1889" s="32">
        <v>51.2</v>
      </c>
      <c r="N1889" s="33">
        <v>51.2</v>
      </c>
    </row>
    <row r="1890" spans="1:14" x14ac:dyDescent="0.25">
      <c r="A1890" s="30">
        <v>1</v>
      </c>
      <c r="B1890" s="2" t="s">
        <v>7398</v>
      </c>
      <c r="C1890" s="2" t="s">
        <v>7399</v>
      </c>
      <c r="D1890" s="2" t="s">
        <v>7291</v>
      </c>
      <c r="E1890" s="5">
        <v>10</v>
      </c>
      <c r="F1890" s="2" t="s">
        <v>1849</v>
      </c>
      <c r="G1890" s="2" t="s">
        <v>7405</v>
      </c>
      <c r="H1890" s="2" t="s">
        <v>7452</v>
      </c>
      <c r="I1890" s="4">
        <v>1833</v>
      </c>
      <c r="J1890" s="4">
        <v>0</v>
      </c>
      <c r="L1890" s="31">
        <v>73.849999999999994</v>
      </c>
      <c r="M1890" s="32">
        <v>24.8</v>
      </c>
      <c r="N1890" s="33">
        <v>24.8</v>
      </c>
    </row>
    <row r="1891" spans="1:14" x14ac:dyDescent="0.25">
      <c r="A1891" s="30">
        <v>1</v>
      </c>
      <c r="B1891" s="2" t="s">
        <v>7398</v>
      </c>
      <c r="C1891" s="2" t="s">
        <v>7399</v>
      </c>
      <c r="D1891" s="2" t="s">
        <v>7292</v>
      </c>
      <c r="E1891" s="5">
        <v>10</v>
      </c>
      <c r="F1891" s="2" t="s">
        <v>1849</v>
      </c>
      <c r="G1891" s="2" t="s">
        <v>7405</v>
      </c>
      <c r="H1891" s="2" t="s">
        <v>7453</v>
      </c>
      <c r="I1891" s="4">
        <v>1246</v>
      </c>
      <c r="J1891" s="4">
        <v>0</v>
      </c>
      <c r="L1891" s="31">
        <v>50</v>
      </c>
      <c r="M1891" s="32">
        <v>24.9</v>
      </c>
      <c r="N1891" s="33">
        <v>24.9</v>
      </c>
    </row>
    <row r="1892" spans="1:14" x14ac:dyDescent="0.25">
      <c r="A1892" s="30">
        <v>1</v>
      </c>
      <c r="B1892" s="2" t="s">
        <v>7398</v>
      </c>
      <c r="C1892" s="2" t="s">
        <v>7399</v>
      </c>
      <c r="D1892" s="2" t="s">
        <v>7293</v>
      </c>
      <c r="E1892" s="5">
        <v>10</v>
      </c>
      <c r="F1892" s="2" t="s">
        <v>1849</v>
      </c>
      <c r="G1892" s="2" t="s">
        <v>7405</v>
      </c>
      <c r="H1892" s="2" t="s">
        <v>7454</v>
      </c>
      <c r="I1892" s="4">
        <v>2117</v>
      </c>
      <c r="J1892" s="4">
        <v>0</v>
      </c>
      <c r="L1892" s="31">
        <v>61.28</v>
      </c>
      <c r="M1892" s="32">
        <v>34.5</v>
      </c>
      <c r="N1892" s="33">
        <v>34.5</v>
      </c>
    </row>
    <row r="1893" spans="1:14" x14ac:dyDescent="0.25">
      <c r="A1893" s="30">
        <v>1</v>
      </c>
      <c r="B1893" s="2" t="s">
        <v>7398</v>
      </c>
      <c r="C1893" s="2" t="s">
        <v>7399</v>
      </c>
      <c r="D1893" s="2" t="s">
        <v>7294</v>
      </c>
      <c r="E1893" s="5">
        <v>10</v>
      </c>
      <c r="F1893" s="2" t="s">
        <v>1849</v>
      </c>
      <c r="G1893" s="2" t="s">
        <v>7405</v>
      </c>
      <c r="H1893" s="2" t="s">
        <v>7455</v>
      </c>
      <c r="I1893" s="4">
        <v>1411</v>
      </c>
      <c r="J1893" s="4">
        <v>0</v>
      </c>
      <c r="L1893" s="31">
        <v>42.57</v>
      </c>
      <c r="M1893" s="32">
        <v>33.1</v>
      </c>
      <c r="N1893" s="33">
        <v>33.1</v>
      </c>
    </row>
    <row r="1894" spans="1:14" x14ac:dyDescent="0.25">
      <c r="A1894" s="30">
        <v>1</v>
      </c>
      <c r="B1894" s="2" t="s">
        <v>7398</v>
      </c>
      <c r="C1894" s="2" t="s">
        <v>7399</v>
      </c>
      <c r="D1894" s="2" t="s">
        <v>7295</v>
      </c>
      <c r="E1894" s="5">
        <v>10</v>
      </c>
      <c r="F1894" s="2" t="s">
        <v>1849</v>
      </c>
      <c r="G1894" s="2" t="s">
        <v>7405</v>
      </c>
      <c r="H1894" s="2" t="s">
        <v>7456</v>
      </c>
      <c r="I1894" s="4">
        <v>152</v>
      </c>
      <c r="J1894" s="4">
        <v>0</v>
      </c>
      <c r="L1894" s="31">
        <v>16.14</v>
      </c>
      <c r="M1894" s="32">
        <v>9.4</v>
      </c>
      <c r="N1894" s="33">
        <v>9.4</v>
      </c>
    </row>
    <row r="1895" spans="1:14" x14ac:dyDescent="0.25">
      <c r="A1895" s="30">
        <v>1</v>
      </c>
      <c r="B1895" s="2" t="s">
        <v>7398</v>
      </c>
      <c r="C1895" s="2" t="s">
        <v>7399</v>
      </c>
      <c r="D1895" s="2" t="s">
        <v>7296</v>
      </c>
      <c r="E1895" s="5">
        <v>10</v>
      </c>
      <c r="F1895" s="2" t="s">
        <v>1849</v>
      </c>
      <c r="G1895" s="2" t="s">
        <v>7405</v>
      </c>
      <c r="H1895" s="2" t="s">
        <v>1808</v>
      </c>
      <c r="I1895" s="4">
        <v>0</v>
      </c>
      <c r="J1895" s="4">
        <v>0</v>
      </c>
      <c r="L1895" s="31">
        <v>49.14</v>
      </c>
      <c r="M1895" s="32">
        <v>0</v>
      </c>
      <c r="N1895" s="33">
        <v>0</v>
      </c>
    </row>
    <row r="1896" spans="1:14" x14ac:dyDescent="0.25">
      <c r="A1896" s="30">
        <v>1</v>
      </c>
      <c r="B1896" s="2" t="s">
        <v>7398</v>
      </c>
      <c r="C1896" s="2" t="s">
        <v>7399</v>
      </c>
      <c r="D1896" s="2" t="s">
        <v>7297</v>
      </c>
      <c r="E1896" s="5">
        <v>10</v>
      </c>
      <c r="F1896" s="2" t="s">
        <v>1849</v>
      </c>
      <c r="G1896" s="2" t="s">
        <v>7405</v>
      </c>
      <c r="H1896" s="2" t="s">
        <v>1809</v>
      </c>
      <c r="I1896" s="4">
        <v>281</v>
      </c>
      <c r="J1896" s="4">
        <v>0</v>
      </c>
      <c r="L1896" s="31">
        <v>23.14</v>
      </c>
      <c r="M1896" s="32">
        <v>12.1</v>
      </c>
      <c r="N1896" s="33">
        <v>12.1</v>
      </c>
    </row>
    <row r="1897" spans="1:14" x14ac:dyDescent="0.25">
      <c r="A1897" s="30">
        <v>1</v>
      </c>
      <c r="B1897" s="2" t="s">
        <v>7398</v>
      </c>
      <c r="C1897" s="2" t="s">
        <v>7399</v>
      </c>
      <c r="D1897" s="2" t="s">
        <v>7298</v>
      </c>
      <c r="E1897" s="5">
        <v>10</v>
      </c>
      <c r="F1897" s="2" t="s">
        <v>1849</v>
      </c>
      <c r="G1897" s="2" t="s">
        <v>7405</v>
      </c>
      <c r="H1897" s="2" t="s">
        <v>7457</v>
      </c>
      <c r="I1897" s="4">
        <v>466</v>
      </c>
      <c r="J1897" s="4">
        <v>0</v>
      </c>
      <c r="L1897" s="31">
        <v>50.85</v>
      </c>
      <c r="M1897" s="32">
        <v>9.1999999999999993</v>
      </c>
      <c r="N1897" s="33">
        <v>9.1999999999999993</v>
      </c>
    </row>
    <row r="1898" spans="1:14" x14ac:dyDescent="0.25">
      <c r="A1898" s="30">
        <v>1</v>
      </c>
      <c r="B1898" s="2" t="s">
        <v>7398</v>
      </c>
      <c r="C1898" s="2" t="s">
        <v>7399</v>
      </c>
      <c r="D1898" s="2" t="s">
        <v>7299</v>
      </c>
      <c r="E1898" s="5">
        <v>10</v>
      </c>
      <c r="F1898" s="2" t="s">
        <v>1849</v>
      </c>
      <c r="G1898" s="2" t="s">
        <v>7405</v>
      </c>
      <c r="H1898" s="2" t="s">
        <v>1811</v>
      </c>
      <c r="I1898" s="4">
        <v>54</v>
      </c>
      <c r="J1898" s="4">
        <v>0</v>
      </c>
      <c r="L1898" s="31">
        <v>10</v>
      </c>
      <c r="M1898" s="32">
        <v>5.4</v>
      </c>
      <c r="N1898" s="33">
        <v>5.4</v>
      </c>
    </row>
    <row r="1899" spans="1:14" x14ac:dyDescent="0.25">
      <c r="A1899" s="30">
        <v>1</v>
      </c>
      <c r="B1899" s="2" t="s">
        <v>7398</v>
      </c>
      <c r="C1899" s="2" t="s">
        <v>7399</v>
      </c>
      <c r="D1899" s="2" t="s">
        <v>7300</v>
      </c>
      <c r="E1899" s="5">
        <v>10</v>
      </c>
      <c r="F1899" s="2" t="s">
        <v>1849</v>
      </c>
      <c r="G1899" s="2" t="s">
        <v>7405</v>
      </c>
      <c r="H1899" s="2" t="s">
        <v>1812</v>
      </c>
      <c r="I1899" s="4">
        <v>177</v>
      </c>
      <c r="J1899" s="4">
        <v>98</v>
      </c>
      <c r="L1899" s="31">
        <v>37.57</v>
      </c>
      <c r="M1899" s="32">
        <v>7.3</v>
      </c>
      <c r="N1899" s="33">
        <v>4.7</v>
      </c>
    </row>
    <row r="1900" spans="1:14" x14ac:dyDescent="0.25">
      <c r="A1900" s="30">
        <v>1</v>
      </c>
      <c r="B1900" s="2" t="s">
        <v>7398</v>
      </c>
      <c r="C1900" s="2" t="s">
        <v>7399</v>
      </c>
      <c r="D1900" s="2" t="s">
        <v>7301</v>
      </c>
      <c r="E1900" s="5">
        <v>10</v>
      </c>
      <c r="F1900" s="2" t="s">
        <v>1849</v>
      </c>
      <c r="G1900" s="2" t="s">
        <v>7405</v>
      </c>
      <c r="H1900" s="2" t="s">
        <v>1813</v>
      </c>
      <c r="I1900" s="4">
        <v>0</v>
      </c>
      <c r="J1900" s="4">
        <v>0</v>
      </c>
      <c r="L1900" s="31">
        <v>1.1399999999999999</v>
      </c>
      <c r="M1900" s="32">
        <v>0</v>
      </c>
      <c r="N1900" s="33">
        <v>0</v>
      </c>
    </row>
    <row r="1901" spans="1:14" x14ac:dyDescent="0.25">
      <c r="A1901" s="30">
        <v>1</v>
      </c>
      <c r="B1901" s="2" t="s">
        <v>7398</v>
      </c>
      <c r="C1901" s="2" t="s">
        <v>7399</v>
      </c>
      <c r="D1901" s="2" t="s">
        <v>7302</v>
      </c>
      <c r="E1901" s="5">
        <v>10</v>
      </c>
      <c r="F1901" s="2" t="s">
        <v>5402</v>
      </c>
      <c r="G1901" s="2" t="s">
        <v>7409</v>
      </c>
      <c r="H1901" s="2" t="s">
        <v>5403</v>
      </c>
      <c r="I1901" s="4">
        <v>78</v>
      </c>
      <c r="J1901" s="4">
        <v>280</v>
      </c>
      <c r="L1901" s="31">
        <v>13</v>
      </c>
      <c r="M1901" s="32">
        <v>27.5</v>
      </c>
      <c r="N1901" s="33">
        <v>6</v>
      </c>
    </row>
    <row r="1902" spans="1:14" x14ac:dyDescent="0.25">
      <c r="A1902" s="30">
        <v>1</v>
      </c>
      <c r="B1902" s="2" t="s">
        <v>7398</v>
      </c>
      <c r="C1902" s="2" t="s">
        <v>7399</v>
      </c>
      <c r="D1902" s="2" t="s">
        <v>7303</v>
      </c>
      <c r="E1902" s="5">
        <v>6</v>
      </c>
      <c r="F1902" s="2" t="s">
        <v>1907</v>
      </c>
      <c r="G1902" s="2" t="s">
        <v>7410</v>
      </c>
      <c r="H1902" s="2" t="s">
        <v>5404</v>
      </c>
      <c r="I1902" s="4">
        <v>0</v>
      </c>
      <c r="J1902" s="4">
        <v>0</v>
      </c>
      <c r="L1902" s="31">
        <v>0</v>
      </c>
      <c r="M1902" s="32">
        <v>0</v>
      </c>
      <c r="N1902" s="33">
        <v>9999</v>
      </c>
    </row>
    <row r="1903" spans="1:14" x14ac:dyDescent="0.25">
      <c r="A1903" s="30">
        <v>1</v>
      </c>
      <c r="B1903" s="2" t="s">
        <v>7398</v>
      </c>
      <c r="C1903" s="2" t="s">
        <v>7399</v>
      </c>
      <c r="D1903" s="2" t="s">
        <v>7304</v>
      </c>
      <c r="E1903" s="5">
        <v>100</v>
      </c>
      <c r="H1903" s="2" t="s">
        <v>7458</v>
      </c>
      <c r="I1903" s="4">
        <v>0</v>
      </c>
      <c r="J1903" s="4">
        <v>0</v>
      </c>
      <c r="L1903" s="31">
        <v>0</v>
      </c>
      <c r="M1903" s="32">
        <v>0</v>
      </c>
      <c r="N1903" s="33">
        <v>9999</v>
      </c>
    </row>
    <row r="1904" spans="1:14" x14ac:dyDescent="0.25">
      <c r="A1904" s="30">
        <v>1</v>
      </c>
      <c r="B1904" s="2" t="s">
        <v>7398</v>
      </c>
      <c r="C1904" s="2" t="s">
        <v>7399</v>
      </c>
      <c r="D1904" s="2" t="s">
        <v>7305</v>
      </c>
      <c r="E1904" s="5">
        <v>100</v>
      </c>
      <c r="H1904" s="2" t="s">
        <v>7459</v>
      </c>
      <c r="I1904" s="4">
        <v>0</v>
      </c>
      <c r="J1904" s="4">
        <v>0</v>
      </c>
      <c r="L1904" s="31">
        <v>0</v>
      </c>
      <c r="M1904" s="32">
        <v>0</v>
      </c>
      <c r="N1904" s="33">
        <v>9999</v>
      </c>
    </row>
    <row r="1905" spans="1:14" x14ac:dyDescent="0.25">
      <c r="A1905" s="30">
        <v>1</v>
      </c>
      <c r="B1905" s="2" t="s">
        <v>7398</v>
      </c>
      <c r="C1905" s="2" t="s">
        <v>7399</v>
      </c>
      <c r="D1905" s="2" t="s">
        <v>7306</v>
      </c>
      <c r="E1905" s="5">
        <v>75</v>
      </c>
      <c r="H1905" s="2" t="s">
        <v>7460</v>
      </c>
      <c r="I1905" s="4">
        <v>0</v>
      </c>
      <c r="J1905" s="4">
        <v>0</v>
      </c>
      <c r="L1905" s="31">
        <v>0</v>
      </c>
      <c r="M1905" s="32">
        <v>0</v>
      </c>
      <c r="N1905" s="33">
        <v>9999</v>
      </c>
    </row>
    <row r="1906" spans="1:14" x14ac:dyDescent="0.25">
      <c r="A1906" s="30">
        <v>1</v>
      </c>
      <c r="B1906" s="2" t="s">
        <v>7398</v>
      </c>
      <c r="C1906" s="2" t="s">
        <v>7399</v>
      </c>
      <c r="D1906" s="2" t="s">
        <v>7307</v>
      </c>
      <c r="E1906" s="5">
        <v>84</v>
      </c>
      <c r="H1906" s="2" t="s">
        <v>7461</v>
      </c>
      <c r="I1906" s="4">
        <v>0</v>
      </c>
      <c r="J1906" s="4">
        <v>0</v>
      </c>
      <c r="L1906" s="31">
        <v>0</v>
      </c>
      <c r="M1906" s="32">
        <v>0</v>
      </c>
      <c r="N1906" s="33">
        <v>9999</v>
      </c>
    </row>
    <row r="1907" spans="1:14" x14ac:dyDescent="0.25">
      <c r="A1907" s="30">
        <v>1</v>
      </c>
      <c r="B1907" s="2" t="s">
        <v>7398</v>
      </c>
      <c r="C1907" s="2" t="s">
        <v>7399</v>
      </c>
      <c r="D1907" s="2" t="s">
        <v>7308</v>
      </c>
      <c r="E1907" s="5">
        <v>80</v>
      </c>
      <c r="H1907" s="2" t="s">
        <v>7462</v>
      </c>
      <c r="I1907" s="4">
        <v>0</v>
      </c>
      <c r="J1907" s="4">
        <v>0</v>
      </c>
      <c r="L1907" s="31">
        <v>0</v>
      </c>
      <c r="M1907" s="32">
        <v>0</v>
      </c>
      <c r="N1907" s="33">
        <v>9999</v>
      </c>
    </row>
    <row r="1908" spans="1:14" x14ac:dyDescent="0.25">
      <c r="A1908" s="30">
        <v>1</v>
      </c>
      <c r="B1908" s="2" t="s">
        <v>7398</v>
      </c>
      <c r="C1908" s="2" t="s">
        <v>7399</v>
      </c>
      <c r="D1908" s="2" t="s">
        <v>7309</v>
      </c>
      <c r="E1908" s="5">
        <v>50</v>
      </c>
      <c r="H1908" s="2" t="s">
        <v>7463</v>
      </c>
      <c r="I1908" s="4">
        <v>0</v>
      </c>
      <c r="J1908" s="4">
        <v>0</v>
      </c>
      <c r="L1908" s="31">
        <v>0</v>
      </c>
      <c r="M1908" s="32">
        <v>0</v>
      </c>
      <c r="N1908" s="33">
        <v>9999</v>
      </c>
    </row>
    <row r="1909" spans="1:14" x14ac:dyDescent="0.25">
      <c r="A1909" s="30">
        <v>1</v>
      </c>
      <c r="B1909" s="2" t="s">
        <v>7398</v>
      </c>
      <c r="C1909" s="2" t="s">
        <v>7399</v>
      </c>
      <c r="D1909" s="2" t="s">
        <v>7310</v>
      </c>
      <c r="E1909" s="5">
        <v>50</v>
      </c>
      <c r="H1909" s="2" t="s">
        <v>7464</v>
      </c>
      <c r="I1909" s="4">
        <v>0</v>
      </c>
      <c r="J1909" s="4">
        <v>0</v>
      </c>
      <c r="L1909" s="31">
        <v>0</v>
      </c>
      <c r="M1909" s="32">
        <v>0</v>
      </c>
      <c r="N1909" s="33">
        <v>9999</v>
      </c>
    </row>
    <row r="1910" spans="1:14" x14ac:dyDescent="0.25">
      <c r="A1910" s="30">
        <v>1</v>
      </c>
      <c r="B1910" s="2" t="s">
        <v>7398</v>
      </c>
      <c r="C1910" s="2" t="s">
        <v>7399</v>
      </c>
      <c r="D1910" s="2" t="s">
        <v>7311</v>
      </c>
      <c r="E1910" s="5">
        <v>800</v>
      </c>
      <c r="H1910" s="2" t="s">
        <v>7465</v>
      </c>
      <c r="I1910" s="4">
        <v>0</v>
      </c>
      <c r="J1910" s="4">
        <v>0</v>
      </c>
      <c r="L1910" s="31">
        <v>0</v>
      </c>
      <c r="M1910" s="32">
        <v>0</v>
      </c>
      <c r="N1910" s="33">
        <v>9999</v>
      </c>
    </row>
    <row r="1911" spans="1:14" x14ac:dyDescent="0.25">
      <c r="A1911" s="30">
        <v>1</v>
      </c>
      <c r="B1911" s="2" t="s">
        <v>7398</v>
      </c>
      <c r="C1911" s="2" t="s">
        <v>7399</v>
      </c>
      <c r="D1911" s="2" t="s">
        <v>7312</v>
      </c>
      <c r="E1911" s="5">
        <v>72</v>
      </c>
      <c r="H1911" s="2" t="s">
        <v>7466</v>
      </c>
      <c r="I1911" s="4">
        <v>0</v>
      </c>
      <c r="J1911" s="4">
        <v>0</v>
      </c>
      <c r="L1911" s="31">
        <v>0</v>
      </c>
      <c r="M1911" s="32">
        <v>0</v>
      </c>
      <c r="N1911" s="33">
        <v>9999</v>
      </c>
    </row>
    <row r="1912" spans="1:14" x14ac:dyDescent="0.25">
      <c r="A1912" s="30">
        <v>1</v>
      </c>
      <c r="B1912" s="2" t="s">
        <v>7398</v>
      </c>
      <c r="C1912" s="2" t="s">
        <v>7399</v>
      </c>
      <c r="D1912" s="2" t="s">
        <v>7313</v>
      </c>
      <c r="E1912" s="5">
        <v>84</v>
      </c>
      <c r="H1912" s="2" t="s">
        <v>7467</v>
      </c>
      <c r="I1912" s="4">
        <v>0</v>
      </c>
      <c r="J1912" s="4">
        <v>0</v>
      </c>
      <c r="L1912" s="31">
        <v>0</v>
      </c>
      <c r="M1912" s="32">
        <v>0</v>
      </c>
      <c r="N1912" s="33">
        <v>9999</v>
      </c>
    </row>
    <row r="1913" spans="1:14" x14ac:dyDescent="0.25">
      <c r="A1913" s="30">
        <v>1</v>
      </c>
      <c r="B1913" s="2" t="s">
        <v>7398</v>
      </c>
      <c r="C1913" s="2" t="s">
        <v>7399</v>
      </c>
      <c r="D1913" s="2" t="s">
        <v>7314</v>
      </c>
      <c r="E1913" s="5">
        <v>80</v>
      </c>
      <c r="H1913" s="2" t="s">
        <v>7468</v>
      </c>
      <c r="I1913" s="4">
        <v>0</v>
      </c>
      <c r="J1913" s="4">
        <v>0</v>
      </c>
      <c r="L1913" s="31">
        <v>0</v>
      </c>
      <c r="M1913" s="32">
        <v>0</v>
      </c>
      <c r="N1913" s="33">
        <v>9999</v>
      </c>
    </row>
    <row r="1914" spans="1:14" x14ac:dyDescent="0.25">
      <c r="A1914" s="30">
        <v>1</v>
      </c>
      <c r="B1914" s="2" t="s">
        <v>7398</v>
      </c>
      <c r="C1914" s="2" t="s">
        <v>7399</v>
      </c>
      <c r="D1914" s="2" t="s">
        <v>7315</v>
      </c>
      <c r="E1914" s="5">
        <v>50</v>
      </c>
      <c r="H1914" s="2" t="s">
        <v>7469</v>
      </c>
      <c r="I1914" s="4">
        <v>0</v>
      </c>
      <c r="J1914" s="4">
        <v>0</v>
      </c>
      <c r="L1914" s="31">
        <v>0</v>
      </c>
      <c r="M1914" s="32">
        <v>0</v>
      </c>
      <c r="N1914" s="33">
        <v>9999</v>
      </c>
    </row>
    <row r="1915" spans="1:14" x14ac:dyDescent="0.25">
      <c r="A1915" s="30">
        <v>1</v>
      </c>
      <c r="B1915" s="2" t="s">
        <v>7398</v>
      </c>
      <c r="C1915" s="2" t="s">
        <v>7399</v>
      </c>
      <c r="D1915" s="2" t="s">
        <v>7316</v>
      </c>
      <c r="E1915" s="5">
        <v>75</v>
      </c>
      <c r="H1915" s="2" t="s">
        <v>7470</v>
      </c>
      <c r="I1915" s="4">
        <v>0</v>
      </c>
      <c r="J1915" s="4">
        <v>0</v>
      </c>
      <c r="L1915" s="31">
        <v>0</v>
      </c>
      <c r="M1915" s="32">
        <v>0</v>
      </c>
      <c r="N1915" s="33">
        <v>9999</v>
      </c>
    </row>
    <row r="1916" spans="1:14" x14ac:dyDescent="0.25">
      <c r="A1916" s="30">
        <v>1</v>
      </c>
      <c r="B1916" s="2" t="s">
        <v>7398</v>
      </c>
      <c r="C1916" s="2" t="s">
        <v>7399</v>
      </c>
      <c r="D1916" s="2" t="s">
        <v>7317</v>
      </c>
      <c r="E1916" s="5">
        <v>84</v>
      </c>
      <c r="H1916" s="2" t="s">
        <v>7471</v>
      </c>
      <c r="I1916" s="4">
        <v>0</v>
      </c>
      <c r="J1916" s="4">
        <v>0</v>
      </c>
      <c r="L1916" s="31">
        <v>0</v>
      </c>
      <c r="M1916" s="32">
        <v>0</v>
      </c>
      <c r="N1916" s="33">
        <v>9999</v>
      </c>
    </row>
    <row r="1917" spans="1:14" x14ac:dyDescent="0.25">
      <c r="A1917" s="30">
        <v>1</v>
      </c>
      <c r="B1917" s="2" t="s">
        <v>7398</v>
      </c>
      <c r="C1917" s="2" t="s">
        <v>7399</v>
      </c>
      <c r="D1917" s="2" t="s">
        <v>7318</v>
      </c>
      <c r="E1917" s="5">
        <v>80</v>
      </c>
      <c r="H1917" s="2" t="s">
        <v>7472</v>
      </c>
      <c r="I1917" s="4">
        <v>0</v>
      </c>
      <c r="J1917" s="4">
        <v>0</v>
      </c>
      <c r="L1917" s="31">
        <v>0</v>
      </c>
      <c r="M1917" s="32">
        <v>0</v>
      </c>
      <c r="N1917" s="33">
        <v>9999</v>
      </c>
    </row>
    <row r="1918" spans="1:14" x14ac:dyDescent="0.25">
      <c r="A1918" s="30">
        <v>1</v>
      </c>
      <c r="B1918" s="2" t="s">
        <v>7398</v>
      </c>
      <c r="C1918" s="2" t="s">
        <v>7399</v>
      </c>
      <c r="D1918" s="2" t="s">
        <v>7319</v>
      </c>
      <c r="E1918" s="5">
        <v>50</v>
      </c>
      <c r="H1918" s="2" t="s">
        <v>7473</v>
      </c>
      <c r="I1918" s="4">
        <v>0</v>
      </c>
      <c r="J1918" s="4">
        <v>0</v>
      </c>
      <c r="L1918" s="31">
        <v>0</v>
      </c>
      <c r="M1918" s="32">
        <v>0</v>
      </c>
      <c r="N1918" s="33">
        <v>9999</v>
      </c>
    </row>
    <row r="1919" spans="1:14" x14ac:dyDescent="0.25">
      <c r="A1919" s="30">
        <v>1</v>
      </c>
      <c r="B1919" s="2" t="s">
        <v>7398</v>
      </c>
      <c r="C1919" s="2" t="s">
        <v>7399</v>
      </c>
      <c r="D1919" s="2" t="s">
        <v>7320</v>
      </c>
      <c r="E1919" s="5">
        <v>50</v>
      </c>
      <c r="H1919" s="2" t="s">
        <v>7474</v>
      </c>
      <c r="I1919" s="4">
        <v>0</v>
      </c>
      <c r="J1919" s="4">
        <v>0</v>
      </c>
      <c r="L1919" s="31">
        <v>0</v>
      </c>
      <c r="M1919" s="32">
        <v>0</v>
      </c>
      <c r="N1919" s="33">
        <v>9999</v>
      </c>
    </row>
    <row r="1920" spans="1:14" x14ac:dyDescent="0.25">
      <c r="A1920" s="30">
        <v>1</v>
      </c>
      <c r="B1920" s="2" t="s">
        <v>7398</v>
      </c>
      <c r="C1920" s="2" t="s">
        <v>7399</v>
      </c>
      <c r="D1920" s="2" t="s">
        <v>7321</v>
      </c>
      <c r="E1920" s="5">
        <v>250</v>
      </c>
      <c r="H1920" s="2" t="s">
        <v>7475</v>
      </c>
      <c r="I1920" s="4">
        <v>0</v>
      </c>
      <c r="J1920" s="4">
        <v>0</v>
      </c>
      <c r="L1920" s="31">
        <v>0</v>
      </c>
      <c r="M1920" s="32">
        <v>0</v>
      </c>
      <c r="N1920" s="33">
        <v>9999</v>
      </c>
    </row>
    <row r="1921" spans="1:14" x14ac:dyDescent="0.25">
      <c r="A1921" s="30">
        <v>1</v>
      </c>
      <c r="B1921" s="2" t="s">
        <v>7398</v>
      </c>
      <c r="C1921" s="2" t="s">
        <v>7399</v>
      </c>
      <c r="D1921" s="2" t="s">
        <v>7322</v>
      </c>
      <c r="E1921" s="5">
        <v>250</v>
      </c>
      <c r="H1921" s="2" t="s">
        <v>7476</v>
      </c>
      <c r="I1921" s="4">
        <v>0</v>
      </c>
      <c r="J1921" s="4">
        <v>0</v>
      </c>
      <c r="L1921" s="31">
        <v>0</v>
      </c>
      <c r="M1921" s="32">
        <v>0</v>
      </c>
      <c r="N1921" s="33">
        <v>9999</v>
      </c>
    </row>
    <row r="1922" spans="1:14" x14ac:dyDescent="0.25">
      <c r="A1922" s="30">
        <v>1</v>
      </c>
      <c r="B1922" s="2" t="s">
        <v>7398</v>
      </c>
      <c r="C1922" s="2" t="s">
        <v>7399</v>
      </c>
      <c r="D1922" s="2" t="s">
        <v>7323</v>
      </c>
      <c r="E1922" s="5">
        <v>250</v>
      </c>
      <c r="H1922" s="2" t="s">
        <v>7477</v>
      </c>
      <c r="I1922" s="4">
        <v>0</v>
      </c>
      <c r="J1922" s="4">
        <v>0</v>
      </c>
      <c r="L1922" s="31">
        <v>0</v>
      </c>
      <c r="M1922" s="32">
        <v>0</v>
      </c>
      <c r="N1922" s="33">
        <v>9999</v>
      </c>
    </row>
    <row r="1923" spans="1:14" x14ac:dyDescent="0.25">
      <c r="A1923" s="30">
        <v>1</v>
      </c>
      <c r="B1923" s="2" t="s">
        <v>7398</v>
      </c>
      <c r="C1923" s="2" t="s">
        <v>7399</v>
      </c>
      <c r="D1923" s="2" t="s">
        <v>7324</v>
      </c>
      <c r="E1923" s="5">
        <v>250</v>
      </c>
      <c r="H1923" s="2" t="s">
        <v>7478</v>
      </c>
      <c r="I1923" s="4">
        <v>0</v>
      </c>
      <c r="J1923" s="4">
        <v>0</v>
      </c>
      <c r="L1923" s="31">
        <v>0</v>
      </c>
      <c r="M1923" s="32">
        <v>0</v>
      </c>
      <c r="N1923" s="33">
        <v>9999</v>
      </c>
    </row>
    <row r="1924" spans="1:14" x14ac:dyDescent="0.25">
      <c r="A1924" s="30">
        <v>1</v>
      </c>
      <c r="B1924" s="2" t="s">
        <v>7398</v>
      </c>
      <c r="C1924" s="2" t="s">
        <v>7399</v>
      </c>
      <c r="D1924" s="2" t="s">
        <v>7325</v>
      </c>
      <c r="E1924" s="5">
        <v>20</v>
      </c>
      <c r="H1924" s="2" t="s">
        <v>7479</v>
      </c>
      <c r="I1924" s="4">
        <v>0</v>
      </c>
      <c r="J1924" s="4">
        <v>0</v>
      </c>
      <c r="L1924" s="31">
        <v>0</v>
      </c>
      <c r="M1924" s="32">
        <v>0</v>
      </c>
      <c r="N1924" s="33">
        <v>9999</v>
      </c>
    </row>
    <row r="1925" spans="1:14" x14ac:dyDescent="0.25">
      <c r="A1925" s="30">
        <v>1</v>
      </c>
      <c r="B1925" s="2" t="s">
        <v>7398</v>
      </c>
      <c r="C1925" s="2" t="s">
        <v>7399</v>
      </c>
      <c r="D1925" s="2" t="s">
        <v>7326</v>
      </c>
      <c r="E1925" s="5">
        <v>20</v>
      </c>
      <c r="H1925" s="2" t="s">
        <v>7480</v>
      </c>
      <c r="I1925" s="4">
        <v>0</v>
      </c>
      <c r="J1925" s="4">
        <v>0</v>
      </c>
      <c r="L1925" s="31">
        <v>0</v>
      </c>
      <c r="M1925" s="32">
        <v>0</v>
      </c>
      <c r="N1925" s="33">
        <v>9999</v>
      </c>
    </row>
    <row r="1926" spans="1:14" x14ac:dyDescent="0.25">
      <c r="A1926" s="30">
        <v>1</v>
      </c>
      <c r="B1926" s="2" t="s">
        <v>7398</v>
      </c>
      <c r="C1926" s="2" t="s">
        <v>7399</v>
      </c>
      <c r="D1926" s="2" t="s">
        <v>7327</v>
      </c>
      <c r="E1926" s="5">
        <v>15</v>
      </c>
      <c r="H1926" s="2" t="s">
        <v>7481</v>
      </c>
      <c r="I1926" s="4">
        <v>0</v>
      </c>
      <c r="J1926" s="4">
        <v>0</v>
      </c>
      <c r="L1926" s="31">
        <v>0</v>
      </c>
      <c r="M1926" s="32">
        <v>0</v>
      </c>
      <c r="N1926" s="33">
        <v>9999</v>
      </c>
    </row>
    <row r="1927" spans="1:14" x14ac:dyDescent="0.25">
      <c r="A1927" s="30">
        <v>1</v>
      </c>
      <c r="B1927" s="2" t="s">
        <v>7398</v>
      </c>
      <c r="C1927" s="2" t="s">
        <v>7399</v>
      </c>
      <c r="D1927" s="2" t="s">
        <v>7328</v>
      </c>
      <c r="E1927" s="5">
        <v>15</v>
      </c>
      <c r="H1927" s="2" t="s">
        <v>7482</v>
      </c>
      <c r="I1927" s="4">
        <v>0</v>
      </c>
      <c r="J1927" s="4">
        <v>0</v>
      </c>
      <c r="L1927" s="31">
        <v>0</v>
      </c>
      <c r="M1927" s="32">
        <v>0</v>
      </c>
      <c r="N1927" s="33">
        <v>9999</v>
      </c>
    </row>
    <row r="1928" spans="1:14" x14ac:dyDescent="0.25">
      <c r="A1928" s="30">
        <v>1</v>
      </c>
      <c r="B1928" s="2" t="s">
        <v>7398</v>
      </c>
      <c r="C1928" s="2" t="s">
        <v>7399</v>
      </c>
      <c r="D1928" s="2" t="s">
        <v>7329</v>
      </c>
      <c r="E1928" s="5">
        <v>200</v>
      </c>
      <c r="H1928" s="2" t="s">
        <v>7483</v>
      </c>
      <c r="I1928" s="4">
        <v>0</v>
      </c>
      <c r="J1928" s="4">
        <v>0</v>
      </c>
      <c r="L1928" s="31">
        <v>0</v>
      </c>
      <c r="M1928" s="32">
        <v>0</v>
      </c>
      <c r="N1928" s="33">
        <v>9999</v>
      </c>
    </row>
    <row r="1929" spans="1:14" x14ac:dyDescent="0.25">
      <c r="A1929" s="30">
        <v>1</v>
      </c>
      <c r="B1929" s="2" t="s">
        <v>7398</v>
      </c>
      <c r="C1929" s="2" t="s">
        <v>7399</v>
      </c>
      <c r="D1929" s="2" t="s">
        <v>7330</v>
      </c>
      <c r="E1929" s="5">
        <v>200</v>
      </c>
      <c r="H1929" s="2" t="s">
        <v>7484</v>
      </c>
      <c r="I1929" s="4">
        <v>0</v>
      </c>
      <c r="J1929" s="4">
        <v>0</v>
      </c>
      <c r="L1929" s="31">
        <v>0</v>
      </c>
      <c r="M1929" s="32">
        <v>0</v>
      </c>
      <c r="N1929" s="33">
        <v>9999</v>
      </c>
    </row>
    <row r="1930" spans="1:14" x14ac:dyDescent="0.25">
      <c r="A1930" s="30">
        <v>1</v>
      </c>
      <c r="B1930" s="2" t="s">
        <v>7398</v>
      </c>
      <c r="C1930" s="2" t="s">
        <v>7399</v>
      </c>
      <c r="D1930" s="2" t="s">
        <v>7331</v>
      </c>
      <c r="E1930" s="5">
        <v>70</v>
      </c>
      <c r="H1930" s="2" t="s">
        <v>7485</v>
      </c>
      <c r="I1930" s="4">
        <v>0</v>
      </c>
      <c r="J1930" s="4">
        <v>0</v>
      </c>
      <c r="L1930" s="31">
        <v>0</v>
      </c>
      <c r="M1930" s="32">
        <v>0</v>
      </c>
      <c r="N1930" s="33">
        <v>9999</v>
      </c>
    </row>
    <row r="1931" spans="1:14" x14ac:dyDescent="0.25">
      <c r="A1931" s="30">
        <v>1</v>
      </c>
      <c r="B1931" s="2" t="s">
        <v>7398</v>
      </c>
      <c r="C1931" s="2" t="s">
        <v>7399</v>
      </c>
      <c r="D1931" s="2" t="s">
        <v>7332</v>
      </c>
      <c r="E1931" s="5">
        <v>72</v>
      </c>
      <c r="H1931" s="2" t="s">
        <v>7486</v>
      </c>
      <c r="I1931" s="4">
        <v>0</v>
      </c>
      <c r="J1931" s="4">
        <v>0</v>
      </c>
      <c r="L1931" s="31">
        <v>0</v>
      </c>
      <c r="M1931" s="32">
        <v>0</v>
      </c>
      <c r="N1931" s="33">
        <v>9999</v>
      </c>
    </row>
    <row r="1932" spans="1:14" x14ac:dyDescent="0.25">
      <c r="A1932" s="30">
        <v>1</v>
      </c>
      <c r="B1932" s="2" t="s">
        <v>7398</v>
      </c>
      <c r="C1932" s="2" t="s">
        <v>7399</v>
      </c>
      <c r="D1932" s="2" t="s">
        <v>7333</v>
      </c>
      <c r="E1932" s="5">
        <v>72</v>
      </c>
      <c r="H1932" s="2" t="s">
        <v>7487</v>
      </c>
      <c r="I1932" s="4">
        <v>0</v>
      </c>
      <c r="J1932" s="4">
        <v>0</v>
      </c>
      <c r="L1932" s="31">
        <v>0</v>
      </c>
      <c r="M1932" s="32">
        <v>0</v>
      </c>
      <c r="N1932" s="33">
        <v>9999</v>
      </c>
    </row>
    <row r="1933" spans="1:14" x14ac:dyDescent="0.25">
      <c r="A1933" s="30">
        <v>1</v>
      </c>
      <c r="B1933" s="2" t="s">
        <v>7398</v>
      </c>
      <c r="C1933" s="2" t="s">
        <v>7399</v>
      </c>
      <c r="D1933" s="2" t="s">
        <v>7334</v>
      </c>
      <c r="E1933" s="5">
        <v>72</v>
      </c>
      <c r="H1933" s="2" t="s">
        <v>7488</v>
      </c>
      <c r="I1933" s="4">
        <v>0</v>
      </c>
      <c r="J1933" s="4">
        <v>0</v>
      </c>
      <c r="L1933" s="31">
        <v>0</v>
      </c>
      <c r="M1933" s="32">
        <v>0</v>
      </c>
      <c r="N1933" s="33">
        <v>9999</v>
      </c>
    </row>
    <row r="1934" spans="1:14" x14ac:dyDescent="0.25">
      <c r="A1934" s="30">
        <v>1</v>
      </c>
      <c r="B1934" s="2" t="s">
        <v>7398</v>
      </c>
      <c r="C1934" s="2" t="s">
        <v>7399</v>
      </c>
      <c r="D1934" s="2" t="s">
        <v>7335</v>
      </c>
      <c r="E1934" s="5">
        <v>500</v>
      </c>
      <c r="H1934" s="2" t="s">
        <v>7489</v>
      </c>
      <c r="I1934" s="4">
        <v>0</v>
      </c>
      <c r="J1934" s="4">
        <v>0</v>
      </c>
      <c r="L1934" s="31">
        <v>0</v>
      </c>
      <c r="M1934" s="32">
        <v>0</v>
      </c>
      <c r="N1934" s="33">
        <v>9999</v>
      </c>
    </row>
    <row r="1935" spans="1:14" x14ac:dyDescent="0.25">
      <c r="A1935" s="30">
        <v>1</v>
      </c>
      <c r="B1935" s="2" t="s">
        <v>7398</v>
      </c>
      <c r="C1935" s="2" t="s">
        <v>7399</v>
      </c>
      <c r="D1935" s="2" t="s">
        <v>7336</v>
      </c>
      <c r="E1935" s="5">
        <v>600</v>
      </c>
      <c r="H1935" s="2" t="s">
        <v>7490</v>
      </c>
      <c r="I1935" s="4">
        <v>0</v>
      </c>
      <c r="J1935" s="4">
        <v>0</v>
      </c>
      <c r="L1935" s="31">
        <v>0</v>
      </c>
      <c r="M1935" s="32">
        <v>0</v>
      </c>
      <c r="N1935" s="33">
        <v>9999</v>
      </c>
    </row>
    <row r="1936" spans="1:14" x14ac:dyDescent="0.25">
      <c r="A1936" s="30">
        <v>1</v>
      </c>
      <c r="B1936" s="2" t="s">
        <v>7398</v>
      </c>
      <c r="C1936" s="2" t="s">
        <v>7399</v>
      </c>
      <c r="D1936" s="2" t="s">
        <v>7337</v>
      </c>
      <c r="E1936" s="5">
        <v>1</v>
      </c>
      <c r="F1936" s="2" t="s">
        <v>1862</v>
      </c>
      <c r="G1936" s="2" t="s">
        <v>7410</v>
      </c>
      <c r="H1936" s="2" t="s">
        <v>1814</v>
      </c>
      <c r="I1936" s="4">
        <v>25</v>
      </c>
      <c r="J1936" s="4">
        <v>0</v>
      </c>
      <c r="L1936" s="31">
        <v>0</v>
      </c>
      <c r="M1936" s="32">
        <v>0</v>
      </c>
      <c r="N1936" s="33">
        <v>9999</v>
      </c>
    </row>
    <row r="1937" spans="1:14" x14ac:dyDescent="0.25">
      <c r="A1937" s="30">
        <v>1</v>
      </c>
      <c r="B1937" s="2" t="s">
        <v>7398</v>
      </c>
      <c r="C1937" s="2" t="s">
        <v>7399</v>
      </c>
      <c r="D1937" s="2" t="s">
        <v>7338</v>
      </c>
      <c r="E1937" s="5">
        <v>1</v>
      </c>
      <c r="F1937" s="2" t="s">
        <v>1849</v>
      </c>
      <c r="G1937" s="2" t="s">
        <v>7404</v>
      </c>
      <c r="H1937" s="2" t="s">
        <v>1815</v>
      </c>
      <c r="I1937" s="4">
        <v>191</v>
      </c>
      <c r="J1937" s="4">
        <v>0</v>
      </c>
      <c r="L1937" s="31">
        <v>1.57</v>
      </c>
      <c r="M1937" s="32">
        <v>121.7</v>
      </c>
      <c r="N1937" s="33">
        <v>121.7</v>
      </c>
    </row>
    <row r="1938" spans="1:14" x14ac:dyDescent="0.25">
      <c r="A1938" s="30">
        <v>1</v>
      </c>
      <c r="B1938" s="2" t="s">
        <v>7398</v>
      </c>
      <c r="C1938" s="2" t="s">
        <v>7399</v>
      </c>
      <c r="D1938" s="2" t="s">
        <v>7339</v>
      </c>
      <c r="E1938" s="5">
        <v>1</v>
      </c>
      <c r="F1938" s="2" t="s">
        <v>1862</v>
      </c>
      <c r="G1938" s="2" t="s">
        <v>7410</v>
      </c>
      <c r="H1938" s="2" t="s">
        <v>1816</v>
      </c>
      <c r="I1938" s="4">
        <v>300</v>
      </c>
      <c r="J1938" s="4">
        <v>0</v>
      </c>
      <c r="L1938" s="31">
        <v>0</v>
      </c>
      <c r="M1938" s="32">
        <v>0</v>
      </c>
      <c r="N1938" s="33">
        <v>9999</v>
      </c>
    </row>
    <row r="1939" spans="1:14" x14ac:dyDescent="0.25">
      <c r="A1939" s="30">
        <v>1</v>
      </c>
      <c r="B1939" s="2" t="s">
        <v>7398</v>
      </c>
      <c r="C1939" s="2" t="s">
        <v>7399</v>
      </c>
      <c r="D1939" s="2" t="s">
        <v>7340</v>
      </c>
      <c r="E1939" s="5">
        <v>1</v>
      </c>
      <c r="F1939" s="2" t="s">
        <v>2089</v>
      </c>
      <c r="G1939" s="2" t="s">
        <v>7404</v>
      </c>
      <c r="H1939" s="2" t="s">
        <v>1817</v>
      </c>
      <c r="I1939" s="4">
        <v>203</v>
      </c>
      <c r="J1939" s="4">
        <v>0</v>
      </c>
      <c r="L1939" s="31">
        <v>0.14000000000000001</v>
      </c>
      <c r="M1939" s="32">
        <v>1450</v>
      </c>
      <c r="N1939" s="33">
        <v>1450</v>
      </c>
    </row>
    <row r="1940" spans="1:14" x14ac:dyDescent="0.25">
      <c r="A1940" s="30">
        <v>1</v>
      </c>
      <c r="B1940" s="2" t="s">
        <v>7398</v>
      </c>
      <c r="C1940" s="2" t="s">
        <v>7399</v>
      </c>
      <c r="D1940" s="2" t="s">
        <v>7341</v>
      </c>
      <c r="E1940" s="5">
        <v>1</v>
      </c>
      <c r="G1940" s="2" t="s">
        <v>7404</v>
      </c>
      <c r="H1940" s="2" t="s">
        <v>1818</v>
      </c>
      <c r="I1940" s="4">
        <v>0</v>
      </c>
      <c r="J1940" s="4">
        <v>0</v>
      </c>
      <c r="L1940" s="31">
        <v>0</v>
      </c>
      <c r="M1940" s="32">
        <v>0</v>
      </c>
      <c r="N1940" s="33">
        <v>9999</v>
      </c>
    </row>
    <row r="1941" spans="1:14" x14ac:dyDescent="0.25">
      <c r="A1941" s="30">
        <v>1</v>
      </c>
      <c r="B1941" s="2" t="s">
        <v>7398</v>
      </c>
      <c r="C1941" s="2" t="s">
        <v>7399</v>
      </c>
      <c r="D1941" s="2" t="s">
        <v>7342</v>
      </c>
      <c r="E1941" s="5">
        <v>1</v>
      </c>
      <c r="F1941" s="2" t="s">
        <v>2090</v>
      </c>
      <c r="G1941" s="2" t="s">
        <v>7404</v>
      </c>
      <c r="H1941" s="2" t="s">
        <v>1819</v>
      </c>
      <c r="I1941" s="4">
        <v>361</v>
      </c>
      <c r="J1941" s="4">
        <v>0</v>
      </c>
      <c r="L1941" s="31">
        <v>3.28</v>
      </c>
      <c r="M1941" s="32">
        <v>110.1</v>
      </c>
      <c r="N1941" s="33">
        <v>110.1</v>
      </c>
    </row>
    <row r="1942" spans="1:14" x14ac:dyDescent="0.25">
      <c r="A1942" s="30">
        <v>1</v>
      </c>
      <c r="B1942" s="2" t="s">
        <v>7398</v>
      </c>
      <c r="C1942" s="2" t="s">
        <v>7399</v>
      </c>
      <c r="D1942" s="2" t="s">
        <v>7343</v>
      </c>
      <c r="E1942" s="5">
        <v>1</v>
      </c>
      <c r="F1942" s="2" t="s">
        <v>2090</v>
      </c>
      <c r="G1942" s="2" t="s">
        <v>7404</v>
      </c>
      <c r="H1942" s="2" t="s">
        <v>1820</v>
      </c>
      <c r="I1942" s="4">
        <v>0</v>
      </c>
      <c r="J1942" s="4">
        <v>0</v>
      </c>
      <c r="L1942" s="31">
        <v>0</v>
      </c>
      <c r="M1942" s="32">
        <v>0</v>
      </c>
      <c r="N1942" s="33">
        <v>9999</v>
      </c>
    </row>
    <row r="1943" spans="1:14" x14ac:dyDescent="0.25">
      <c r="A1943" s="30">
        <v>1</v>
      </c>
      <c r="B1943" s="2" t="s">
        <v>7398</v>
      </c>
      <c r="C1943" s="2" t="s">
        <v>7399</v>
      </c>
      <c r="D1943" s="2" t="s">
        <v>7344</v>
      </c>
      <c r="E1943" s="5">
        <v>1</v>
      </c>
      <c r="H1943" s="2" t="s">
        <v>1821</v>
      </c>
      <c r="I1943" s="4">
        <v>2</v>
      </c>
      <c r="J1943" s="4">
        <v>0</v>
      </c>
      <c r="L1943" s="31">
        <v>0.14000000000000001</v>
      </c>
      <c r="M1943" s="32">
        <v>14.3</v>
      </c>
      <c r="N1943" s="33">
        <v>14.3</v>
      </c>
    </row>
    <row r="1944" spans="1:14" x14ac:dyDescent="0.25">
      <c r="A1944" s="30">
        <v>1</v>
      </c>
      <c r="B1944" s="2" t="s">
        <v>7398</v>
      </c>
      <c r="C1944" s="2" t="s">
        <v>7399</v>
      </c>
      <c r="D1944" s="2" t="s">
        <v>7345</v>
      </c>
      <c r="E1944" s="5">
        <v>10</v>
      </c>
      <c r="F1944" s="2" t="s">
        <v>1895</v>
      </c>
      <c r="G1944" s="2" t="s">
        <v>7410</v>
      </c>
      <c r="H1944" s="2" t="s">
        <v>1822</v>
      </c>
      <c r="I1944" s="4">
        <v>0</v>
      </c>
      <c r="J1944" s="4">
        <v>0</v>
      </c>
      <c r="L1944" s="31">
        <v>0</v>
      </c>
      <c r="M1944" s="32">
        <v>0</v>
      </c>
      <c r="N1944" s="33">
        <v>9999</v>
      </c>
    </row>
    <row r="1945" spans="1:14" x14ac:dyDescent="0.25">
      <c r="A1945" s="30">
        <v>1</v>
      </c>
      <c r="B1945" s="2" t="s">
        <v>7398</v>
      </c>
      <c r="C1945" s="2" t="s">
        <v>7399</v>
      </c>
      <c r="D1945" s="2" t="s">
        <v>7346</v>
      </c>
      <c r="E1945" s="5">
        <v>1</v>
      </c>
      <c r="F1945" s="2" t="s">
        <v>2091</v>
      </c>
      <c r="G1945" s="2" t="s">
        <v>7412</v>
      </c>
      <c r="H1945" s="2" t="s">
        <v>1823</v>
      </c>
      <c r="I1945" s="4">
        <v>0</v>
      </c>
      <c r="J1945" s="4">
        <v>0</v>
      </c>
      <c r="L1945" s="31">
        <v>0</v>
      </c>
      <c r="M1945" s="32">
        <v>0</v>
      </c>
      <c r="N1945" s="33">
        <v>9999</v>
      </c>
    </row>
    <row r="1946" spans="1:14" x14ac:dyDescent="0.25">
      <c r="A1946" s="30">
        <v>1</v>
      </c>
      <c r="B1946" s="2" t="s">
        <v>7398</v>
      </c>
      <c r="C1946" s="2" t="s">
        <v>7399</v>
      </c>
      <c r="D1946" s="2" t="s">
        <v>7347</v>
      </c>
      <c r="E1946" s="5">
        <v>1</v>
      </c>
      <c r="F1946" s="2" t="s">
        <v>2092</v>
      </c>
      <c r="G1946" s="2" t="s">
        <v>7412</v>
      </c>
      <c r="H1946" s="2" t="s">
        <v>1824</v>
      </c>
      <c r="I1946" s="4">
        <v>0</v>
      </c>
      <c r="J1946" s="4">
        <v>0</v>
      </c>
      <c r="L1946" s="31">
        <v>0.14000000000000001</v>
      </c>
      <c r="M1946" s="32">
        <v>0</v>
      </c>
      <c r="N1946" s="33">
        <v>0</v>
      </c>
    </row>
    <row r="1947" spans="1:14" x14ac:dyDescent="0.25">
      <c r="A1947" s="30">
        <v>1</v>
      </c>
      <c r="B1947" s="2" t="s">
        <v>7398</v>
      </c>
      <c r="C1947" s="2" t="s">
        <v>7399</v>
      </c>
      <c r="D1947" s="2" t="s">
        <v>7348</v>
      </c>
      <c r="E1947" s="5">
        <v>1</v>
      </c>
      <c r="G1947" s="2" t="s">
        <v>7404</v>
      </c>
      <c r="H1947" s="2" t="s">
        <v>1825</v>
      </c>
      <c r="I1947" s="4">
        <v>0</v>
      </c>
      <c r="J1947" s="4">
        <v>0</v>
      </c>
      <c r="L1947" s="31">
        <v>0</v>
      </c>
      <c r="M1947" s="32">
        <v>0</v>
      </c>
      <c r="N1947" s="33">
        <v>9999</v>
      </c>
    </row>
    <row r="1948" spans="1:14" x14ac:dyDescent="0.25">
      <c r="A1948" s="30">
        <v>1</v>
      </c>
      <c r="B1948" s="2" t="s">
        <v>7398</v>
      </c>
      <c r="C1948" s="2" t="s">
        <v>7399</v>
      </c>
      <c r="D1948" s="2" t="s">
        <v>7349</v>
      </c>
      <c r="E1948" s="5">
        <v>1</v>
      </c>
      <c r="G1948" s="2" t="s">
        <v>7404</v>
      </c>
      <c r="H1948" s="2" t="s">
        <v>1826</v>
      </c>
      <c r="I1948" s="4">
        <v>0</v>
      </c>
      <c r="J1948" s="4">
        <v>0</v>
      </c>
      <c r="L1948" s="31">
        <v>0</v>
      </c>
      <c r="M1948" s="32">
        <v>0</v>
      </c>
      <c r="N1948" s="33">
        <v>9999</v>
      </c>
    </row>
    <row r="1949" spans="1:14" x14ac:dyDescent="0.25">
      <c r="A1949" s="30">
        <v>1</v>
      </c>
      <c r="B1949" s="2" t="s">
        <v>7398</v>
      </c>
      <c r="C1949" s="2" t="s">
        <v>7399</v>
      </c>
      <c r="D1949" s="2" t="s">
        <v>7350</v>
      </c>
      <c r="E1949" s="5">
        <v>1</v>
      </c>
      <c r="G1949" s="2" t="s">
        <v>7404</v>
      </c>
      <c r="H1949" s="2" t="s">
        <v>1827</v>
      </c>
      <c r="I1949" s="4">
        <v>0</v>
      </c>
      <c r="J1949" s="4">
        <v>0</v>
      </c>
      <c r="L1949" s="31">
        <v>0</v>
      </c>
      <c r="M1949" s="32">
        <v>0</v>
      </c>
      <c r="N1949" s="33">
        <v>9999</v>
      </c>
    </row>
    <row r="1950" spans="1:14" x14ac:dyDescent="0.25">
      <c r="A1950" s="30">
        <v>1</v>
      </c>
      <c r="B1950" s="2" t="s">
        <v>7398</v>
      </c>
      <c r="C1950" s="2" t="s">
        <v>7399</v>
      </c>
      <c r="D1950" s="2" t="s">
        <v>7351</v>
      </c>
      <c r="E1950" s="5">
        <v>1</v>
      </c>
      <c r="G1950" s="2" t="s">
        <v>7404</v>
      </c>
      <c r="H1950" s="2" t="s">
        <v>1828</v>
      </c>
      <c r="I1950" s="4">
        <v>0</v>
      </c>
      <c r="J1950" s="4">
        <v>0</v>
      </c>
      <c r="L1950" s="31">
        <v>0</v>
      </c>
      <c r="M1950" s="32">
        <v>0</v>
      </c>
      <c r="N1950" s="33">
        <v>9999</v>
      </c>
    </row>
    <row r="1951" spans="1:14" x14ac:dyDescent="0.25">
      <c r="A1951" s="30">
        <v>1</v>
      </c>
      <c r="B1951" s="2" t="s">
        <v>7398</v>
      </c>
      <c r="C1951" s="2" t="s">
        <v>7399</v>
      </c>
      <c r="D1951" s="2" t="s">
        <v>7352</v>
      </c>
      <c r="E1951" s="5">
        <v>300</v>
      </c>
      <c r="F1951" s="2" t="s">
        <v>5405</v>
      </c>
      <c r="G1951" s="2" t="s">
        <v>7401</v>
      </c>
      <c r="H1951" s="2" t="s">
        <v>5406</v>
      </c>
      <c r="I1951" s="4">
        <v>27</v>
      </c>
      <c r="J1951" s="4">
        <v>0</v>
      </c>
      <c r="L1951" s="31">
        <v>0</v>
      </c>
      <c r="M1951" s="32">
        <v>0</v>
      </c>
      <c r="N1951" s="33">
        <v>9999</v>
      </c>
    </row>
    <row r="1952" spans="1:14" x14ac:dyDescent="0.25">
      <c r="A1952" s="30">
        <v>1</v>
      </c>
      <c r="B1952" s="2" t="s">
        <v>7398</v>
      </c>
      <c r="C1952" s="2" t="s">
        <v>7399</v>
      </c>
      <c r="D1952" s="2" t="s">
        <v>7353</v>
      </c>
      <c r="E1952" s="5">
        <v>300</v>
      </c>
      <c r="G1952" s="2" t="s">
        <v>7401</v>
      </c>
      <c r="H1952" s="2" t="s">
        <v>5406</v>
      </c>
      <c r="I1952" s="4">
        <v>0</v>
      </c>
      <c r="J1952" s="4">
        <v>0</v>
      </c>
      <c r="L1952" s="31">
        <v>0</v>
      </c>
      <c r="M1952" s="32">
        <v>0</v>
      </c>
      <c r="N1952" s="33">
        <v>9999</v>
      </c>
    </row>
    <row r="1953" spans="1:14" x14ac:dyDescent="0.25">
      <c r="A1953" s="30">
        <v>1</v>
      </c>
      <c r="B1953" s="2" t="s">
        <v>7398</v>
      </c>
      <c r="C1953" s="2" t="s">
        <v>7399</v>
      </c>
      <c r="D1953" s="2" t="s">
        <v>7354</v>
      </c>
      <c r="E1953" s="5">
        <v>50</v>
      </c>
      <c r="F1953" s="2" t="s">
        <v>2093</v>
      </c>
      <c r="G1953" s="2" t="s">
        <v>7409</v>
      </c>
      <c r="H1953" s="2" t="s">
        <v>1829</v>
      </c>
      <c r="I1953" s="4">
        <v>0</v>
      </c>
      <c r="J1953" s="4">
        <v>0</v>
      </c>
      <c r="L1953" s="31">
        <v>0</v>
      </c>
      <c r="M1953" s="32">
        <v>0</v>
      </c>
      <c r="N1953" s="33">
        <v>9999</v>
      </c>
    </row>
    <row r="1954" spans="1:14" x14ac:dyDescent="0.25">
      <c r="A1954" s="30">
        <v>1</v>
      </c>
      <c r="B1954" s="2" t="s">
        <v>7398</v>
      </c>
      <c r="C1954" s="2" t="s">
        <v>7399</v>
      </c>
      <c r="D1954" s="2" t="s">
        <v>7355</v>
      </c>
      <c r="E1954" s="5">
        <v>144</v>
      </c>
      <c r="F1954" s="2" t="s">
        <v>2094</v>
      </c>
      <c r="G1954" s="2" t="s">
        <v>7409</v>
      </c>
      <c r="H1954" s="2" t="s">
        <v>5388</v>
      </c>
      <c r="I1954" s="4">
        <v>3100</v>
      </c>
      <c r="J1954" s="4">
        <v>0</v>
      </c>
      <c r="L1954" s="31">
        <v>5.85</v>
      </c>
      <c r="M1954" s="32">
        <v>529.9</v>
      </c>
      <c r="N1954" s="33">
        <v>529.9</v>
      </c>
    </row>
    <row r="1955" spans="1:14" x14ac:dyDescent="0.25">
      <c r="A1955" s="30">
        <v>1</v>
      </c>
      <c r="B1955" s="2" t="s">
        <v>7398</v>
      </c>
      <c r="C1955" s="2" t="s">
        <v>7399</v>
      </c>
      <c r="D1955" s="2" t="s">
        <v>7356</v>
      </c>
      <c r="E1955" s="5">
        <v>80</v>
      </c>
      <c r="F1955" s="2" t="s">
        <v>2094</v>
      </c>
      <c r="G1955" s="2" t="s">
        <v>7409</v>
      </c>
      <c r="H1955" s="2" t="s">
        <v>1830</v>
      </c>
      <c r="I1955" s="4">
        <v>395</v>
      </c>
      <c r="J1955" s="4">
        <v>0</v>
      </c>
      <c r="L1955" s="31">
        <v>3.28</v>
      </c>
      <c r="M1955" s="32">
        <v>120.4</v>
      </c>
      <c r="N1955" s="33">
        <v>120.4</v>
      </c>
    </row>
    <row r="1956" spans="1:14" x14ac:dyDescent="0.25">
      <c r="A1956" s="30">
        <v>1</v>
      </c>
      <c r="B1956" s="2" t="s">
        <v>7398</v>
      </c>
      <c r="C1956" s="2" t="s">
        <v>7399</v>
      </c>
      <c r="D1956" s="2" t="s">
        <v>7357</v>
      </c>
      <c r="E1956" s="5">
        <v>144</v>
      </c>
      <c r="G1956" s="2" t="s">
        <v>7412</v>
      </c>
      <c r="H1956" s="2" t="s">
        <v>1831</v>
      </c>
      <c r="I1956" s="4">
        <v>1626</v>
      </c>
      <c r="J1956" s="4">
        <v>0</v>
      </c>
      <c r="L1956" s="31">
        <v>3.71</v>
      </c>
      <c r="M1956" s="32">
        <v>438.3</v>
      </c>
      <c r="N1956" s="33">
        <v>438.3</v>
      </c>
    </row>
    <row r="1957" spans="1:14" x14ac:dyDescent="0.25">
      <c r="A1957" s="30">
        <v>1</v>
      </c>
      <c r="B1957" s="2" t="s">
        <v>7398</v>
      </c>
      <c r="C1957" s="2" t="s">
        <v>7399</v>
      </c>
      <c r="D1957" s="2" t="s">
        <v>7358</v>
      </c>
      <c r="E1957" s="5">
        <v>300</v>
      </c>
      <c r="F1957" s="2" t="s">
        <v>2095</v>
      </c>
      <c r="G1957" s="2" t="s">
        <v>7400</v>
      </c>
      <c r="H1957" s="2" t="s">
        <v>1832</v>
      </c>
      <c r="I1957" s="4">
        <v>46</v>
      </c>
      <c r="J1957" s="4">
        <v>90</v>
      </c>
      <c r="L1957" s="31">
        <v>2.14</v>
      </c>
      <c r="M1957" s="32">
        <v>63.6</v>
      </c>
      <c r="N1957" s="33">
        <v>21.5</v>
      </c>
    </row>
    <row r="1958" spans="1:14" x14ac:dyDescent="0.25">
      <c r="A1958" s="30">
        <v>1</v>
      </c>
      <c r="B1958" s="2" t="s">
        <v>7398</v>
      </c>
      <c r="C1958" s="2" t="s">
        <v>7399</v>
      </c>
      <c r="D1958" s="2" t="s">
        <v>7359</v>
      </c>
      <c r="E1958" s="5">
        <v>1</v>
      </c>
      <c r="F1958" s="2" t="s">
        <v>2096</v>
      </c>
      <c r="G1958" s="2" t="s">
        <v>7410</v>
      </c>
      <c r="H1958" s="2" t="s">
        <v>1833</v>
      </c>
      <c r="I1958" s="4">
        <v>15</v>
      </c>
      <c r="J1958" s="4">
        <v>0</v>
      </c>
      <c r="L1958" s="31">
        <v>0.71</v>
      </c>
      <c r="M1958" s="32">
        <v>21.1</v>
      </c>
      <c r="N1958" s="33">
        <v>21.1</v>
      </c>
    </row>
    <row r="1959" spans="1:14" x14ac:dyDescent="0.25">
      <c r="A1959" s="30">
        <v>1</v>
      </c>
      <c r="B1959" s="2" t="s">
        <v>7398</v>
      </c>
      <c r="C1959" s="2" t="s">
        <v>7399</v>
      </c>
      <c r="D1959" s="2" t="s">
        <v>7360</v>
      </c>
      <c r="E1959" s="5">
        <v>1</v>
      </c>
      <c r="F1959" s="2" t="s">
        <v>2097</v>
      </c>
      <c r="G1959" s="2" t="s">
        <v>7410</v>
      </c>
      <c r="H1959" s="2" t="s">
        <v>1834</v>
      </c>
      <c r="I1959" s="4">
        <v>59</v>
      </c>
      <c r="J1959" s="4">
        <v>0</v>
      </c>
      <c r="L1959" s="31">
        <v>0.42</v>
      </c>
      <c r="M1959" s="32">
        <v>140.5</v>
      </c>
      <c r="N1959" s="33">
        <v>140.5</v>
      </c>
    </row>
    <row r="1960" spans="1:14" x14ac:dyDescent="0.25">
      <c r="A1960" s="30">
        <v>1</v>
      </c>
      <c r="B1960" s="2" t="s">
        <v>7398</v>
      </c>
      <c r="C1960" s="2" t="s">
        <v>7399</v>
      </c>
      <c r="D1960" s="2" t="s">
        <v>7361</v>
      </c>
      <c r="E1960" s="5">
        <v>1</v>
      </c>
      <c r="F1960" s="2" t="s">
        <v>2098</v>
      </c>
      <c r="G1960" s="2" t="s">
        <v>7404</v>
      </c>
      <c r="H1960" s="2" t="s">
        <v>1835</v>
      </c>
      <c r="I1960" s="4">
        <v>0</v>
      </c>
      <c r="J1960" s="4">
        <v>0</v>
      </c>
      <c r="L1960" s="31">
        <v>0</v>
      </c>
      <c r="M1960" s="32">
        <v>0</v>
      </c>
      <c r="N1960" s="33">
        <v>9999</v>
      </c>
    </row>
    <row r="1961" spans="1:14" x14ac:dyDescent="0.25">
      <c r="A1961" s="30">
        <v>1</v>
      </c>
      <c r="B1961" s="2" t="s">
        <v>7398</v>
      </c>
      <c r="C1961" s="2" t="s">
        <v>7399</v>
      </c>
      <c r="D1961" s="2" t="s">
        <v>7362</v>
      </c>
      <c r="E1961" s="5">
        <v>1</v>
      </c>
      <c r="G1961" s="2" t="s">
        <v>7404</v>
      </c>
      <c r="H1961" s="2" t="s">
        <v>1836</v>
      </c>
      <c r="I1961" s="4">
        <v>0</v>
      </c>
      <c r="J1961" s="4">
        <v>0</v>
      </c>
      <c r="L1961" s="31">
        <v>0</v>
      </c>
      <c r="M1961" s="32">
        <v>0</v>
      </c>
      <c r="N1961" s="33">
        <v>9999</v>
      </c>
    </row>
    <row r="1962" spans="1:14" x14ac:dyDescent="0.25">
      <c r="A1962" s="30">
        <v>1</v>
      </c>
      <c r="B1962" s="2" t="s">
        <v>7398</v>
      </c>
      <c r="C1962" s="2" t="s">
        <v>7399</v>
      </c>
      <c r="D1962" s="2" t="s">
        <v>7363</v>
      </c>
      <c r="E1962" s="5">
        <v>1</v>
      </c>
      <c r="F1962" s="2" t="s">
        <v>2099</v>
      </c>
      <c r="G1962" s="2" t="s">
        <v>7404</v>
      </c>
      <c r="H1962" s="2" t="s">
        <v>1837</v>
      </c>
      <c r="I1962" s="4">
        <v>0</v>
      </c>
      <c r="J1962" s="4">
        <v>0</v>
      </c>
      <c r="L1962" s="31">
        <v>8.57</v>
      </c>
      <c r="M1962" s="32">
        <v>0</v>
      </c>
      <c r="N1962" s="33">
        <v>0</v>
      </c>
    </row>
    <row r="1963" spans="1:14" x14ac:dyDescent="0.25">
      <c r="A1963" s="30">
        <v>1</v>
      </c>
      <c r="B1963" s="2" t="s">
        <v>7398</v>
      </c>
      <c r="C1963" s="2" t="s">
        <v>7399</v>
      </c>
      <c r="D1963" s="2" t="s">
        <v>7364</v>
      </c>
      <c r="E1963" s="5">
        <v>70</v>
      </c>
      <c r="H1963" s="2" t="s">
        <v>7491</v>
      </c>
      <c r="I1963" s="4">
        <v>0</v>
      </c>
      <c r="J1963" s="4">
        <v>0</v>
      </c>
      <c r="L1963" s="31">
        <v>0</v>
      </c>
      <c r="M1963" s="32">
        <v>0</v>
      </c>
      <c r="N1963" s="33">
        <v>9999</v>
      </c>
    </row>
    <row r="1964" spans="1:14" x14ac:dyDescent="0.25">
      <c r="A1964" s="30">
        <v>1</v>
      </c>
      <c r="B1964" s="2" t="s">
        <v>7398</v>
      </c>
      <c r="C1964" s="2" t="s">
        <v>7399</v>
      </c>
      <c r="D1964" s="2" t="s">
        <v>7365</v>
      </c>
      <c r="E1964" s="5">
        <v>72</v>
      </c>
      <c r="H1964" s="2" t="s">
        <v>7492</v>
      </c>
      <c r="I1964" s="4">
        <v>0</v>
      </c>
      <c r="J1964" s="4">
        <v>0</v>
      </c>
      <c r="L1964" s="31">
        <v>0</v>
      </c>
      <c r="M1964" s="32">
        <v>0</v>
      </c>
      <c r="N1964" s="33">
        <v>9999</v>
      </c>
    </row>
    <row r="1965" spans="1:14" x14ac:dyDescent="0.25">
      <c r="A1965" s="30">
        <v>1</v>
      </c>
      <c r="B1965" s="2" t="s">
        <v>7398</v>
      </c>
      <c r="C1965" s="2" t="s">
        <v>7399</v>
      </c>
      <c r="D1965" s="2" t="s">
        <v>7366</v>
      </c>
      <c r="E1965" s="5">
        <v>72</v>
      </c>
      <c r="H1965" s="2" t="s">
        <v>7493</v>
      </c>
      <c r="I1965" s="4">
        <v>0</v>
      </c>
      <c r="J1965" s="4">
        <v>0</v>
      </c>
      <c r="L1965" s="31">
        <v>0</v>
      </c>
      <c r="M1965" s="32">
        <v>0</v>
      </c>
      <c r="N1965" s="33">
        <v>9999</v>
      </c>
    </row>
    <row r="1966" spans="1:14" x14ac:dyDescent="0.25">
      <c r="A1966" s="30">
        <v>1</v>
      </c>
      <c r="B1966" s="2" t="s">
        <v>7398</v>
      </c>
      <c r="C1966" s="2" t="s">
        <v>7399</v>
      </c>
      <c r="D1966" s="2" t="s">
        <v>7367</v>
      </c>
      <c r="E1966" s="5">
        <v>75</v>
      </c>
      <c r="H1966" s="2" t="s">
        <v>7494</v>
      </c>
      <c r="I1966" s="4">
        <v>0</v>
      </c>
      <c r="J1966" s="4">
        <v>0</v>
      </c>
      <c r="L1966" s="31">
        <v>0</v>
      </c>
      <c r="M1966" s="32">
        <v>0</v>
      </c>
      <c r="N1966" s="33">
        <v>9999</v>
      </c>
    </row>
    <row r="1967" spans="1:14" x14ac:dyDescent="0.25">
      <c r="A1967" s="30">
        <v>1</v>
      </c>
      <c r="B1967" s="2" t="s">
        <v>7398</v>
      </c>
      <c r="C1967" s="2" t="s">
        <v>7399</v>
      </c>
      <c r="D1967" s="2" t="s">
        <v>7368</v>
      </c>
      <c r="E1967" s="5">
        <v>50</v>
      </c>
      <c r="H1967" s="2" t="s">
        <v>7495</v>
      </c>
      <c r="I1967" s="4">
        <v>0</v>
      </c>
      <c r="J1967" s="4">
        <v>0</v>
      </c>
      <c r="L1967" s="31">
        <v>0</v>
      </c>
      <c r="M1967" s="32">
        <v>0</v>
      </c>
      <c r="N1967" s="33">
        <v>9999</v>
      </c>
    </row>
    <row r="1968" spans="1:14" x14ac:dyDescent="0.25">
      <c r="A1968" s="30">
        <v>1</v>
      </c>
      <c r="B1968" s="2" t="s">
        <v>7398</v>
      </c>
      <c r="C1968" s="2" t="s">
        <v>7399</v>
      </c>
      <c r="D1968" s="2" t="s">
        <v>7369</v>
      </c>
      <c r="E1968" s="5">
        <v>70</v>
      </c>
      <c r="H1968" s="2" t="s">
        <v>7496</v>
      </c>
      <c r="I1968" s="4">
        <v>0</v>
      </c>
      <c r="J1968" s="4">
        <v>0</v>
      </c>
      <c r="L1968" s="31">
        <v>0</v>
      </c>
      <c r="M1968" s="32">
        <v>0</v>
      </c>
      <c r="N1968" s="33">
        <v>9999</v>
      </c>
    </row>
    <row r="1969" spans="1:14" x14ac:dyDescent="0.25">
      <c r="A1969" s="30">
        <v>1</v>
      </c>
      <c r="B1969" s="2" t="s">
        <v>7398</v>
      </c>
      <c r="C1969" s="2" t="s">
        <v>7399</v>
      </c>
      <c r="D1969" s="2" t="s">
        <v>7370</v>
      </c>
      <c r="E1969" s="5">
        <v>72</v>
      </c>
      <c r="H1969" s="2" t="s">
        <v>7497</v>
      </c>
      <c r="I1969" s="4">
        <v>0</v>
      </c>
      <c r="J1969" s="4">
        <v>0</v>
      </c>
      <c r="L1969" s="31">
        <v>0</v>
      </c>
      <c r="M1969" s="32">
        <v>0</v>
      </c>
      <c r="N1969" s="33">
        <v>9999</v>
      </c>
    </row>
    <row r="1970" spans="1:14" x14ac:dyDescent="0.25">
      <c r="A1970" s="30">
        <v>1</v>
      </c>
      <c r="B1970" s="2" t="s">
        <v>7398</v>
      </c>
      <c r="C1970" s="2" t="s">
        <v>7399</v>
      </c>
      <c r="D1970" s="2" t="s">
        <v>7371</v>
      </c>
      <c r="E1970" s="5">
        <v>72</v>
      </c>
      <c r="H1970" s="2" t="s">
        <v>7498</v>
      </c>
      <c r="I1970" s="4">
        <v>0</v>
      </c>
      <c r="J1970" s="4">
        <v>0</v>
      </c>
      <c r="L1970" s="31">
        <v>0</v>
      </c>
      <c r="M1970" s="32">
        <v>0</v>
      </c>
      <c r="N1970" s="33">
        <v>9999</v>
      </c>
    </row>
    <row r="1971" spans="1:14" x14ac:dyDescent="0.25">
      <c r="A1971" s="30">
        <v>1</v>
      </c>
      <c r="B1971" s="2" t="s">
        <v>7398</v>
      </c>
      <c r="C1971" s="2" t="s">
        <v>7399</v>
      </c>
      <c r="D1971" s="2" t="s">
        <v>7372</v>
      </c>
      <c r="E1971" s="5">
        <v>75</v>
      </c>
      <c r="H1971" s="2" t="s">
        <v>7499</v>
      </c>
      <c r="I1971" s="4">
        <v>0</v>
      </c>
      <c r="J1971" s="4">
        <v>0</v>
      </c>
      <c r="L1971" s="31">
        <v>0</v>
      </c>
      <c r="M1971" s="32">
        <v>0</v>
      </c>
      <c r="N1971" s="33">
        <v>9999</v>
      </c>
    </row>
    <row r="1972" spans="1:14" x14ac:dyDescent="0.25">
      <c r="A1972" s="30">
        <v>1</v>
      </c>
      <c r="B1972" s="2" t="s">
        <v>7398</v>
      </c>
      <c r="C1972" s="2" t="s">
        <v>7399</v>
      </c>
      <c r="D1972" s="2" t="s">
        <v>7373</v>
      </c>
      <c r="E1972" s="5">
        <v>50</v>
      </c>
      <c r="H1972" s="2" t="s">
        <v>7500</v>
      </c>
      <c r="I1972" s="4">
        <v>0</v>
      </c>
      <c r="J1972" s="4">
        <v>0</v>
      </c>
      <c r="L1972" s="31">
        <v>0</v>
      </c>
      <c r="M1972" s="32">
        <v>0</v>
      </c>
      <c r="N1972" s="33">
        <v>9999</v>
      </c>
    </row>
    <row r="1973" spans="1:14" x14ac:dyDescent="0.25">
      <c r="A1973" s="30">
        <v>1</v>
      </c>
      <c r="B1973" s="2" t="s">
        <v>7398</v>
      </c>
      <c r="C1973" s="2" t="s">
        <v>7399</v>
      </c>
      <c r="D1973" s="2" t="s">
        <v>7374</v>
      </c>
      <c r="E1973" s="5">
        <v>75</v>
      </c>
      <c r="H1973" s="2" t="s">
        <v>7501</v>
      </c>
      <c r="I1973" s="4">
        <v>0</v>
      </c>
      <c r="J1973" s="4">
        <v>0</v>
      </c>
      <c r="L1973" s="31">
        <v>0</v>
      </c>
      <c r="M1973" s="32">
        <v>0</v>
      </c>
      <c r="N1973" s="33">
        <v>9999</v>
      </c>
    </row>
    <row r="1974" spans="1:14" x14ac:dyDescent="0.25">
      <c r="A1974" s="30">
        <v>1</v>
      </c>
      <c r="B1974" s="2" t="s">
        <v>7398</v>
      </c>
      <c r="C1974" s="2" t="s">
        <v>7399</v>
      </c>
      <c r="D1974" s="2" t="s">
        <v>7375</v>
      </c>
      <c r="E1974" s="5">
        <v>84</v>
      </c>
      <c r="G1974" s="2" t="s">
        <v>7410</v>
      </c>
      <c r="H1974" s="2" t="s">
        <v>7502</v>
      </c>
      <c r="I1974" s="4">
        <v>0</v>
      </c>
      <c r="J1974" s="4">
        <v>0</v>
      </c>
      <c r="L1974" s="31">
        <v>0</v>
      </c>
      <c r="M1974" s="32">
        <v>0</v>
      </c>
      <c r="N1974" s="33">
        <v>9999</v>
      </c>
    </row>
    <row r="1975" spans="1:14" x14ac:dyDescent="0.25">
      <c r="A1975" s="30">
        <v>1</v>
      </c>
      <c r="B1975" s="2" t="s">
        <v>7398</v>
      </c>
      <c r="C1975" s="2" t="s">
        <v>7399</v>
      </c>
      <c r="D1975" s="2" t="s">
        <v>7376</v>
      </c>
      <c r="E1975" s="5">
        <v>80</v>
      </c>
      <c r="H1975" s="2" t="s">
        <v>7503</v>
      </c>
      <c r="I1975" s="4">
        <v>0</v>
      </c>
      <c r="J1975" s="4">
        <v>0</v>
      </c>
      <c r="L1975" s="31">
        <v>0</v>
      </c>
      <c r="M1975" s="32">
        <v>0</v>
      </c>
      <c r="N1975" s="33">
        <v>9999</v>
      </c>
    </row>
    <row r="1976" spans="1:14" x14ac:dyDescent="0.25">
      <c r="A1976" s="30">
        <v>1</v>
      </c>
      <c r="B1976" s="2" t="s">
        <v>7398</v>
      </c>
      <c r="C1976" s="2" t="s">
        <v>7399</v>
      </c>
      <c r="D1976" s="2" t="s">
        <v>7377</v>
      </c>
      <c r="E1976" s="5">
        <v>50</v>
      </c>
      <c r="H1976" s="2" t="s">
        <v>7504</v>
      </c>
      <c r="I1976" s="4">
        <v>0</v>
      </c>
      <c r="J1976" s="4">
        <v>0</v>
      </c>
      <c r="L1976" s="31">
        <v>0</v>
      </c>
      <c r="M1976" s="32">
        <v>0</v>
      </c>
      <c r="N1976" s="33">
        <v>9999</v>
      </c>
    </row>
    <row r="1977" spans="1:14" x14ac:dyDescent="0.25">
      <c r="A1977" s="30">
        <v>1</v>
      </c>
      <c r="B1977" s="2" t="s">
        <v>7398</v>
      </c>
      <c r="C1977" s="2" t="s">
        <v>7399</v>
      </c>
      <c r="D1977" s="2" t="s">
        <v>7378</v>
      </c>
      <c r="E1977" s="5">
        <v>50</v>
      </c>
      <c r="H1977" s="2" t="s">
        <v>7505</v>
      </c>
      <c r="I1977" s="4">
        <v>0</v>
      </c>
      <c r="J1977" s="4">
        <v>0</v>
      </c>
      <c r="L1977" s="31">
        <v>0</v>
      </c>
      <c r="M1977" s="32">
        <v>0</v>
      </c>
      <c r="N1977" s="33">
        <v>9999</v>
      </c>
    </row>
    <row r="1978" spans="1:14" x14ac:dyDescent="0.25">
      <c r="A1978" s="30">
        <v>1</v>
      </c>
      <c r="B1978" s="2" t="s">
        <v>7398</v>
      </c>
      <c r="C1978" s="2" t="s">
        <v>7399</v>
      </c>
      <c r="D1978" s="2" t="s">
        <v>7379</v>
      </c>
      <c r="E1978" s="5">
        <v>75</v>
      </c>
      <c r="H1978" s="2" t="s">
        <v>7506</v>
      </c>
      <c r="I1978" s="4">
        <v>0</v>
      </c>
      <c r="J1978" s="4">
        <v>0</v>
      </c>
      <c r="L1978" s="31">
        <v>0</v>
      </c>
      <c r="M1978" s="32">
        <v>0</v>
      </c>
      <c r="N1978" s="33">
        <v>9999</v>
      </c>
    </row>
    <row r="1979" spans="1:14" x14ac:dyDescent="0.25">
      <c r="A1979" s="30">
        <v>1</v>
      </c>
      <c r="B1979" s="2" t="s">
        <v>7398</v>
      </c>
      <c r="C1979" s="2" t="s">
        <v>7399</v>
      </c>
      <c r="D1979" s="2" t="s">
        <v>7380</v>
      </c>
      <c r="E1979" s="5">
        <v>83</v>
      </c>
      <c r="H1979" s="2" t="s">
        <v>7507</v>
      </c>
      <c r="I1979" s="4">
        <v>0</v>
      </c>
      <c r="J1979" s="4">
        <v>0</v>
      </c>
      <c r="L1979" s="31">
        <v>0</v>
      </c>
      <c r="M1979" s="32">
        <v>0</v>
      </c>
      <c r="N1979" s="33">
        <v>9999</v>
      </c>
    </row>
    <row r="1980" spans="1:14" x14ac:dyDescent="0.25">
      <c r="A1980" s="30">
        <v>1</v>
      </c>
      <c r="B1980" s="2" t="s">
        <v>7398</v>
      </c>
      <c r="C1980" s="2" t="s">
        <v>7399</v>
      </c>
      <c r="D1980" s="2" t="s">
        <v>7381</v>
      </c>
      <c r="E1980" s="5">
        <v>80</v>
      </c>
      <c r="H1980" s="2" t="s">
        <v>7508</v>
      </c>
      <c r="I1980" s="4">
        <v>0</v>
      </c>
      <c r="J1980" s="4">
        <v>0</v>
      </c>
      <c r="L1980" s="31">
        <v>0</v>
      </c>
      <c r="M1980" s="32">
        <v>0</v>
      </c>
      <c r="N1980" s="33">
        <v>9999</v>
      </c>
    </row>
    <row r="1981" spans="1:14" x14ac:dyDescent="0.25">
      <c r="A1981" s="30">
        <v>1</v>
      </c>
      <c r="B1981" s="2" t="s">
        <v>7398</v>
      </c>
      <c r="C1981" s="2" t="s">
        <v>7399</v>
      </c>
      <c r="D1981" s="2" t="s">
        <v>7382</v>
      </c>
      <c r="E1981" s="5">
        <v>75</v>
      </c>
      <c r="H1981" s="2" t="s">
        <v>7509</v>
      </c>
      <c r="I1981" s="4">
        <v>0</v>
      </c>
      <c r="J1981" s="4">
        <v>0</v>
      </c>
      <c r="L1981" s="31">
        <v>0</v>
      </c>
      <c r="M1981" s="32">
        <v>0</v>
      </c>
      <c r="N1981" s="33">
        <v>9999</v>
      </c>
    </row>
    <row r="1982" spans="1:14" x14ac:dyDescent="0.25">
      <c r="A1982" s="30">
        <v>1</v>
      </c>
      <c r="B1982" s="2" t="s">
        <v>7398</v>
      </c>
      <c r="C1982" s="2" t="s">
        <v>7399</v>
      </c>
      <c r="D1982" s="2" t="s">
        <v>7383</v>
      </c>
      <c r="E1982" s="5">
        <v>50</v>
      </c>
      <c r="H1982" s="2" t="s">
        <v>7510</v>
      </c>
      <c r="I1982" s="4">
        <v>0</v>
      </c>
      <c r="J1982" s="4">
        <v>0</v>
      </c>
      <c r="L1982" s="31">
        <v>0</v>
      </c>
      <c r="M1982" s="32">
        <v>0</v>
      </c>
      <c r="N1982" s="33">
        <v>9999</v>
      </c>
    </row>
    <row r="1983" spans="1:14" x14ac:dyDescent="0.25">
      <c r="A1983" s="30">
        <v>1</v>
      </c>
      <c r="B1983" s="2" t="s">
        <v>7398</v>
      </c>
      <c r="C1983" s="2" t="s">
        <v>7399</v>
      </c>
      <c r="D1983" s="2" t="s">
        <v>7384</v>
      </c>
      <c r="E1983" s="5">
        <v>1</v>
      </c>
      <c r="G1983" s="2" t="s">
        <v>7404</v>
      </c>
      <c r="H1983" s="2" t="s">
        <v>1838</v>
      </c>
      <c r="I1983" s="4">
        <v>79</v>
      </c>
      <c r="J1983" s="4">
        <v>0</v>
      </c>
      <c r="L1983" s="31">
        <v>0.42</v>
      </c>
      <c r="M1983" s="32">
        <v>188.1</v>
      </c>
      <c r="N1983" s="33">
        <v>188.1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5D96-10DC-4549-9EC3-A29356CF111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820E-506B-407E-B7DC-3D8027F6B121}">
  <dimension ref="A1:I1767"/>
  <sheetViews>
    <sheetView workbookViewId="0">
      <selection activeCell="D1297" sqref="D1297"/>
    </sheetView>
  </sheetViews>
  <sheetFormatPr defaultRowHeight="15" x14ac:dyDescent="0.25"/>
  <cols>
    <col min="1" max="1" width="5" bestFit="1" customWidth="1"/>
    <col min="2" max="2" width="45.85546875" bestFit="1" customWidth="1"/>
    <col min="3" max="3" width="65" bestFit="1" customWidth="1"/>
    <col min="5" max="5" width="83" bestFit="1" customWidth="1"/>
    <col min="9" max="9" width="18" customWidth="1"/>
  </cols>
  <sheetData>
    <row r="1" spans="1:9" x14ac:dyDescent="0.25">
      <c r="A1" t="s">
        <v>2103</v>
      </c>
      <c r="B1" s="9" t="s">
        <v>2104</v>
      </c>
      <c r="C1" s="9" t="s">
        <v>2105</v>
      </c>
      <c r="D1" s="9" t="s">
        <v>2106</v>
      </c>
      <c r="E1" s="9" t="s">
        <v>2107</v>
      </c>
      <c r="F1" s="9" t="s">
        <v>2108</v>
      </c>
      <c r="G1" s="9" t="s">
        <v>2109</v>
      </c>
      <c r="H1" s="9" t="s">
        <v>2110</v>
      </c>
      <c r="I1" s="9" t="s">
        <v>2111</v>
      </c>
    </row>
    <row r="2" spans="1:9" x14ac:dyDescent="0.25">
      <c r="A2">
        <v>1220</v>
      </c>
      <c r="B2" s="10" t="s">
        <v>2112</v>
      </c>
      <c r="C2" s="10" t="s">
        <v>2113</v>
      </c>
      <c r="D2" s="10">
        <v>1103</v>
      </c>
      <c r="E2" s="10" t="s">
        <v>2114</v>
      </c>
      <c r="F2" s="10" t="s">
        <v>2115</v>
      </c>
      <c r="G2" s="10" t="s">
        <v>2116</v>
      </c>
      <c r="H2" s="10" t="s">
        <v>2117</v>
      </c>
      <c r="I2" s="10" t="s">
        <v>2118</v>
      </c>
    </row>
    <row r="3" spans="1:9" x14ac:dyDescent="0.25">
      <c r="A3">
        <v>1221</v>
      </c>
      <c r="B3" s="10" t="s">
        <v>2112</v>
      </c>
      <c r="C3" s="10" t="s">
        <v>2113</v>
      </c>
      <c r="D3" s="10">
        <v>1105</v>
      </c>
      <c r="E3" s="10" t="s">
        <v>2119</v>
      </c>
      <c r="F3" s="10" t="s">
        <v>2120</v>
      </c>
      <c r="G3" s="10" t="s">
        <v>2121</v>
      </c>
      <c r="H3" s="10" t="s">
        <v>2122</v>
      </c>
      <c r="I3" s="10" t="s">
        <v>2123</v>
      </c>
    </row>
    <row r="4" spans="1:9" x14ac:dyDescent="0.25">
      <c r="A4">
        <v>1222</v>
      </c>
      <c r="B4" s="10" t="s">
        <v>2112</v>
      </c>
      <c r="C4" s="10" t="s">
        <v>2113</v>
      </c>
      <c r="D4" s="10">
        <v>1107</v>
      </c>
      <c r="E4" s="10" t="s">
        <v>2124</v>
      </c>
      <c r="F4" s="10" t="s">
        <v>2125</v>
      </c>
      <c r="G4" s="10" t="s">
        <v>2126</v>
      </c>
      <c r="H4" s="10" t="s">
        <v>2127</v>
      </c>
      <c r="I4" s="10" t="s">
        <v>2128</v>
      </c>
    </row>
    <row r="5" spans="1:9" x14ac:dyDescent="0.25">
      <c r="A5">
        <v>1223</v>
      </c>
      <c r="B5" s="10" t="s">
        <v>2112</v>
      </c>
      <c r="C5" s="10" t="s">
        <v>2113</v>
      </c>
      <c r="D5" s="10">
        <v>1108</v>
      </c>
      <c r="E5" s="10" t="s">
        <v>2129</v>
      </c>
      <c r="F5" s="10" t="s">
        <v>2130</v>
      </c>
      <c r="G5" s="10" t="s">
        <v>2131</v>
      </c>
      <c r="H5" s="10" t="s">
        <v>2132</v>
      </c>
      <c r="I5" s="10" t="s">
        <v>2133</v>
      </c>
    </row>
    <row r="6" spans="1:9" x14ac:dyDescent="0.25">
      <c r="A6">
        <v>1224</v>
      </c>
      <c r="B6" s="10" t="s">
        <v>2112</v>
      </c>
      <c r="C6" s="10" t="s">
        <v>2113</v>
      </c>
      <c r="D6" s="10">
        <v>1109</v>
      </c>
      <c r="E6" s="10" t="s">
        <v>2134</v>
      </c>
      <c r="F6" s="10" t="s">
        <v>2135</v>
      </c>
      <c r="G6" s="10" t="s">
        <v>2136</v>
      </c>
      <c r="H6" s="10" t="s">
        <v>2137</v>
      </c>
      <c r="I6" s="10" t="s">
        <v>2138</v>
      </c>
    </row>
    <row r="7" spans="1:9" x14ac:dyDescent="0.25">
      <c r="A7">
        <v>1225</v>
      </c>
      <c r="B7" s="10" t="s">
        <v>2112</v>
      </c>
      <c r="C7" s="10" t="s">
        <v>2113</v>
      </c>
      <c r="D7" s="10">
        <v>1111</v>
      </c>
      <c r="E7" s="10" t="s">
        <v>2139</v>
      </c>
      <c r="F7" s="10" t="s">
        <v>2140</v>
      </c>
      <c r="G7" s="10" t="s">
        <v>2141</v>
      </c>
      <c r="H7" s="10" t="s">
        <v>2142</v>
      </c>
      <c r="I7" s="10" t="s">
        <v>2143</v>
      </c>
    </row>
    <row r="8" spans="1:9" x14ac:dyDescent="0.25">
      <c r="A8">
        <v>1226</v>
      </c>
      <c r="B8" s="10" t="s">
        <v>2112</v>
      </c>
      <c r="C8" s="10" t="s">
        <v>2113</v>
      </c>
      <c r="D8" s="10">
        <v>1120</v>
      </c>
      <c r="E8" s="10" t="s">
        <v>2144</v>
      </c>
      <c r="F8" s="10" t="s">
        <v>2145</v>
      </c>
      <c r="G8" s="10" t="s">
        <v>2146</v>
      </c>
      <c r="H8" s="10" t="s">
        <v>2147</v>
      </c>
      <c r="I8" s="10" t="s">
        <v>2148</v>
      </c>
    </row>
    <row r="9" spans="1:9" x14ac:dyDescent="0.25">
      <c r="A9">
        <v>1227</v>
      </c>
      <c r="B9" s="10" t="s">
        <v>2112</v>
      </c>
      <c r="C9" s="10" t="s">
        <v>2113</v>
      </c>
      <c r="D9" s="10">
        <v>1128</v>
      </c>
      <c r="E9" s="10" t="s">
        <v>2149</v>
      </c>
      <c r="F9" s="10" t="s">
        <v>2150</v>
      </c>
      <c r="G9" s="10" t="s">
        <v>2151</v>
      </c>
      <c r="H9" s="10" t="s">
        <v>2152</v>
      </c>
      <c r="I9" s="10" t="s">
        <v>2153</v>
      </c>
    </row>
    <row r="10" spans="1:9" x14ac:dyDescent="0.25">
      <c r="A10">
        <v>1228</v>
      </c>
      <c r="B10" s="10" t="s">
        <v>2112</v>
      </c>
      <c r="C10" s="10" t="s">
        <v>2113</v>
      </c>
      <c r="D10" s="10">
        <v>1130</v>
      </c>
      <c r="E10" s="10" t="s">
        <v>2154</v>
      </c>
      <c r="F10" s="10" t="s">
        <v>2155</v>
      </c>
      <c r="G10" s="10" t="s">
        <v>2156</v>
      </c>
      <c r="H10" s="10" t="s">
        <v>2157</v>
      </c>
      <c r="I10" s="10" t="s">
        <v>2158</v>
      </c>
    </row>
    <row r="11" spans="1:9" x14ac:dyDescent="0.25">
      <c r="A11">
        <v>1229</v>
      </c>
      <c r="B11" s="10" t="s">
        <v>2112</v>
      </c>
      <c r="C11" s="10" t="s">
        <v>2113</v>
      </c>
      <c r="D11" s="10">
        <v>1133</v>
      </c>
      <c r="E11" s="10" t="s">
        <v>2159</v>
      </c>
      <c r="F11" s="10" t="s">
        <v>2160</v>
      </c>
      <c r="G11" s="10" t="s">
        <v>2161</v>
      </c>
      <c r="H11" s="10" t="s">
        <v>2162</v>
      </c>
      <c r="I11" s="10" t="s">
        <v>2131</v>
      </c>
    </row>
    <row r="12" spans="1:9" x14ac:dyDescent="0.25">
      <c r="A12">
        <v>1212</v>
      </c>
      <c r="B12" s="10" t="s">
        <v>2112</v>
      </c>
      <c r="C12" s="10" t="s">
        <v>2163</v>
      </c>
      <c r="D12" s="10">
        <v>1141</v>
      </c>
      <c r="E12" s="10" t="s">
        <v>2164</v>
      </c>
      <c r="F12" s="10" t="s">
        <v>2165</v>
      </c>
      <c r="G12" s="10" t="s">
        <v>2166</v>
      </c>
      <c r="H12" s="10" t="s">
        <v>2161</v>
      </c>
      <c r="I12" s="10" t="s">
        <v>2167</v>
      </c>
    </row>
    <row r="13" spans="1:9" x14ac:dyDescent="0.25">
      <c r="A13">
        <v>1213</v>
      </c>
      <c r="B13" s="10" t="s">
        <v>2112</v>
      </c>
      <c r="C13" s="10" t="s">
        <v>2163</v>
      </c>
      <c r="D13" s="10">
        <v>1142</v>
      </c>
      <c r="E13" s="10" t="s">
        <v>2168</v>
      </c>
      <c r="F13" s="10" t="s">
        <v>2169</v>
      </c>
      <c r="G13" s="10" t="s">
        <v>2170</v>
      </c>
      <c r="H13" s="10" t="s">
        <v>2171</v>
      </c>
      <c r="I13" s="10" t="s">
        <v>2172</v>
      </c>
    </row>
    <row r="14" spans="1:9" x14ac:dyDescent="0.25">
      <c r="A14">
        <v>1214</v>
      </c>
      <c r="B14" s="10" t="s">
        <v>2112</v>
      </c>
      <c r="C14" s="10" t="s">
        <v>2163</v>
      </c>
      <c r="D14" s="10">
        <v>1144</v>
      </c>
      <c r="E14" s="10" t="s">
        <v>2173</v>
      </c>
      <c r="F14" s="10" t="s">
        <v>2174</v>
      </c>
      <c r="G14" s="10" t="s">
        <v>2175</v>
      </c>
      <c r="H14" s="10" t="s">
        <v>2176</v>
      </c>
      <c r="I14" s="10" t="s">
        <v>2177</v>
      </c>
    </row>
    <row r="15" spans="1:9" x14ac:dyDescent="0.25">
      <c r="A15">
        <v>1215</v>
      </c>
      <c r="B15" s="10" t="s">
        <v>2112</v>
      </c>
      <c r="C15" s="10" t="s">
        <v>2163</v>
      </c>
      <c r="D15" s="10">
        <v>1154</v>
      </c>
      <c r="E15" s="10" t="s">
        <v>2178</v>
      </c>
      <c r="F15" s="10" t="s">
        <v>2179</v>
      </c>
      <c r="G15" s="10" t="s">
        <v>2180</v>
      </c>
      <c r="H15" s="10" t="s">
        <v>2181</v>
      </c>
      <c r="I15" s="10" t="s">
        <v>2182</v>
      </c>
    </row>
    <row r="16" spans="1:9" x14ac:dyDescent="0.25">
      <c r="A16">
        <v>1216</v>
      </c>
      <c r="B16" s="10" t="s">
        <v>2112</v>
      </c>
      <c r="C16" s="10" t="s">
        <v>2163</v>
      </c>
      <c r="D16" s="10">
        <v>1156</v>
      </c>
      <c r="E16" s="10" t="s">
        <v>2183</v>
      </c>
      <c r="F16" s="10" t="s">
        <v>2184</v>
      </c>
      <c r="G16" s="10" t="s">
        <v>2185</v>
      </c>
      <c r="H16" s="10" t="s">
        <v>2186</v>
      </c>
      <c r="I16" s="10" t="s">
        <v>2187</v>
      </c>
    </row>
    <row r="17" spans="1:9" x14ac:dyDescent="0.25">
      <c r="A17">
        <v>1217</v>
      </c>
      <c r="B17" s="10" t="s">
        <v>2112</v>
      </c>
      <c r="C17" s="10" t="s">
        <v>2163</v>
      </c>
      <c r="D17" s="10">
        <v>1158</v>
      </c>
      <c r="E17" s="10" t="s">
        <v>2188</v>
      </c>
      <c r="F17" s="10" t="s">
        <v>2189</v>
      </c>
      <c r="G17" s="10" t="s">
        <v>2190</v>
      </c>
      <c r="H17" s="10" t="s">
        <v>2191</v>
      </c>
      <c r="I17" s="10" t="s">
        <v>2192</v>
      </c>
    </row>
    <row r="18" spans="1:9" x14ac:dyDescent="0.25">
      <c r="A18">
        <v>1218</v>
      </c>
      <c r="B18" s="10" t="s">
        <v>2112</v>
      </c>
      <c r="C18" s="10" t="s">
        <v>2163</v>
      </c>
      <c r="D18" s="10">
        <v>1159</v>
      </c>
      <c r="E18" s="10" t="s">
        <v>2193</v>
      </c>
      <c r="F18" s="10" t="s">
        <v>2194</v>
      </c>
      <c r="G18" s="10" t="s">
        <v>2195</v>
      </c>
      <c r="H18" s="10" t="s">
        <v>2196</v>
      </c>
      <c r="I18" s="10" t="s">
        <v>2197</v>
      </c>
    </row>
    <row r="19" spans="1:9" x14ac:dyDescent="0.25">
      <c r="A19">
        <v>1219</v>
      </c>
      <c r="B19" s="10" t="s">
        <v>2112</v>
      </c>
      <c r="C19" s="10" t="s">
        <v>21</v>
      </c>
      <c r="D19" s="10">
        <v>1186</v>
      </c>
      <c r="E19" s="10" t="s">
        <v>2139</v>
      </c>
      <c r="F19" s="10" t="s">
        <v>2198</v>
      </c>
      <c r="G19" s="10" t="s">
        <v>2199</v>
      </c>
      <c r="H19" s="10" t="s">
        <v>2200</v>
      </c>
      <c r="I19" s="10" t="s">
        <v>2133</v>
      </c>
    </row>
    <row r="20" spans="1:9" x14ac:dyDescent="0.25">
      <c r="A20">
        <v>1230</v>
      </c>
      <c r="B20" s="10" t="s">
        <v>2112</v>
      </c>
      <c r="C20" s="10" t="s">
        <v>2201</v>
      </c>
      <c r="D20" s="10">
        <v>1188</v>
      </c>
      <c r="E20" s="10" t="s">
        <v>2202</v>
      </c>
      <c r="F20" s="10" t="s">
        <v>2203</v>
      </c>
      <c r="G20" s="10" t="s">
        <v>2204</v>
      </c>
      <c r="H20" s="10" t="s">
        <v>2205</v>
      </c>
      <c r="I20" s="10" t="s">
        <v>2206</v>
      </c>
    </row>
    <row r="21" spans="1:9" x14ac:dyDescent="0.25">
      <c r="A21">
        <v>1187</v>
      </c>
      <c r="B21" s="10" t="s">
        <v>2207</v>
      </c>
      <c r="C21" s="10" t="s">
        <v>2208</v>
      </c>
      <c r="D21" s="10">
        <v>1190</v>
      </c>
      <c r="E21" s="10" t="s">
        <v>2209</v>
      </c>
      <c r="F21" s="10" t="s">
        <v>2210</v>
      </c>
      <c r="G21" s="10" t="s">
        <v>2211</v>
      </c>
      <c r="H21" s="10" t="s">
        <v>2212</v>
      </c>
      <c r="I21" s="10" t="s">
        <v>2213</v>
      </c>
    </row>
    <row r="22" spans="1:9" x14ac:dyDescent="0.25">
      <c r="A22">
        <v>1188</v>
      </c>
      <c r="B22" s="10" t="s">
        <v>2207</v>
      </c>
      <c r="C22" s="10" t="s">
        <v>2208</v>
      </c>
      <c r="D22" s="10">
        <v>1191</v>
      </c>
      <c r="E22" s="10" t="s">
        <v>2214</v>
      </c>
      <c r="F22" s="10" t="s">
        <v>2215</v>
      </c>
      <c r="G22" s="10" t="s">
        <v>2216</v>
      </c>
      <c r="H22" s="10" t="s">
        <v>2217</v>
      </c>
      <c r="I22" s="10" t="s">
        <v>2218</v>
      </c>
    </row>
    <row r="23" spans="1:9" x14ac:dyDescent="0.25">
      <c r="A23">
        <v>1189</v>
      </c>
      <c r="B23" s="10" t="s">
        <v>2207</v>
      </c>
      <c r="C23" s="10" t="s">
        <v>2208</v>
      </c>
      <c r="D23" s="10">
        <v>1192</v>
      </c>
      <c r="E23" s="10" t="s">
        <v>2219</v>
      </c>
      <c r="F23" s="10" t="s">
        <v>2220</v>
      </c>
      <c r="G23" s="10" t="s">
        <v>2221</v>
      </c>
      <c r="H23" s="10" t="s">
        <v>2222</v>
      </c>
      <c r="I23" s="10" t="s">
        <v>2223</v>
      </c>
    </row>
    <row r="24" spans="1:9" x14ac:dyDescent="0.25">
      <c r="A24">
        <v>1231</v>
      </c>
      <c r="B24" s="10" t="s">
        <v>2112</v>
      </c>
      <c r="C24" s="10" t="s">
        <v>2224</v>
      </c>
      <c r="D24" s="10">
        <v>1195</v>
      </c>
      <c r="E24" s="10" t="s">
        <v>2202</v>
      </c>
      <c r="F24" s="10" t="s">
        <v>2203</v>
      </c>
      <c r="G24" s="10" t="s">
        <v>2204</v>
      </c>
      <c r="H24" s="10" t="s">
        <v>2225</v>
      </c>
      <c r="I24" s="10" t="s">
        <v>2206</v>
      </c>
    </row>
    <row r="25" spans="1:9" x14ac:dyDescent="0.25">
      <c r="A25">
        <v>1232</v>
      </c>
      <c r="B25" s="10" t="s">
        <v>2112</v>
      </c>
      <c r="C25" s="10" t="s">
        <v>2226</v>
      </c>
      <c r="D25" s="10">
        <v>1199</v>
      </c>
      <c r="E25" s="10" t="s">
        <v>2227</v>
      </c>
      <c r="F25" s="10" t="s">
        <v>2228</v>
      </c>
      <c r="G25" s="10" t="s">
        <v>2229</v>
      </c>
      <c r="H25" s="10" t="s">
        <v>2230</v>
      </c>
      <c r="I25" s="10" t="s">
        <v>2231</v>
      </c>
    </row>
    <row r="26" spans="1:9" x14ac:dyDescent="0.25">
      <c r="A26">
        <v>1196</v>
      </c>
      <c r="B26" s="10" t="s">
        <v>2112</v>
      </c>
      <c r="C26" s="10" t="s">
        <v>2232</v>
      </c>
      <c r="D26" s="10">
        <v>1222</v>
      </c>
      <c r="E26" s="10" t="s">
        <v>2233</v>
      </c>
      <c r="F26" s="10" t="s">
        <v>2234</v>
      </c>
      <c r="G26" s="10" t="s">
        <v>2235</v>
      </c>
      <c r="H26" s="10" t="s">
        <v>2236</v>
      </c>
      <c r="I26" s="10" t="s">
        <v>2237</v>
      </c>
    </row>
    <row r="27" spans="1:9" x14ac:dyDescent="0.25">
      <c r="A27">
        <v>1197</v>
      </c>
      <c r="B27" s="10" t="s">
        <v>2112</v>
      </c>
      <c r="C27" s="10" t="s">
        <v>2232</v>
      </c>
      <c r="D27" s="10">
        <v>1227</v>
      </c>
      <c r="E27" s="10" t="s">
        <v>2238</v>
      </c>
      <c r="F27" s="10" t="s">
        <v>2239</v>
      </c>
      <c r="G27" s="10" t="s">
        <v>2240</v>
      </c>
      <c r="H27" s="10" t="s">
        <v>2241</v>
      </c>
      <c r="I27" s="10" t="s">
        <v>2241</v>
      </c>
    </row>
    <row r="28" spans="1:9" x14ac:dyDescent="0.25">
      <c r="A28">
        <v>1198</v>
      </c>
      <c r="B28" s="10" t="s">
        <v>2112</v>
      </c>
      <c r="C28" s="10" t="s">
        <v>2232</v>
      </c>
      <c r="D28" s="10">
        <v>1229</v>
      </c>
      <c r="E28" s="10" t="s">
        <v>2242</v>
      </c>
      <c r="F28" s="10" t="s">
        <v>2243</v>
      </c>
      <c r="G28" s="10" t="s">
        <v>2244</v>
      </c>
      <c r="H28" s="10" t="s">
        <v>2245</v>
      </c>
      <c r="I28" s="10" t="s">
        <v>2246</v>
      </c>
    </row>
    <row r="29" spans="1:9" x14ac:dyDescent="0.25">
      <c r="A29">
        <v>1199</v>
      </c>
      <c r="B29" s="10" t="s">
        <v>2112</v>
      </c>
      <c r="C29" s="10" t="s">
        <v>2232</v>
      </c>
      <c r="D29" s="10">
        <v>1231</v>
      </c>
      <c r="E29" s="10" t="s">
        <v>2247</v>
      </c>
      <c r="F29" s="10" t="s">
        <v>2248</v>
      </c>
      <c r="G29" s="10" t="s">
        <v>2249</v>
      </c>
      <c r="H29" s="10" t="s">
        <v>2250</v>
      </c>
      <c r="I29" s="10" t="s">
        <v>2251</v>
      </c>
    </row>
    <row r="30" spans="1:9" x14ac:dyDescent="0.25">
      <c r="A30">
        <v>1200</v>
      </c>
      <c r="B30" s="10" t="s">
        <v>2112</v>
      </c>
      <c r="C30" s="10" t="s">
        <v>2232</v>
      </c>
      <c r="D30" s="10">
        <v>1233</v>
      </c>
      <c r="E30" s="10" t="s">
        <v>2252</v>
      </c>
      <c r="F30" s="10" t="s">
        <v>2253</v>
      </c>
      <c r="G30" s="10" t="s">
        <v>2254</v>
      </c>
      <c r="H30" s="10" t="s">
        <v>2255</v>
      </c>
      <c r="I30" s="10" t="s">
        <v>2187</v>
      </c>
    </row>
    <row r="31" spans="1:9" x14ac:dyDescent="0.25">
      <c r="A31">
        <v>1201</v>
      </c>
      <c r="B31" s="10" t="s">
        <v>2112</v>
      </c>
      <c r="C31" s="10" t="s">
        <v>2232</v>
      </c>
      <c r="D31" s="10">
        <v>1234</v>
      </c>
      <c r="E31" s="10" t="s">
        <v>2256</v>
      </c>
      <c r="F31" s="10" t="s">
        <v>2257</v>
      </c>
      <c r="G31" s="10" t="s">
        <v>2258</v>
      </c>
      <c r="H31" s="10" t="s">
        <v>2259</v>
      </c>
      <c r="I31" s="10" t="s">
        <v>2260</v>
      </c>
    </row>
    <row r="32" spans="1:9" x14ac:dyDescent="0.25">
      <c r="A32">
        <v>1202</v>
      </c>
      <c r="B32" s="10" t="s">
        <v>2112</v>
      </c>
      <c r="C32" s="10" t="s">
        <v>2232</v>
      </c>
      <c r="D32" s="10">
        <v>1235</v>
      </c>
      <c r="E32" s="10" t="s">
        <v>2261</v>
      </c>
      <c r="F32" s="10" t="s">
        <v>2262</v>
      </c>
      <c r="G32" s="10" t="s">
        <v>2263</v>
      </c>
      <c r="H32" s="10" t="s">
        <v>2264</v>
      </c>
      <c r="I32" s="10" t="s">
        <v>2264</v>
      </c>
    </row>
    <row r="33" spans="1:9" x14ac:dyDescent="0.25">
      <c r="A33">
        <v>1203</v>
      </c>
      <c r="B33" s="10" t="s">
        <v>2112</v>
      </c>
      <c r="C33" s="10" t="s">
        <v>2232</v>
      </c>
      <c r="D33" s="10">
        <v>1237</v>
      </c>
      <c r="E33" s="10" t="s">
        <v>2265</v>
      </c>
      <c r="F33" s="10" t="s">
        <v>2266</v>
      </c>
      <c r="G33" s="10" t="s">
        <v>2267</v>
      </c>
      <c r="H33" s="10" t="s">
        <v>2268</v>
      </c>
      <c r="I33" s="10" t="s">
        <v>2269</v>
      </c>
    </row>
    <row r="34" spans="1:9" x14ac:dyDescent="0.25">
      <c r="A34">
        <v>1204</v>
      </c>
      <c r="B34" s="10" t="s">
        <v>2112</v>
      </c>
      <c r="C34" s="10" t="s">
        <v>2232</v>
      </c>
      <c r="D34" s="10">
        <v>1239</v>
      </c>
      <c r="E34" s="10" t="s">
        <v>2270</v>
      </c>
      <c r="F34" s="10" t="s">
        <v>2271</v>
      </c>
      <c r="G34" s="10" t="s">
        <v>2272</v>
      </c>
      <c r="H34" s="10" t="s">
        <v>2273</v>
      </c>
      <c r="I34" s="10" t="s">
        <v>2167</v>
      </c>
    </row>
    <row r="35" spans="1:9" x14ac:dyDescent="0.25">
      <c r="A35">
        <v>1205</v>
      </c>
      <c r="B35" s="10" t="s">
        <v>2112</v>
      </c>
      <c r="C35" s="10" t="s">
        <v>2232</v>
      </c>
      <c r="D35" s="10">
        <v>1240</v>
      </c>
      <c r="E35" s="10" t="s">
        <v>2274</v>
      </c>
      <c r="F35" s="10" t="s">
        <v>2275</v>
      </c>
      <c r="G35" s="10" t="s">
        <v>2276</v>
      </c>
      <c r="H35" s="10" t="s">
        <v>2273</v>
      </c>
      <c r="I35" s="10" t="s">
        <v>2277</v>
      </c>
    </row>
    <row r="36" spans="1:9" x14ac:dyDescent="0.25">
      <c r="A36">
        <v>1206</v>
      </c>
      <c r="B36" s="10" t="s">
        <v>2112</v>
      </c>
      <c r="C36" s="10" t="s">
        <v>2232</v>
      </c>
      <c r="D36" s="10">
        <v>1241</v>
      </c>
      <c r="E36" s="10" t="s">
        <v>2278</v>
      </c>
      <c r="F36" s="10" t="s">
        <v>2279</v>
      </c>
      <c r="G36" s="10" t="s">
        <v>2280</v>
      </c>
      <c r="H36" s="10" t="s">
        <v>2281</v>
      </c>
      <c r="I36" s="10" t="s">
        <v>2282</v>
      </c>
    </row>
    <row r="37" spans="1:9" x14ac:dyDescent="0.25">
      <c r="A37">
        <v>1207</v>
      </c>
      <c r="B37" s="10" t="s">
        <v>2112</v>
      </c>
      <c r="C37" s="10" t="s">
        <v>2232</v>
      </c>
      <c r="D37" s="10">
        <v>1250</v>
      </c>
      <c r="E37" s="10" t="s">
        <v>2283</v>
      </c>
      <c r="F37" s="10" t="s">
        <v>2284</v>
      </c>
      <c r="G37" s="10" t="s">
        <v>2285</v>
      </c>
      <c r="H37" s="10" t="s">
        <v>2286</v>
      </c>
      <c r="I37" s="10" t="s">
        <v>2287</v>
      </c>
    </row>
    <row r="38" spans="1:9" x14ac:dyDescent="0.25">
      <c r="A38">
        <v>1208</v>
      </c>
      <c r="B38" s="10" t="s">
        <v>2112</v>
      </c>
      <c r="C38" s="10" t="s">
        <v>2232</v>
      </c>
      <c r="D38" s="10">
        <v>1251</v>
      </c>
      <c r="E38" s="10" t="s">
        <v>2288</v>
      </c>
      <c r="F38" s="10" t="s">
        <v>2289</v>
      </c>
      <c r="G38" s="10" t="s">
        <v>2290</v>
      </c>
      <c r="H38" s="10" t="s">
        <v>2291</v>
      </c>
      <c r="I38" s="10" t="s">
        <v>2192</v>
      </c>
    </row>
    <row r="39" spans="1:9" x14ac:dyDescent="0.25">
      <c r="A39">
        <v>1233</v>
      </c>
      <c r="B39" s="10" t="s">
        <v>2112</v>
      </c>
      <c r="C39" s="10" t="s">
        <v>2292</v>
      </c>
      <c r="D39" s="10">
        <v>1255</v>
      </c>
      <c r="E39" s="10" t="s">
        <v>2293</v>
      </c>
      <c r="F39" s="10" t="s">
        <v>2294</v>
      </c>
      <c r="G39" s="10" t="s">
        <v>2295</v>
      </c>
      <c r="H39" s="10" t="s">
        <v>2296</v>
      </c>
      <c r="I39" s="10" t="s">
        <v>2297</v>
      </c>
    </row>
    <row r="40" spans="1:9" x14ac:dyDescent="0.25">
      <c r="A40">
        <v>1238</v>
      </c>
      <c r="B40" s="10" t="s">
        <v>2298</v>
      </c>
      <c r="C40" s="10" t="s">
        <v>2299</v>
      </c>
      <c r="D40" s="10">
        <v>1304</v>
      </c>
      <c r="E40" s="10" t="s">
        <v>2300</v>
      </c>
      <c r="F40" s="10" t="s">
        <v>2301</v>
      </c>
      <c r="G40" s="10" t="s">
        <v>2302</v>
      </c>
      <c r="H40" s="10" t="s">
        <v>2303</v>
      </c>
      <c r="I40" s="10" t="s">
        <v>2304</v>
      </c>
    </row>
    <row r="41" spans="1:9" x14ac:dyDescent="0.25">
      <c r="A41">
        <v>1234</v>
      </c>
      <c r="B41" s="10" t="s">
        <v>2298</v>
      </c>
      <c r="C41" s="10" t="s">
        <v>2305</v>
      </c>
      <c r="D41" s="10">
        <v>1307</v>
      </c>
      <c r="E41" s="10" t="s">
        <v>2306</v>
      </c>
      <c r="F41" s="10" t="s">
        <v>2307</v>
      </c>
      <c r="G41" s="10" t="s">
        <v>2308</v>
      </c>
      <c r="H41" s="10" t="s">
        <v>2309</v>
      </c>
      <c r="I41" s="10" t="s">
        <v>2310</v>
      </c>
    </row>
    <row r="42" spans="1:9" x14ac:dyDescent="0.25">
      <c r="A42">
        <v>1235</v>
      </c>
      <c r="B42" s="10" t="s">
        <v>2298</v>
      </c>
      <c r="C42" s="10" t="s">
        <v>2305</v>
      </c>
      <c r="D42" s="10">
        <v>1309</v>
      </c>
      <c r="E42" s="10" t="s">
        <v>2311</v>
      </c>
      <c r="F42" s="10" t="s">
        <v>2312</v>
      </c>
      <c r="G42" s="10" t="s">
        <v>2313</v>
      </c>
      <c r="H42" s="10" t="s">
        <v>2314</v>
      </c>
      <c r="I42" s="10" t="s">
        <v>2315</v>
      </c>
    </row>
    <row r="43" spans="1:9" x14ac:dyDescent="0.25">
      <c r="A43">
        <v>1239</v>
      </c>
      <c r="B43" s="10" t="s">
        <v>2298</v>
      </c>
      <c r="C43" s="10" t="s">
        <v>2299</v>
      </c>
      <c r="D43" s="10">
        <v>1312</v>
      </c>
      <c r="E43" s="10" t="s">
        <v>2316</v>
      </c>
      <c r="F43" s="10" t="s">
        <v>2317</v>
      </c>
      <c r="G43" s="10" t="s">
        <v>2318</v>
      </c>
      <c r="H43" s="10" t="s">
        <v>2319</v>
      </c>
      <c r="I43" s="10" t="s">
        <v>2213</v>
      </c>
    </row>
    <row r="44" spans="1:9" x14ac:dyDescent="0.25">
      <c r="A44">
        <v>1240</v>
      </c>
      <c r="B44" s="10" t="s">
        <v>2298</v>
      </c>
      <c r="C44" s="10" t="s">
        <v>2299</v>
      </c>
      <c r="D44" s="10">
        <v>1317</v>
      </c>
      <c r="E44" s="10" t="s">
        <v>2320</v>
      </c>
      <c r="F44" s="10" t="s">
        <v>2321</v>
      </c>
      <c r="G44" s="10" t="s">
        <v>2322</v>
      </c>
      <c r="H44" s="10" t="s">
        <v>2323</v>
      </c>
      <c r="I44" s="10" t="s">
        <v>2324</v>
      </c>
    </row>
    <row r="45" spans="1:9" x14ac:dyDescent="0.25">
      <c r="A45">
        <v>1241</v>
      </c>
      <c r="B45" s="10" t="s">
        <v>2298</v>
      </c>
      <c r="C45" s="10" t="s">
        <v>2299</v>
      </c>
      <c r="D45" s="10">
        <v>1319</v>
      </c>
      <c r="E45" s="10" t="s">
        <v>2325</v>
      </c>
      <c r="F45" s="10" t="s">
        <v>2326</v>
      </c>
      <c r="G45" s="10" t="s">
        <v>2327</v>
      </c>
      <c r="H45" s="10" t="s">
        <v>2328</v>
      </c>
      <c r="I45" s="10" t="s">
        <v>2329</v>
      </c>
    </row>
    <row r="46" spans="1:9" x14ac:dyDescent="0.25">
      <c r="A46">
        <v>1262</v>
      </c>
      <c r="B46" s="10" t="s">
        <v>2298</v>
      </c>
      <c r="C46" s="10" t="s">
        <v>2330</v>
      </c>
      <c r="D46" s="10">
        <v>1327</v>
      </c>
      <c r="E46" s="10" t="s">
        <v>2331</v>
      </c>
      <c r="F46" s="10" t="s">
        <v>2301</v>
      </c>
      <c r="G46" s="10" t="s">
        <v>2302</v>
      </c>
      <c r="H46" s="10" t="s">
        <v>2290</v>
      </c>
      <c r="I46" s="10" t="s">
        <v>2304</v>
      </c>
    </row>
    <row r="47" spans="1:9" x14ac:dyDescent="0.25">
      <c r="A47">
        <v>1263</v>
      </c>
      <c r="B47" s="10" t="s">
        <v>2298</v>
      </c>
      <c r="C47" s="10" t="s">
        <v>2330</v>
      </c>
      <c r="D47" s="10">
        <v>1331</v>
      </c>
      <c r="E47" s="10" t="s">
        <v>2332</v>
      </c>
      <c r="F47" s="10" t="s">
        <v>2333</v>
      </c>
      <c r="G47" s="10" t="s">
        <v>2334</v>
      </c>
      <c r="H47" s="10" t="s">
        <v>2335</v>
      </c>
      <c r="I47" s="10" t="s">
        <v>2336</v>
      </c>
    </row>
    <row r="48" spans="1:9" x14ac:dyDescent="0.25">
      <c r="A48">
        <v>1264</v>
      </c>
      <c r="B48" s="10" t="s">
        <v>2298</v>
      </c>
      <c r="C48" s="10" t="s">
        <v>2330</v>
      </c>
      <c r="D48" s="10">
        <v>1332</v>
      </c>
      <c r="E48" s="10" t="s">
        <v>2337</v>
      </c>
      <c r="F48" s="10" t="s">
        <v>2338</v>
      </c>
      <c r="G48" s="10" t="s">
        <v>2339</v>
      </c>
      <c r="H48" s="10" t="s">
        <v>2340</v>
      </c>
      <c r="I48" s="10" t="s">
        <v>2341</v>
      </c>
    </row>
    <row r="49" spans="1:9" x14ac:dyDescent="0.25">
      <c r="A49">
        <v>1245</v>
      </c>
      <c r="B49" s="10" t="s">
        <v>2298</v>
      </c>
      <c r="C49" s="10" t="s">
        <v>2342</v>
      </c>
      <c r="D49" s="10">
        <v>1333</v>
      </c>
      <c r="E49" s="10" t="s">
        <v>2343</v>
      </c>
      <c r="F49" s="10" t="s">
        <v>2344</v>
      </c>
      <c r="G49" s="10" t="s">
        <v>2263</v>
      </c>
      <c r="H49" s="10" t="s">
        <v>2345</v>
      </c>
      <c r="I49" s="10" t="s">
        <v>2264</v>
      </c>
    </row>
    <row r="50" spans="1:9" x14ac:dyDescent="0.25">
      <c r="A50">
        <v>1246</v>
      </c>
      <c r="B50" s="10" t="s">
        <v>2298</v>
      </c>
      <c r="C50" s="10" t="s">
        <v>2342</v>
      </c>
      <c r="D50" s="10">
        <v>1335</v>
      </c>
      <c r="E50" s="10" t="s">
        <v>2346</v>
      </c>
      <c r="F50" s="10" t="s">
        <v>2347</v>
      </c>
      <c r="G50" s="10" t="s">
        <v>2348</v>
      </c>
      <c r="H50" s="10" t="s">
        <v>2349</v>
      </c>
      <c r="I50" s="10" t="s">
        <v>2350</v>
      </c>
    </row>
    <row r="51" spans="1:9" x14ac:dyDescent="0.25">
      <c r="A51">
        <v>1247</v>
      </c>
      <c r="B51" s="10" t="s">
        <v>2298</v>
      </c>
      <c r="C51" s="10" t="s">
        <v>2342</v>
      </c>
      <c r="D51" s="10">
        <v>1337</v>
      </c>
      <c r="E51" s="10" t="s">
        <v>2351</v>
      </c>
      <c r="F51" s="10" t="s">
        <v>2352</v>
      </c>
      <c r="G51" s="10" t="s">
        <v>2353</v>
      </c>
      <c r="H51" s="10" t="s">
        <v>2354</v>
      </c>
      <c r="I51" s="10" t="s">
        <v>2355</v>
      </c>
    </row>
    <row r="52" spans="1:9" x14ac:dyDescent="0.25">
      <c r="A52">
        <v>1265</v>
      </c>
      <c r="B52" s="10" t="s">
        <v>2298</v>
      </c>
      <c r="C52" s="10" t="s">
        <v>2330</v>
      </c>
      <c r="D52" s="10">
        <v>1341</v>
      </c>
      <c r="E52" s="10" t="s">
        <v>2356</v>
      </c>
      <c r="F52" s="10" t="s">
        <v>2301</v>
      </c>
      <c r="G52" s="10" t="s">
        <v>2302</v>
      </c>
      <c r="H52" s="10" t="s">
        <v>2357</v>
      </c>
      <c r="I52" s="10" t="s">
        <v>2304</v>
      </c>
    </row>
    <row r="53" spans="1:9" x14ac:dyDescent="0.25">
      <c r="A53">
        <v>1276</v>
      </c>
      <c r="B53" s="10" t="s">
        <v>2298</v>
      </c>
      <c r="C53" s="10" t="s">
        <v>2358</v>
      </c>
      <c r="D53" s="10">
        <v>1345</v>
      </c>
      <c r="E53" s="10" t="s">
        <v>2359</v>
      </c>
      <c r="F53" s="10" t="s">
        <v>2360</v>
      </c>
      <c r="G53" s="10" t="s">
        <v>2361</v>
      </c>
      <c r="H53" s="10" t="s">
        <v>2362</v>
      </c>
      <c r="I53" s="10" t="s">
        <v>2363</v>
      </c>
    </row>
    <row r="54" spans="1:9" x14ac:dyDescent="0.25">
      <c r="A54">
        <v>1277</v>
      </c>
      <c r="B54" s="10" t="s">
        <v>2298</v>
      </c>
      <c r="C54" s="10" t="s">
        <v>2358</v>
      </c>
      <c r="D54" s="10">
        <v>1346</v>
      </c>
      <c r="E54" s="10" t="s">
        <v>2364</v>
      </c>
      <c r="F54" s="10" t="s">
        <v>2365</v>
      </c>
      <c r="G54" s="10" t="s">
        <v>2366</v>
      </c>
      <c r="H54" s="10" t="s">
        <v>2367</v>
      </c>
      <c r="I54" s="10" t="s">
        <v>2368</v>
      </c>
    </row>
    <row r="55" spans="1:9" x14ac:dyDescent="0.25">
      <c r="A55">
        <v>1267</v>
      </c>
      <c r="B55" s="10" t="s">
        <v>2298</v>
      </c>
      <c r="C55" s="10" t="s">
        <v>2369</v>
      </c>
      <c r="D55" s="10">
        <v>1351</v>
      </c>
      <c r="E55" s="10" t="s">
        <v>2370</v>
      </c>
      <c r="F55" s="10" t="s">
        <v>2371</v>
      </c>
      <c r="G55" s="10" t="s">
        <v>2372</v>
      </c>
      <c r="H55" s="10" t="s">
        <v>2373</v>
      </c>
      <c r="I55" s="10" t="s">
        <v>2374</v>
      </c>
    </row>
    <row r="56" spans="1:9" x14ac:dyDescent="0.25">
      <c r="A56">
        <v>1268</v>
      </c>
      <c r="B56" s="10" t="s">
        <v>2298</v>
      </c>
      <c r="C56" s="10" t="s">
        <v>2369</v>
      </c>
      <c r="D56" s="10">
        <v>1353</v>
      </c>
      <c r="E56" s="10" t="s">
        <v>2375</v>
      </c>
      <c r="F56" s="10" t="s">
        <v>2376</v>
      </c>
      <c r="G56" s="10" t="s">
        <v>2377</v>
      </c>
      <c r="H56" s="10" t="s">
        <v>2378</v>
      </c>
      <c r="I56" s="10" t="s">
        <v>2218</v>
      </c>
    </row>
    <row r="57" spans="1:9" x14ac:dyDescent="0.25">
      <c r="A57">
        <v>1278</v>
      </c>
      <c r="B57" s="10" t="s">
        <v>2298</v>
      </c>
      <c r="C57" s="10" t="s">
        <v>2358</v>
      </c>
      <c r="D57" s="10">
        <v>1360</v>
      </c>
      <c r="E57" s="10" t="s">
        <v>2379</v>
      </c>
      <c r="F57" s="10" t="s">
        <v>2380</v>
      </c>
      <c r="G57" s="10" t="s">
        <v>2381</v>
      </c>
      <c r="H57" s="10" t="s">
        <v>2382</v>
      </c>
      <c r="I57" s="10" t="s">
        <v>2383</v>
      </c>
    </row>
    <row r="58" spans="1:9" x14ac:dyDescent="0.25">
      <c r="A58">
        <v>1279</v>
      </c>
      <c r="B58" s="10" t="s">
        <v>2298</v>
      </c>
      <c r="C58" s="10" t="s">
        <v>2358</v>
      </c>
      <c r="D58" s="10">
        <v>1363</v>
      </c>
      <c r="E58" s="10" t="s">
        <v>2384</v>
      </c>
      <c r="F58" s="10" t="s">
        <v>2385</v>
      </c>
      <c r="G58" s="10" t="s">
        <v>2386</v>
      </c>
      <c r="H58" s="10" t="s">
        <v>2387</v>
      </c>
      <c r="I58" s="10" t="s">
        <v>2336</v>
      </c>
    </row>
    <row r="59" spans="1:9" x14ac:dyDescent="0.25">
      <c r="A59">
        <v>1257</v>
      </c>
      <c r="B59" s="10" t="s">
        <v>2298</v>
      </c>
      <c r="C59" s="10" t="s">
        <v>2388</v>
      </c>
      <c r="D59" s="10">
        <v>1368</v>
      </c>
      <c r="E59" s="10" t="s">
        <v>2389</v>
      </c>
      <c r="F59" s="10" t="s">
        <v>2390</v>
      </c>
      <c r="G59" s="10" t="s">
        <v>2391</v>
      </c>
      <c r="H59" s="10" t="s">
        <v>2392</v>
      </c>
      <c r="I59" s="10" t="s">
        <v>2118</v>
      </c>
    </row>
    <row r="60" spans="1:9" x14ac:dyDescent="0.25">
      <c r="A60">
        <v>1258</v>
      </c>
      <c r="B60" s="10" t="s">
        <v>2298</v>
      </c>
      <c r="C60" s="10" t="s">
        <v>2388</v>
      </c>
      <c r="D60" s="10">
        <v>1370</v>
      </c>
      <c r="E60" s="10" t="s">
        <v>2393</v>
      </c>
      <c r="F60" s="10" t="s">
        <v>2385</v>
      </c>
      <c r="G60" s="10" t="s">
        <v>2386</v>
      </c>
      <c r="H60" s="10" t="s">
        <v>2387</v>
      </c>
      <c r="I60" s="10" t="s">
        <v>2336</v>
      </c>
    </row>
    <row r="61" spans="1:9" x14ac:dyDescent="0.25">
      <c r="A61">
        <v>1259</v>
      </c>
      <c r="B61" s="10" t="s">
        <v>2298</v>
      </c>
      <c r="C61" s="10" t="s">
        <v>2388</v>
      </c>
      <c r="D61" s="10">
        <v>1373</v>
      </c>
      <c r="E61" s="10" t="s">
        <v>2394</v>
      </c>
      <c r="F61" s="10" t="s">
        <v>2210</v>
      </c>
      <c r="G61" s="10" t="s">
        <v>2395</v>
      </c>
      <c r="H61" s="10" t="s">
        <v>2396</v>
      </c>
      <c r="I61" s="10" t="s">
        <v>2315</v>
      </c>
    </row>
    <row r="62" spans="1:9" x14ac:dyDescent="0.25">
      <c r="A62">
        <v>1260</v>
      </c>
      <c r="B62" s="10" t="s">
        <v>2298</v>
      </c>
      <c r="C62" s="10" t="s">
        <v>2388</v>
      </c>
      <c r="D62" s="10">
        <v>1375</v>
      </c>
      <c r="E62" s="10" t="s">
        <v>2397</v>
      </c>
      <c r="F62" s="10" t="s">
        <v>2376</v>
      </c>
      <c r="G62" s="10" t="s">
        <v>2377</v>
      </c>
      <c r="H62" s="10" t="s">
        <v>2398</v>
      </c>
      <c r="I62" s="10" t="s">
        <v>2218</v>
      </c>
    </row>
    <row r="63" spans="1:9" x14ac:dyDescent="0.25">
      <c r="A63">
        <v>1261</v>
      </c>
      <c r="B63" s="10" t="s">
        <v>2298</v>
      </c>
      <c r="C63" s="10" t="s">
        <v>2388</v>
      </c>
      <c r="D63" s="10">
        <v>1377</v>
      </c>
      <c r="E63" s="10" t="s">
        <v>2399</v>
      </c>
      <c r="F63" s="10" t="s">
        <v>2400</v>
      </c>
      <c r="G63" s="10" t="s">
        <v>2401</v>
      </c>
      <c r="H63" s="10" t="s">
        <v>2402</v>
      </c>
      <c r="I63" s="10" t="s">
        <v>2403</v>
      </c>
    </row>
    <row r="64" spans="1:9" x14ac:dyDescent="0.25">
      <c r="A64">
        <v>1249</v>
      </c>
      <c r="B64" s="10" t="s">
        <v>2298</v>
      </c>
      <c r="C64" s="10" t="s">
        <v>2404</v>
      </c>
      <c r="D64" s="10">
        <v>1417</v>
      </c>
      <c r="E64" s="10" t="s">
        <v>2405</v>
      </c>
      <c r="F64" s="10" t="s">
        <v>2406</v>
      </c>
      <c r="G64" s="10" t="s">
        <v>2273</v>
      </c>
      <c r="H64" s="10" t="s">
        <v>2407</v>
      </c>
      <c r="I64" s="10" t="s">
        <v>2241</v>
      </c>
    </row>
    <row r="65" spans="1:9" x14ac:dyDescent="0.25">
      <c r="A65">
        <v>1250</v>
      </c>
      <c r="B65" s="10" t="s">
        <v>2298</v>
      </c>
      <c r="C65" s="10" t="s">
        <v>2404</v>
      </c>
      <c r="D65" s="10">
        <v>1419</v>
      </c>
      <c r="E65" s="10" t="s">
        <v>2408</v>
      </c>
      <c r="F65" s="10" t="s">
        <v>2235</v>
      </c>
      <c r="G65" s="10" t="s">
        <v>2409</v>
      </c>
      <c r="H65" s="10" t="s">
        <v>2410</v>
      </c>
      <c r="I65" s="10" t="s">
        <v>2269</v>
      </c>
    </row>
    <row r="66" spans="1:9" x14ac:dyDescent="0.25">
      <c r="A66">
        <v>1251</v>
      </c>
      <c r="B66" s="10" t="s">
        <v>2298</v>
      </c>
      <c r="C66" s="10" t="s">
        <v>2404</v>
      </c>
      <c r="D66" s="10">
        <v>1421</v>
      </c>
      <c r="E66" s="10" t="s">
        <v>2411</v>
      </c>
      <c r="F66" s="10" t="s">
        <v>2412</v>
      </c>
      <c r="G66" s="10" t="s">
        <v>2413</v>
      </c>
      <c r="H66" s="10" t="s">
        <v>2414</v>
      </c>
      <c r="I66" s="10" t="s">
        <v>2415</v>
      </c>
    </row>
    <row r="67" spans="1:9" x14ac:dyDescent="0.25">
      <c r="A67">
        <v>1252</v>
      </c>
      <c r="B67" s="10" t="s">
        <v>2298</v>
      </c>
      <c r="C67" s="10" t="s">
        <v>2404</v>
      </c>
      <c r="D67" s="10">
        <v>1425</v>
      </c>
      <c r="E67" s="10" t="s">
        <v>2416</v>
      </c>
      <c r="F67" s="10" t="s">
        <v>2417</v>
      </c>
      <c r="G67" s="10" t="s">
        <v>2418</v>
      </c>
      <c r="H67" s="10" t="s">
        <v>2419</v>
      </c>
      <c r="I67" s="10" t="s">
        <v>2420</v>
      </c>
    </row>
    <row r="68" spans="1:9" x14ac:dyDescent="0.25">
      <c r="A68">
        <v>1253</v>
      </c>
      <c r="B68" s="10" t="s">
        <v>2298</v>
      </c>
      <c r="C68" s="10" t="s">
        <v>2404</v>
      </c>
      <c r="D68" s="10">
        <v>1427</v>
      </c>
      <c r="E68" s="10" t="s">
        <v>2421</v>
      </c>
      <c r="F68" s="10" t="s">
        <v>2422</v>
      </c>
      <c r="G68" s="10" t="s">
        <v>2423</v>
      </c>
      <c r="H68" s="10" t="s">
        <v>2424</v>
      </c>
      <c r="I68" s="10" t="s">
        <v>2425</v>
      </c>
    </row>
    <row r="69" spans="1:9" x14ac:dyDescent="0.25">
      <c r="A69">
        <v>1254</v>
      </c>
      <c r="B69" s="10" t="s">
        <v>2298</v>
      </c>
      <c r="C69" s="10" t="s">
        <v>2404</v>
      </c>
      <c r="D69" s="10">
        <v>1429</v>
      </c>
      <c r="E69" s="10" t="s">
        <v>2426</v>
      </c>
      <c r="F69" s="10" t="s">
        <v>2365</v>
      </c>
      <c r="G69" s="10" t="s">
        <v>2366</v>
      </c>
      <c r="H69" s="10" t="s">
        <v>2427</v>
      </c>
      <c r="I69" s="10" t="s">
        <v>2368</v>
      </c>
    </row>
    <row r="70" spans="1:9" x14ac:dyDescent="0.25">
      <c r="A70">
        <v>1255</v>
      </c>
      <c r="B70" s="10" t="s">
        <v>2298</v>
      </c>
      <c r="C70" s="10" t="s">
        <v>2404</v>
      </c>
      <c r="D70" s="10">
        <v>1431</v>
      </c>
      <c r="E70" s="10" t="s">
        <v>2428</v>
      </c>
      <c r="F70" s="10" t="s">
        <v>2239</v>
      </c>
      <c r="G70" s="10" t="s">
        <v>2429</v>
      </c>
      <c r="H70" s="10" t="s">
        <v>2430</v>
      </c>
      <c r="I70" s="10" t="s">
        <v>2431</v>
      </c>
    </row>
    <row r="71" spans="1:9" x14ac:dyDescent="0.25">
      <c r="A71">
        <v>1236</v>
      </c>
      <c r="B71" s="10" t="s">
        <v>2298</v>
      </c>
      <c r="C71" s="10" t="s">
        <v>2305</v>
      </c>
      <c r="D71" s="10">
        <v>1460</v>
      </c>
      <c r="E71" s="10" t="s">
        <v>2432</v>
      </c>
      <c r="F71" s="10" t="s">
        <v>2433</v>
      </c>
      <c r="G71" s="10" t="s">
        <v>2434</v>
      </c>
      <c r="H71" s="10" t="s">
        <v>2435</v>
      </c>
      <c r="I71" s="10" t="s">
        <v>2329</v>
      </c>
    </row>
    <row r="72" spans="1:9" x14ac:dyDescent="0.25">
      <c r="A72">
        <v>1281</v>
      </c>
      <c r="B72" s="10" t="s">
        <v>2298</v>
      </c>
      <c r="C72" s="10" t="s">
        <v>2436</v>
      </c>
      <c r="D72" s="10">
        <v>1461</v>
      </c>
      <c r="E72" s="10" t="s">
        <v>2437</v>
      </c>
      <c r="F72" s="10" t="s">
        <v>2438</v>
      </c>
      <c r="G72" s="10" t="s">
        <v>2439</v>
      </c>
      <c r="H72" s="10" t="s">
        <v>2440</v>
      </c>
      <c r="I72" s="10" t="s">
        <v>2336</v>
      </c>
    </row>
    <row r="73" spans="1:9" x14ac:dyDescent="0.25">
      <c r="A73">
        <v>1256</v>
      </c>
      <c r="B73" s="10" t="s">
        <v>2298</v>
      </c>
      <c r="C73" s="10" t="s">
        <v>2404</v>
      </c>
      <c r="D73" s="10">
        <v>1465</v>
      </c>
      <c r="E73" s="10" t="s">
        <v>2441</v>
      </c>
      <c r="F73" s="10" t="s">
        <v>2442</v>
      </c>
      <c r="G73" s="10" t="s">
        <v>2443</v>
      </c>
      <c r="H73" s="10" t="s">
        <v>2444</v>
      </c>
      <c r="I73" s="10" t="s">
        <v>2264</v>
      </c>
    </row>
    <row r="74" spans="1:9" x14ac:dyDescent="0.25">
      <c r="A74">
        <v>1237</v>
      </c>
      <c r="B74" s="10" t="s">
        <v>2298</v>
      </c>
      <c r="C74" s="10" t="s">
        <v>2305</v>
      </c>
      <c r="D74" s="10">
        <v>1467</v>
      </c>
      <c r="E74" s="10" t="s">
        <v>2445</v>
      </c>
      <c r="F74" s="10" t="s">
        <v>2446</v>
      </c>
      <c r="G74" s="10" t="s">
        <v>2447</v>
      </c>
      <c r="H74" s="10" t="s">
        <v>2448</v>
      </c>
      <c r="I74" s="10" t="s">
        <v>2449</v>
      </c>
    </row>
    <row r="75" spans="1:9" x14ac:dyDescent="0.25">
      <c r="A75">
        <v>1266</v>
      </c>
      <c r="B75" s="10" t="s">
        <v>2298</v>
      </c>
      <c r="C75" s="10" t="s">
        <v>2330</v>
      </c>
      <c r="D75" s="10">
        <v>1469</v>
      </c>
      <c r="E75" s="10" t="s">
        <v>2450</v>
      </c>
      <c r="F75" s="10" t="s">
        <v>2451</v>
      </c>
      <c r="G75" s="10" t="s">
        <v>2452</v>
      </c>
      <c r="H75" s="10" t="s">
        <v>2367</v>
      </c>
      <c r="I75" s="10" t="s">
        <v>2368</v>
      </c>
    </row>
    <row r="76" spans="1:9" x14ac:dyDescent="0.25">
      <c r="A76">
        <v>1269</v>
      </c>
      <c r="B76" s="10" t="s">
        <v>2298</v>
      </c>
      <c r="C76" s="10" t="s">
        <v>2369</v>
      </c>
      <c r="D76" s="10">
        <v>1473</v>
      </c>
      <c r="E76" s="10" t="s">
        <v>2453</v>
      </c>
      <c r="F76" s="10" t="s">
        <v>2451</v>
      </c>
      <c r="G76" s="10" t="s">
        <v>2452</v>
      </c>
      <c r="H76" s="10" t="s">
        <v>2454</v>
      </c>
      <c r="I76" s="10" t="s">
        <v>2368</v>
      </c>
    </row>
    <row r="77" spans="1:9" x14ac:dyDescent="0.25">
      <c r="A77">
        <v>1248</v>
      </c>
      <c r="B77" s="10" t="s">
        <v>2298</v>
      </c>
      <c r="C77" s="10" t="s">
        <v>2342</v>
      </c>
      <c r="D77" s="10">
        <v>1475</v>
      </c>
      <c r="E77" s="10" t="s">
        <v>2455</v>
      </c>
      <c r="F77" s="10" t="s">
        <v>2456</v>
      </c>
      <c r="G77" s="10" t="s">
        <v>2457</v>
      </c>
      <c r="H77" s="10" t="s">
        <v>2458</v>
      </c>
      <c r="I77" s="10" t="s">
        <v>2218</v>
      </c>
    </row>
    <row r="78" spans="1:9" x14ac:dyDescent="0.25">
      <c r="A78">
        <v>1242</v>
      </c>
      <c r="B78" s="10" t="s">
        <v>2298</v>
      </c>
      <c r="C78" s="10" t="s">
        <v>2459</v>
      </c>
      <c r="D78" s="10">
        <v>1477</v>
      </c>
      <c r="E78" s="10" t="s">
        <v>2460</v>
      </c>
      <c r="F78" s="10" t="s">
        <v>2461</v>
      </c>
      <c r="G78" s="10" t="s">
        <v>2281</v>
      </c>
      <c r="H78" s="10" t="s">
        <v>2462</v>
      </c>
      <c r="I78" s="10" t="s">
        <v>2449</v>
      </c>
    </row>
    <row r="79" spans="1:9" x14ac:dyDescent="0.25">
      <c r="A79">
        <v>1243</v>
      </c>
      <c r="B79" s="10" t="s">
        <v>2298</v>
      </c>
      <c r="C79" s="10" t="s">
        <v>2459</v>
      </c>
      <c r="D79" s="10">
        <v>1478</v>
      </c>
      <c r="E79" s="10" t="s">
        <v>2463</v>
      </c>
      <c r="F79" s="10" t="s">
        <v>2275</v>
      </c>
      <c r="G79" s="10" t="s">
        <v>2272</v>
      </c>
      <c r="H79" s="10" t="s">
        <v>2464</v>
      </c>
      <c r="I79" s="10" t="s">
        <v>2167</v>
      </c>
    </row>
    <row r="80" spans="1:9" x14ac:dyDescent="0.25">
      <c r="A80">
        <v>1244</v>
      </c>
      <c r="B80" s="10" t="s">
        <v>2298</v>
      </c>
      <c r="C80" s="10" t="s">
        <v>2459</v>
      </c>
      <c r="D80" s="10">
        <v>1479</v>
      </c>
      <c r="E80" s="10" t="s">
        <v>2465</v>
      </c>
      <c r="F80" s="10" t="s">
        <v>2466</v>
      </c>
      <c r="G80" s="10" t="s">
        <v>2467</v>
      </c>
      <c r="H80" s="10" t="s">
        <v>2468</v>
      </c>
      <c r="I80" s="10" t="s">
        <v>2319</v>
      </c>
    </row>
    <row r="81" spans="1:9" x14ac:dyDescent="0.25">
      <c r="A81">
        <v>1270</v>
      </c>
      <c r="B81" s="10" t="s">
        <v>2298</v>
      </c>
      <c r="C81" s="10" t="s">
        <v>2369</v>
      </c>
      <c r="D81" s="10">
        <v>1480</v>
      </c>
      <c r="E81" s="10" t="s">
        <v>2469</v>
      </c>
      <c r="F81" s="10" t="s">
        <v>2470</v>
      </c>
      <c r="G81" s="10" t="s">
        <v>2471</v>
      </c>
      <c r="H81" s="10" t="s">
        <v>2472</v>
      </c>
      <c r="I81" s="10" t="s">
        <v>2374</v>
      </c>
    </row>
    <row r="82" spans="1:9" x14ac:dyDescent="0.25">
      <c r="A82">
        <v>1280</v>
      </c>
      <c r="B82" s="10" t="s">
        <v>2298</v>
      </c>
      <c r="C82" s="10" t="s">
        <v>2473</v>
      </c>
      <c r="D82" s="10">
        <v>1485</v>
      </c>
      <c r="E82" s="10" t="s">
        <v>2474</v>
      </c>
      <c r="F82" s="10" t="s">
        <v>2220</v>
      </c>
      <c r="G82" s="10" t="s">
        <v>2475</v>
      </c>
      <c r="H82" s="10" t="s">
        <v>2476</v>
      </c>
      <c r="I82" s="10" t="s">
        <v>2477</v>
      </c>
    </row>
    <row r="83" spans="1:9" x14ac:dyDescent="0.25">
      <c r="A83">
        <v>1286</v>
      </c>
      <c r="B83" s="10" t="s">
        <v>2298</v>
      </c>
      <c r="C83" s="10" t="s">
        <v>2478</v>
      </c>
      <c r="D83" s="10">
        <v>1489</v>
      </c>
      <c r="E83" s="10" t="s">
        <v>2479</v>
      </c>
      <c r="F83" s="10" t="s">
        <v>2266</v>
      </c>
      <c r="G83" s="10" t="s">
        <v>2267</v>
      </c>
      <c r="H83" s="10" t="s">
        <v>2480</v>
      </c>
      <c r="I83" s="10" t="s">
        <v>2269</v>
      </c>
    </row>
    <row r="84" spans="1:9" x14ac:dyDescent="0.25">
      <c r="A84">
        <v>1287</v>
      </c>
      <c r="B84" s="10" t="s">
        <v>2298</v>
      </c>
      <c r="C84" s="10" t="s">
        <v>2478</v>
      </c>
      <c r="D84" s="10">
        <v>1490</v>
      </c>
      <c r="E84" s="10" t="s">
        <v>2481</v>
      </c>
      <c r="F84" s="10" t="s">
        <v>2266</v>
      </c>
      <c r="G84" s="10" t="s">
        <v>2267</v>
      </c>
      <c r="H84" s="10" t="s">
        <v>2480</v>
      </c>
      <c r="I84" s="10" t="s">
        <v>2269</v>
      </c>
    </row>
    <row r="85" spans="1:9" x14ac:dyDescent="0.25">
      <c r="A85">
        <v>1288</v>
      </c>
      <c r="B85" s="10" t="s">
        <v>2298</v>
      </c>
      <c r="C85" s="10" t="s">
        <v>2478</v>
      </c>
      <c r="D85" s="10">
        <v>1491</v>
      </c>
      <c r="E85" s="10" t="s">
        <v>2482</v>
      </c>
      <c r="F85" s="10" t="s">
        <v>2266</v>
      </c>
      <c r="G85" s="10" t="s">
        <v>2267</v>
      </c>
      <c r="H85" s="10" t="s">
        <v>2480</v>
      </c>
      <c r="I85" s="10" t="s">
        <v>2269</v>
      </c>
    </row>
    <row r="86" spans="1:9" x14ac:dyDescent="0.25">
      <c r="A86">
        <v>1289</v>
      </c>
      <c r="B86" s="10" t="s">
        <v>2298</v>
      </c>
      <c r="C86" s="10" t="s">
        <v>2478</v>
      </c>
      <c r="D86" s="10">
        <v>1492</v>
      </c>
      <c r="E86" s="10" t="s">
        <v>2483</v>
      </c>
      <c r="F86" s="10" t="s">
        <v>2266</v>
      </c>
      <c r="G86" s="10" t="s">
        <v>2267</v>
      </c>
      <c r="H86" s="10" t="s">
        <v>2480</v>
      </c>
      <c r="I86" s="10" t="s">
        <v>2269</v>
      </c>
    </row>
    <row r="87" spans="1:9" x14ac:dyDescent="0.25">
      <c r="A87">
        <v>1282</v>
      </c>
      <c r="B87" s="10" t="s">
        <v>2298</v>
      </c>
      <c r="C87" s="10" t="s">
        <v>2436</v>
      </c>
      <c r="D87" s="10">
        <v>1494</v>
      </c>
      <c r="E87" s="10" t="s">
        <v>2484</v>
      </c>
      <c r="F87" s="10" t="s">
        <v>2485</v>
      </c>
      <c r="G87" s="10" t="s">
        <v>2486</v>
      </c>
      <c r="H87" s="10" t="s">
        <v>2487</v>
      </c>
      <c r="I87" s="10" t="s">
        <v>2319</v>
      </c>
    </row>
    <row r="88" spans="1:9" x14ac:dyDescent="0.25">
      <c r="A88">
        <v>1283</v>
      </c>
      <c r="B88" s="10" t="s">
        <v>2298</v>
      </c>
      <c r="C88" s="10" t="s">
        <v>2436</v>
      </c>
      <c r="D88" s="10">
        <v>1495</v>
      </c>
      <c r="E88" s="10" t="s">
        <v>2488</v>
      </c>
      <c r="F88" s="10" t="s">
        <v>2485</v>
      </c>
      <c r="G88" s="10" t="s">
        <v>2486</v>
      </c>
      <c r="H88" s="10" t="s">
        <v>2487</v>
      </c>
      <c r="I88" s="10" t="s">
        <v>2319</v>
      </c>
    </row>
    <row r="89" spans="1:9" x14ac:dyDescent="0.25">
      <c r="A89">
        <v>1284</v>
      </c>
      <c r="B89" s="10" t="s">
        <v>2298</v>
      </c>
      <c r="C89" s="10" t="s">
        <v>2436</v>
      </c>
      <c r="D89" s="10">
        <v>1496</v>
      </c>
      <c r="E89" s="10" t="s">
        <v>2489</v>
      </c>
      <c r="F89" s="10" t="s">
        <v>2485</v>
      </c>
      <c r="G89" s="10" t="s">
        <v>2486</v>
      </c>
      <c r="H89" s="10" t="s">
        <v>2487</v>
      </c>
      <c r="I89" s="10" t="s">
        <v>2319</v>
      </c>
    </row>
    <row r="90" spans="1:9" x14ac:dyDescent="0.25">
      <c r="A90">
        <v>1285</v>
      </c>
      <c r="B90" s="10" t="s">
        <v>2298</v>
      </c>
      <c r="C90" s="10" t="s">
        <v>2436</v>
      </c>
      <c r="D90" s="10">
        <v>1501</v>
      </c>
      <c r="E90" s="10" t="s">
        <v>2490</v>
      </c>
      <c r="F90" s="10" t="s">
        <v>2485</v>
      </c>
      <c r="G90" s="10" t="s">
        <v>2486</v>
      </c>
      <c r="H90" s="10" t="s">
        <v>2491</v>
      </c>
      <c r="I90" s="10" t="s">
        <v>2319</v>
      </c>
    </row>
    <row r="91" spans="1:9" x14ac:dyDescent="0.25">
      <c r="A91">
        <v>1290</v>
      </c>
      <c r="B91" s="10" t="s">
        <v>2298</v>
      </c>
      <c r="C91" s="10" t="s">
        <v>2478</v>
      </c>
      <c r="D91" s="10">
        <v>1508</v>
      </c>
      <c r="E91" s="10" t="s">
        <v>2492</v>
      </c>
      <c r="F91" s="10" t="s">
        <v>2493</v>
      </c>
      <c r="G91" s="10" t="s">
        <v>2494</v>
      </c>
      <c r="H91" s="10" t="s">
        <v>2495</v>
      </c>
      <c r="I91" s="10" t="s">
        <v>2496</v>
      </c>
    </row>
    <row r="92" spans="1:9" x14ac:dyDescent="0.25">
      <c r="A92">
        <v>1271</v>
      </c>
      <c r="B92" s="10" t="s">
        <v>2298</v>
      </c>
      <c r="C92" s="10" t="s">
        <v>2497</v>
      </c>
      <c r="D92" s="10">
        <v>1510</v>
      </c>
      <c r="E92" s="10" t="s">
        <v>2498</v>
      </c>
      <c r="F92" s="10" t="s">
        <v>2262</v>
      </c>
      <c r="G92" s="10" t="s">
        <v>2263</v>
      </c>
      <c r="H92" s="10" t="s">
        <v>2499</v>
      </c>
      <c r="I92" s="10" t="s">
        <v>2264</v>
      </c>
    </row>
    <row r="93" spans="1:9" x14ac:dyDescent="0.25">
      <c r="A93">
        <v>1272</v>
      </c>
      <c r="B93" s="10" t="s">
        <v>2298</v>
      </c>
      <c r="C93" s="10" t="s">
        <v>2497</v>
      </c>
      <c r="D93" s="10">
        <v>1511</v>
      </c>
      <c r="E93" s="10" t="s">
        <v>2500</v>
      </c>
      <c r="F93" s="10" t="s">
        <v>2294</v>
      </c>
      <c r="G93" s="10" t="s">
        <v>2501</v>
      </c>
      <c r="H93" s="10" t="s">
        <v>2502</v>
      </c>
      <c r="I93" s="10" t="s">
        <v>2503</v>
      </c>
    </row>
    <row r="94" spans="1:9" x14ac:dyDescent="0.25">
      <c r="A94">
        <v>1273</v>
      </c>
      <c r="B94" s="10" t="s">
        <v>2298</v>
      </c>
      <c r="C94" s="10" t="s">
        <v>2497</v>
      </c>
      <c r="D94" s="10">
        <v>1512</v>
      </c>
      <c r="E94" s="10" t="s">
        <v>2504</v>
      </c>
      <c r="F94" s="10" t="s">
        <v>2406</v>
      </c>
      <c r="G94" s="10" t="s">
        <v>2273</v>
      </c>
      <c r="H94" s="10" t="s">
        <v>2407</v>
      </c>
      <c r="I94" s="10" t="s">
        <v>2241</v>
      </c>
    </row>
    <row r="95" spans="1:9" x14ac:dyDescent="0.25">
      <c r="A95">
        <v>1274</v>
      </c>
      <c r="B95" s="10" t="s">
        <v>2298</v>
      </c>
      <c r="C95" s="10" t="s">
        <v>2497</v>
      </c>
      <c r="D95" s="10">
        <v>1513</v>
      </c>
      <c r="E95" s="10" t="s">
        <v>2505</v>
      </c>
      <c r="F95" s="10" t="s">
        <v>2446</v>
      </c>
      <c r="G95" s="10" t="s">
        <v>2447</v>
      </c>
      <c r="H95" s="10" t="s">
        <v>2462</v>
      </c>
      <c r="I95" s="10" t="s">
        <v>2449</v>
      </c>
    </row>
    <row r="96" spans="1:9" x14ac:dyDescent="0.25">
      <c r="A96">
        <v>1275</v>
      </c>
      <c r="B96" s="10" t="s">
        <v>2298</v>
      </c>
      <c r="C96" s="10" t="s">
        <v>2497</v>
      </c>
      <c r="D96" s="10">
        <v>1518</v>
      </c>
      <c r="E96" s="10" t="s">
        <v>2506</v>
      </c>
      <c r="F96" s="10" t="s">
        <v>2507</v>
      </c>
      <c r="G96" s="10" t="s">
        <v>2329</v>
      </c>
      <c r="H96" s="10" t="s">
        <v>2508</v>
      </c>
      <c r="I96" s="10" t="s">
        <v>2315</v>
      </c>
    </row>
    <row r="97" spans="1:9" x14ac:dyDescent="0.25">
      <c r="A97">
        <v>1291</v>
      </c>
      <c r="B97" s="10" t="s">
        <v>2298</v>
      </c>
      <c r="C97" s="10" t="s">
        <v>2478</v>
      </c>
      <c r="D97" s="10">
        <v>1565</v>
      </c>
      <c r="E97" s="10" t="s">
        <v>2509</v>
      </c>
      <c r="F97" s="10" t="s">
        <v>2510</v>
      </c>
      <c r="G97" s="10" t="s">
        <v>2329</v>
      </c>
      <c r="H97" s="10" t="s">
        <v>2511</v>
      </c>
      <c r="I97" s="10" t="s">
        <v>2503</v>
      </c>
    </row>
    <row r="98" spans="1:9" x14ac:dyDescent="0.25">
      <c r="A98">
        <v>1292</v>
      </c>
      <c r="B98" s="10" t="s">
        <v>2298</v>
      </c>
      <c r="C98" s="10" t="s">
        <v>2478</v>
      </c>
      <c r="D98" s="10">
        <v>1566</v>
      </c>
      <c r="E98" s="10" t="s">
        <v>2512</v>
      </c>
      <c r="F98" s="10" t="s">
        <v>2510</v>
      </c>
      <c r="G98" s="10" t="s">
        <v>2329</v>
      </c>
      <c r="H98" s="10" t="s">
        <v>2511</v>
      </c>
      <c r="I98" s="10" t="s">
        <v>2503</v>
      </c>
    </row>
    <row r="99" spans="1:9" x14ac:dyDescent="0.25">
      <c r="A99">
        <v>1293</v>
      </c>
      <c r="B99" s="10" t="s">
        <v>2298</v>
      </c>
      <c r="C99" s="10" t="s">
        <v>2478</v>
      </c>
      <c r="D99" s="10">
        <v>1567</v>
      </c>
      <c r="E99" s="10" t="s">
        <v>2513</v>
      </c>
      <c r="F99" s="10" t="s">
        <v>2510</v>
      </c>
      <c r="G99" s="10" t="s">
        <v>2329</v>
      </c>
      <c r="H99" s="10" t="s">
        <v>2511</v>
      </c>
      <c r="I99" s="10" t="s">
        <v>2503</v>
      </c>
    </row>
    <row r="100" spans="1:9" x14ac:dyDescent="0.25">
      <c r="A100">
        <v>1354</v>
      </c>
      <c r="B100" s="10" t="s">
        <v>2514</v>
      </c>
      <c r="C100" s="10" t="s">
        <v>2515</v>
      </c>
      <c r="D100" s="10">
        <v>1685</v>
      </c>
      <c r="E100" s="10" t="s">
        <v>2516</v>
      </c>
      <c r="F100" s="10" t="s">
        <v>2344</v>
      </c>
      <c r="G100" s="10" t="s">
        <v>2263</v>
      </c>
      <c r="H100" s="10" t="s">
        <v>2319</v>
      </c>
      <c r="I100" s="10" t="s">
        <v>2264</v>
      </c>
    </row>
    <row r="101" spans="1:9" x14ac:dyDescent="0.25">
      <c r="A101">
        <v>1355</v>
      </c>
      <c r="B101" s="10" t="s">
        <v>2514</v>
      </c>
      <c r="C101" s="10" t="s">
        <v>2515</v>
      </c>
      <c r="D101" s="10">
        <v>1686</v>
      </c>
      <c r="E101" s="10" t="s">
        <v>2517</v>
      </c>
      <c r="F101" s="10" t="s">
        <v>2344</v>
      </c>
      <c r="G101" s="10" t="s">
        <v>2263</v>
      </c>
      <c r="H101" s="10" t="s">
        <v>2319</v>
      </c>
      <c r="I101" s="10" t="s">
        <v>2264</v>
      </c>
    </row>
    <row r="102" spans="1:9" x14ac:dyDescent="0.25">
      <c r="A102">
        <v>102</v>
      </c>
      <c r="B102" s="10" t="s">
        <v>2518</v>
      </c>
      <c r="C102" s="10" t="s">
        <v>2519</v>
      </c>
      <c r="D102" s="10">
        <v>1980</v>
      </c>
      <c r="E102" s="10" t="s">
        <v>2520</v>
      </c>
      <c r="F102" s="10">
        <v>22.95</v>
      </c>
      <c r="G102" s="10">
        <v>0.96</v>
      </c>
      <c r="H102" s="10">
        <v>1.97</v>
      </c>
      <c r="I102" s="10">
        <v>1.29</v>
      </c>
    </row>
    <row r="103" spans="1:9" x14ac:dyDescent="0.25">
      <c r="A103">
        <v>103</v>
      </c>
      <c r="B103" s="10" t="s">
        <v>2518</v>
      </c>
      <c r="C103" s="10" t="s">
        <v>2519</v>
      </c>
      <c r="D103" s="10">
        <v>1981</v>
      </c>
      <c r="E103" s="10" t="s">
        <v>2521</v>
      </c>
      <c r="F103" s="10">
        <v>22.95</v>
      </c>
      <c r="G103" s="10">
        <v>0.96</v>
      </c>
      <c r="H103" s="10">
        <v>1.97</v>
      </c>
      <c r="I103" s="10">
        <v>1.29</v>
      </c>
    </row>
    <row r="104" spans="1:9" x14ac:dyDescent="0.25">
      <c r="A104">
        <v>104</v>
      </c>
      <c r="B104" s="10" t="s">
        <v>2518</v>
      </c>
      <c r="C104" s="10" t="s">
        <v>2519</v>
      </c>
      <c r="D104" s="10">
        <v>1982</v>
      </c>
      <c r="E104" s="10" t="s">
        <v>2522</v>
      </c>
      <c r="F104" s="10">
        <v>22.95</v>
      </c>
      <c r="G104" s="10">
        <v>0.96</v>
      </c>
      <c r="H104" s="10">
        <v>1.97</v>
      </c>
      <c r="I104" s="10">
        <v>1.29</v>
      </c>
    </row>
    <row r="105" spans="1:9" x14ac:dyDescent="0.25">
      <c r="A105">
        <v>105</v>
      </c>
      <c r="B105" s="10" t="s">
        <v>2518</v>
      </c>
      <c r="C105" s="10" t="s">
        <v>2519</v>
      </c>
      <c r="D105" s="10">
        <v>1983</v>
      </c>
      <c r="E105" s="10" t="s">
        <v>2523</v>
      </c>
      <c r="F105" s="10">
        <v>22.95</v>
      </c>
      <c r="G105" s="10">
        <v>0.96</v>
      </c>
      <c r="H105" s="10">
        <v>1.97</v>
      </c>
      <c r="I105" s="10">
        <v>1.29</v>
      </c>
    </row>
    <row r="106" spans="1:9" x14ac:dyDescent="0.25">
      <c r="A106">
        <v>106</v>
      </c>
      <c r="B106" s="10" t="s">
        <v>2518</v>
      </c>
      <c r="C106" s="10" t="s">
        <v>2519</v>
      </c>
      <c r="D106" s="10">
        <v>1984</v>
      </c>
      <c r="E106" s="10" t="s">
        <v>2524</v>
      </c>
      <c r="F106" s="10">
        <v>22.95</v>
      </c>
      <c r="G106" s="10">
        <v>0.96</v>
      </c>
      <c r="H106" s="10">
        <v>1.97</v>
      </c>
      <c r="I106" s="10">
        <v>1.29</v>
      </c>
    </row>
    <row r="107" spans="1:9" x14ac:dyDescent="0.25">
      <c r="A107">
        <v>107</v>
      </c>
      <c r="B107" s="10" t="s">
        <v>2518</v>
      </c>
      <c r="C107" s="10" t="s">
        <v>2519</v>
      </c>
      <c r="D107" s="10">
        <v>1986</v>
      </c>
      <c r="E107" s="10" t="s">
        <v>2525</v>
      </c>
      <c r="F107" s="10">
        <v>22.95</v>
      </c>
      <c r="G107" s="10">
        <v>0.96</v>
      </c>
      <c r="H107" s="10">
        <v>1.97</v>
      </c>
      <c r="I107" s="10">
        <v>1.29</v>
      </c>
    </row>
    <row r="108" spans="1:9" x14ac:dyDescent="0.25">
      <c r="A108">
        <v>9</v>
      </c>
      <c r="B108" s="10" t="s">
        <v>2518</v>
      </c>
      <c r="C108" s="10" t="s">
        <v>2526</v>
      </c>
      <c r="D108" s="10">
        <v>2001</v>
      </c>
      <c r="E108" s="10" t="s">
        <v>2527</v>
      </c>
      <c r="F108" s="10" t="s">
        <v>2528</v>
      </c>
      <c r="G108" s="10" t="s">
        <v>2529</v>
      </c>
      <c r="H108" s="10" t="s">
        <v>2530</v>
      </c>
      <c r="I108" s="10" t="s">
        <v>2310</v>
      </c>
    </row>
    <row r="109" spans="1:9" x14ac:dyDescent="0.25">
      <c r="A109">
        <v>77</v>
      </c>
      <c r="B109" s="10" t="s">
        <v>2518</v>
      </c>
      <c r="C109" s="10" t="s">
        <v>2531</v>
      </c>
      <c r="D109" s="10">
        <v>2002</v>
      </c>
      <c r="E109" s="10" t="s">
        <v>2532</v>
      </c>
      <c r="F109" s="10" t="s">
        <v>2528</v>
      </c>
      <c r="G109" s="10" t="s">
        <v>2529</v>
      </c>
      <c r="H109" s="10" t="s">
        <v>2530</v>
      </c>
      <c r="I109" s="10" t="s">
        <v>2310</v>
      </c>
    </row>
    <row r="110" spans="1:9" x14ac:dyDescent="0.25">
      <c r="A110">
        <v>45</v>
      </c>
      <c r="B110" s="10" t="s">
        <v>2518</v>
      </c>
      <c r="C110" s="10" t="s">
        <v>2533</v>
      </c>
      <c r="D110" s="10">
        <v>2003</v>
      </c>
      <c r="E110" s="10" t="s">
        <v>2534</v>
      </c>
      <c r="F110" s="10" t="s">
        <v>2535</v>
      </c>
      <c r="G110" s="10" t="s">
        <v>2536</v>
      </c>
      <c r="H110" s="10" t="s">
        <v>2537</v>
      </c>
      <c r="I110" s="10" t="s">
        <v>2218</v>
      </c>
    </row>
    <row r="111" spans="1:9" x14ac:dyDescent="0.25">
      <c r="A111">
        <v>70</v>
      </c>
      <c r="B111" s="10" t="s">
        <v>2518</v>
      </c>
      <c r="C111" s="10" t="s">
        <v>2538</v>
      </c>
      <c r="D111" s="10">
        <v>2004</v>
      </c>
      <c r="E111" s="10" t="s">
        <v>2539</v>
      </c>
      <c r="F111" s="10" t="s">
        <v>2289</v>
      </c>
      <c r="G111" s="10" t="s">
        <v>2290</v>
      </c>
      <c r="H111" s="10" t="s">
        <v>2310</v>
      </c>
      <c r="I111" s="10" t="s">
        <v>2152</v>
      </c>
    </row>
    <row r="112" spans="1:9" x14ac:dyDescent="0.25">
      <c r="A112">
        <v>10</v>
      </c>
      <c r="B112" s="10" t="s">
        <v>2518</v>
      </c>
      <c r="C112" s="10" t="s">
        <v>2526</v>
      </c>
      <c r="D112" s="10">
        <v>2005</v>
      </c>
      <c r="E112" s="10" t="s">
        <v>2540</v>
      </c>
      <c r="F112" s="10" t="s">
        <v>2541</v>
      </c>
      <c r="G112" s="10" t="s">
        <v>2542</v>
      </c>
      <c r="H112" s="10" t="s">
        <v>2543</v>
      </c>
      <c r="I112" s="10" t="s">
        <v>2241</v>
      </c>
    </row>
    <row r="113" spans="1:9" x14ac:dyDescent="0.25">
      <c r="A113">
        <v>46</v>
      </c>
      <c r="B113" s="10" t="s">
        <v>2518</v>
      </c>
      <c r="C113" s="10" t="s">
        <v>2533</v>
      </c>
      <c r="D113" s="10">
        <v>2006</v>
      </c>
      <c r="E113" s="10" t="s">
        <v>2544</v>
      </c>
      <c r="F113" s="10" t="s">
        <v>2541</v>
      </c>
      <c r="G113" s="10" t="s">
        <v>2545</v>
      </c>
      <c r="H113" s="10" t="s">
        <v>2546</v>
      </c>
      <c r="I113" s="10" t="s">
        <v>2547</v>
      </c>
    </row>
    <row r="114" spans="1:9" x14ac:dyDescent="0.25">
      <c r="A114">
        <v>39</v>
      </c>
      <c r="B114" s="10" t="s">
        <v>2518</v>
      </c>
      <c r="C114" s="10" t="s">
        <v>2548</v>
      </c>
      <c r="D114" s="10">
        <v>2007</v>
      </c>
      <c r="E114" s="10" t="s">
        <v>2549</v>
      </c>
      <c r="F114" s="10" t="s">
        <v>2550</v>
      </c>
      <c r="G114" s="10" t="s">
        <v>2529</v>
      </c>
      <c r="H114" s="10" t="s">
        <v>2530</v>
      </c>
      <c r="I114" s="10" t="s">
        <v>2310</v>
      </c>
    </row>
    <row r="115" spans="1:9" x14ac:dyDescent="0.25">
      <c r="A115">
        <v>94</v>
      </c>
      <c r="B115" s="10" t="s">
        <v>2518</v>
      </c>
      <c r="C115" s="10" t="s">
        <v>2551</v>
      </c>
      <c r="D115" s="10">
        <v>2009</v>
      </c>
      <c r="E115" s="10" t="s">
        <v>2552</v>
      </c>
      <c r="F115" s="10" t="s">
        <v>2553</v>
      </c>
      <c r="G115" s="10" t="s">
        <v>2554</v>
      </c>
      <c r="H115" s="10" t="s">
        <v>2555</v>
      </c>
      <c r="I115" s="10" t="s">
        <v>2329</v>
      </c>
    </row>
    <row r="116" spans="1:9" x14ac:dyDescent="0.25">
      <c r="A116">
        <v>11</v>
      </c>
      <c r="B116" s="10" t="s">
        <v>2518</v>
      </c>
      <c r="C116" s="10" t="s">
        <v>2526</v>
      </c>
      <c r="D116" s="10">
        <v>2010</v>
      </c>
      <c r="E116" s="10" t="s">
        <v>2556</v>
      </c>
      <c r="F116" s="10" t="s">
        <v>2557</v>
      </c>
      <c r="G116" s="10" t="s">
        <v>2558</v>
      </c>
      <c r="H116" s="10" t="s">
        <v>2236</v>
      </c>
      <c r="I116" s="10" t="s">
        <v>2374</v>
      </c>
    </row>
    <row r="117" spans="1:9" x14ac:dyDescent="0.25">
      <c r="A117">
        <v>37</v>
      </c>
      <c r="B117" s="10" t="s">
        <v>2518</v>
      </c>
      <c r="C117" s="10" t="s">
        <v>2526</v>
      </c>
      <c r="D117" s="10">
        <v>2021</v>
      </c>
      <c r="E117" s="10" t="s">
        <v>2559</v>
      </c>
      <c r="F117" s="10" t="s">
        <v>2466</v>
      </c>
      <c r="G117" s="10" t="s">
        <v>2560</v>
      </c>
      <c r="H117" s="10" t="s">
        <v>2561</v>
      </c>
      <c r="I117" s="10" t="s">
        <v>2324</v>
      </c>
    </row>
    <row r="118" spans="1:9" x14ac:dyDescent="0.25">
      <c r="A118">
        <v>61</v>
      </c>
      <c r="B118" s="10" t="s">
        <v>2518</v>
      </c>
      <c r="C118" s="10" t="s">
        <v>2533</v>
      </c>
      <c r="D118" s="10">
        <v>2022</v>
      </c>
      <c r="E118" s="10" t="s">
        <v>2562</v>
      </c>
      <c r="F118" s="10" t="s">
        <v>2312</v>
      </c>
      <c r="G118" s="10" t="s">
        <v>2313</v>
      </c>
      <c r="H118" s="10" t="s">
        <v>2558</v>
      </c>
      <c r="I118" s="10" t="s">
        <v>2315</v>
      </c>
    </row>
    <row r="119" spans="1:9" x14ac:dyDescent="0.25">
      <c r="A119">
        <v>38</v>
      </c>
      <c r="B119" s="10" t="s">
        <v>2518</v>
      </c>
      <c r="C119" s="10" t="s">
        <v>2526</v>
      </c>
      <c r="D119" s="10">
        <v>2023</v>
      </c>
      <c r="E119" s="10" t="s">
        <v>2563</v>
      </c>
      <c r="F119" s="10" t="s">
        <v>2557</v>
      </c>
      <c r="G119" s="10" t="s">
        <v>2558</v>
      </c>
      <c r="H119" s="10" t="s">
        <v>2236</v>
      </c>
      <c r="I119" s="10" t="s">
        <v>2374</v>
      </c>
    </row>
    <row r="120" spans="1:9" x14ac:dyDescent="0.25">
      <c r="A120">
        <v>12</v>
      </c>
      <c r="B120" s="10" t="s">
        <v>2518</v>
      </c>
      <c r="C120" s="10" t="s">
        <v>2526</v>
      </c>
      <c r="D120" s="10">
        <v>2025</v>
      </c>
      <c r="E120" s="10" t="s">
        <v>2564</v>
      </c>
      <c r="F120" s="10" t="s">
        <v>2466</v>
      </c>
      <c r="G120" s="10" t="s">
        <v>2560</v>
      </c>
      <c r="H120" s="10" t="s">
        <v>2561</v>
      </c>
      <c r="I120" s="10" t="s">
        <v>2324</v>
      </c>
    </row>
    <row r="121" spans="1:9" x14ac:dyDescent="0.25">
      <c r="A121">
        <v>47</v>
      </c>
      <c r="B121" s="10" t="s">
        <v>2518</v>
      </c>
      <c r="C121" s="10" t="s">
        <v>2533</v>
      </c>
      <c r="D121" s="10">
        <v>2026</v>
      </c>
      <c r="E121" s="10" t="s">
        <v>2565</v>
      </c>
      <c r="F121" s="10" t="s">
        <v>2312</v>
      </c>
      <c r="G121" s="10" t="s">
        <v>2313</v>
      </c>
      <c r="H121" s="10" t="s">
        <v>2558</v>
      </c>
      <c r="I121" s="10" t="s">
        <v>2315</v>
      </c>
    </row>
    <row r="122" spans="1:9" x14ac:dyDescent="0.25">
      <c r="A122">
        <v>108</v>
      </c>
      <c r="B122" s="10" t="s">
        <v>2518</v>
      </c>
      <c r="C122" s="10" t="s">
        <v>2566</v>
      </c>
      <c r="D122" s="10">
        <v>2043</v>
      </c>
      <c r="E122" s="10" t="s">
        <v>2567</v>
      </c>
      <c r="F122" s="10" t="s">
        <v>2568</v>
      </c>
      <c r="G122" s="10" t="s">
        <v>2569</v>
      </c>
      <c r="H122" s="10" t="s">
        <v>2530</v>
      </c>
      <c r="I122" s="10" t="s">
        <v>2310</v>
      </c>
    </row>
    <row r="123" spans="1:9" x14ac:dyDescent="0.25">
      <c r="A123">
        <v>109</v>
      </c>
      <c r="B123" s="10" t="s">
        <v>2518</v>
      </c>
      <c r="C123" s="10" t="s">
        <v>2566</v>
      </c>
      <c r="D123" s="10">
        <v>2051</v>
      </c>
      <c r="E123" s="10" t="s">
        <v>2570</v>
      </c>
      <c r="F123" s="10" t="s">
        <v>2568</v>
      </c>
      <c r="G123" s="10" t="s">
        <v>2569</v>
      </c>
      <c r="H123" s="10" t="s">
        <v>2530</v>
      </c>
      <c r="I123" s="10" t="s">
        <v>2310</v>
      </c>
    </row>
    <row r="124" spans="1:9" x14ac:dyDescent="0.25">
      <c r="A124">
        <v>110</v>
      </c>
      <c r="B124" s="10" t="s">
        <v>2518</v>
      </c>
      <c r="C124" s="10" t="s">
        <v>2566</v>
      </c>
      <c r="D124" s="10">
        <v>2052</v>
      </c>
      <c r="E124" s="10" t="s">
        <v>2571</v>
      </c>
      <c r="F124" s="10" t="s">
        <v>2568</v>
      </c>
      <c r="G124" s="10" t="s">
        <v>2569</v>
      </c>
      <c r="H124" s="10" t="s">
        <v>2530</v>
      </c>
      <c r="I124" s="10" t="s">
        <v>2310</v>
      </c>
    </row>
    <row r="125" spans="1:9" x14ac:dyDescent="0.25">
      <c r="A125">
        <v>111</v>
      </c>
      <c r="B125" s="10" t="s">
        <v>2518</v>
      </c>
      <c r="C125" s="10" t="s">
        <v>2566</v>
      </c>
      <c r="D125" s="10">
        <v>2054</v>
      </c>
      <c r="E125" s="10" t="s">
        <v>2572</v>
      </c>
      <c r="F125" s="10" t="s">
        <v>2573</v>
      </c>
      <c r="G125" s="10" t="s">
        <v>2291</v>
      </c>
      <c r="H125" s="10" t="s">
        <v>2574</v>
      </c>
      <c r="I125" s="10" t="s">
        <v>2449</v>
      </c>
    </row>
    <row r="126" spans="1:9" x14ac:dyDescent="0.25">
      <c r="A126">
        <v>112</v>
      </c>
      <c r="B126" s="10" t="s">
        <v>2518</v>
      </c>
      <c r="C126" s="10" t="s">
        <v>2566</v>
      </c>
      <c r="D126" s="10">
        <v>2055</v>
      </c>
      <c r="E126" s="10" t="s">
        <v>2575</v>
      </c>
      <c r="F126" s="10" t="s">
        <v>2568</v>
      </c>
      <c r="G126" s="10" t="s">
        <v>2569</v>
      </c>
      <c r="H126" s="10" t="s">
        <v>2530</v>
      </c>
      <c r="I126" s="10" t="s">
        <v>2310</v>
      </c>
    </row>
    <row r="127" spans="1:9" x14ac:dyDescent="0.25">
      <c r="A127">
        <v>113</v>
      </c>
      <c r="B127" s="10" t="s">
        <v>2518</v>
      </c>
      <c r="C127" s="10" t="s">
        <v>2566</v>
      </c>
      <c r="D127" s="10">
        <v>2059</v>
      </c>
      <c r="E127" s="10" t="s">
        <v>2576</v>
      </c>
      <c r="F127" s="10" t="s">
        <v>2568</v>
      </c>
      <c r="G127" s="10" t="s">
        <v>2569</v>
      </c>
      <c r="H127" s="10" t="s">
        <v>2530</v>
      </c>
      <c r="I127" s="10" t="s">
        <v>2310</v>
      </c>
    </row>
    <row r="128" spans="1:9" x14ac:dyDescent="0.25">
      <c r="A128">
        <v>114</v>
      </c>
      <c r="B128" s="10" t="s">
        <v>2518</v>
      </c>
      <c r="C128" s="10" t="s">
        <v>2566</v>
      </c>
      <c r="D128" s="10">
        <v>2062</v>
      </c>
      <c r="E128" s="10" t="s">
        <v>2577</v>
      </c>
      <c r="F128" s="10" t="s">
        <v>2568</v>
      </c>
      <c r="G128" s="10" t="s">
        <v>2569</v>
      </c>
      <c r="H128" s="10" t="s">
        <v>2530</v>
      </c>
      <c r="I128" s="10" t="s">
        <v>2310</v>
      </c>
    </row>
    <row r="129" spans="1:9" x14ac:dyDescent="0.25">
      <c r="A129">
        <v>115</v>
      </c>
      <c r="B129" s="10" t="s">
        <v>2518</v>
      </c>
      <c r="C129" s="10" t="s">
        <v>2566</v>
      </c>
      <c r="D129" s="10">
        <v>2063</v>
      </c>
      <c r="E129" s="10" t="s">
        <v>2578</v>
      </c>
      <c r="F129" s="10" t="s">
        <v>2568</v>
      </c>
      <c r="G129" s="10" t="s">
        <v>2569</v>
      </c>
      <c r="H129" s="10" t="s">
        <v>2530</v>
      </c>
      <c r="I129" s="10" t="s">
        <v>2310</v>
      </c>
    </row>
    <row r="130" spans="1:9" x14ac:dyDescent="0.25">
      <c r="A130">
        <v>116</v>
      </c>
      <c r="B130" s="10" t="s">
        <v>2518</v>
      </c>
      <c r="C130" s="10" t="s">
        <v>2566</v>
      </c>
      <c r="D130" s="10">
        <v>2067</v>
      </c>
      <c r="E130" s="10" t="s">
        <v>2522</v>
      </c>
      <c r="F130" s="10" t="s">
        <v>2568</v>
      </c>
      <c r="G130" s="10" t="s">
        <v>2569</v>
      </c>
      <c r="H130" s="10" t="s">
        <v>2530</v>
      </c>
      <c r="I130" s="10" t="s">
        <v>2310</v>
      </c>
    </row>
    <row r="131" spans="1:9" x14ac:dyDescent="0.25">
      <c r="A131">
        <v>117</v>
      </c>
      <c r="B131" s="10" t="s">
        <v>2518</v>
      </c>
      <c r="C131" s="10" t="s">
        <v>2566</v>
      </c>
      <c r="D131" s="10">
        <v>2071</v>
      </c>
      <c r="E131" s="10" t="s">
        <v>2579</v>
      </c>
      <c r="F131" s="10" t="s">
        <v>2580</v>
      </c>
      <c r="G131" s="10" t="s">
        <v>2308</v>
      </c>
      <c r="H131" s="10" t="s">
        <v>2530</v>
      </c>
      <c r="I131" s="10" t="s">
        <v>2310</v>
      </c>
    </row>
    <row r="132" spans="1:9" x14ac:dyDescent="0.25">
      <c r="A132">
        <v>118</v>
      </c>
      <c r="B132" s="10" t="s">
        <v>2518</v>
      </c>
      <c r="C132" s="10" t="s">
        <v>2566</v>
      </c>
      <c r="D132" s="10">
        <v>2072</v>
      </c>
      <c r="E132" s="10" t="s">
        <v>2581</v>
      </c>
      <c r="F132" s="10" t="s">
        <v>2385</v>
      </c>
      <c r="G132" s="10" t="s">
        <v>2582</v>
      </c>
      <c r="H132" s="10" t="s">
        <v>2583</v>
      </c>
      <c r="I132" s="10" t="s">
        <v>2420</v>
      </c>
    </row>
    <row r="133" spans="1:9" x14ac:dyDescent="0.25">
      <c r="A133">
        <v>119</v>
      </c>
      <c r="B133" s="10" t="s">
        <v>2518</v>
      </c>
      <c r="C133" s="10" t="s">
        <v>2566</v>
      </c>
      <c r="D133" s="10">
        <v>2073</v>
      </c>
      <c r="E133" s="10" t="s">
        <v>2584</v>
      </c>
      <c r="F133" s="10" t="s">
        <v>2385</v>
      </c>
      <c r="G133" s="10" t="s">
        <v>2582</v>
      </c>
      <c r="H133" s="10" t="s">
        <v>2583</v>
      </c>
      <c r="I133" s="10" t="s">
        <v>2420</v>
      </c>
    </row>
    <row r="134" spans="1:9" x14ac:dyDescent="0.25">
      <c r="A134">
        <v>120</v>
      </c>
      <c r="B134" s="10" t="s">
        <v>2518</v>
      </c>
      <c r="C134" s="10" t="s">
        <v>2585</v>
      </c>
      <c r="D134" s="10">
        <v>2076</v>
      </c>
      <c r="E134" s="10" t="s">
        <v>2586</v>
      </c>
      <c r="F134" s="10" t="s">
        <v>2333</v>
      </c>
      <c r="G134" s="10" t="s">
        <v>2334</v>
      </c>
      <c r="H134" s="10" t="s">
        <v>2587</v>
      </c>
      <c r="I134" s="10" t="s">
        <v>2336</v>
      </c>
    </row>
    <row r="135" spans="1:9" x14ac:dyDescent="0.25">
      <c r="A135">
        <v>121</v>
      </c>
      <c r="B135" s="10" t="s">
        <v>2518</v>
      </c>
      <c r="C135" s="10" t="s">
        <v>2585</v>
      </c>
      <c r="D135" s="10">
        <v>2077</v>
      </c>
      <c r="E135" s="10" t="s">
        <v>2588</v>
      </c>
      <c r="F135" s="10" t="s">
        <v>2333</v>
      </c>
      <c r="G135" s="10" t="s">
        <v>2334</v>
      </c>
      <c r="H135" s="10" t="s">
        <v>2587</v>
      </c>
      <c r="I135" s="10" t="s">
        <v>2336</v>
      </c>
    </row>
    <row r="136" spans="1:9" x14ac:dyDescent="0.25">
      <c r="A136">
        <v>122</v>
      </c>
      <c r="B136" s="10" t="s">
        <v>2518</v>
      </c>
      <c r="C136" s="10" t="s">
        <v>2585</v>
      </c>
      <c r="D136" s="10">
        <v>2078</v>
      </c>
      <c r="E136" s="10" t="s">
        <v>2589</v>
      </c>
      <c r="F136" s="10" t="s">
        <v>2333</v>
      </c>
      <c r="G136" s="10" t="s">
        <v>2334</v>
      </c>
      <c r="H136" s="10" t="s">
        <v>2587</v>
      </c>
      <c r="I136" s="10" t="s">
        <v>2336</v>
      </c>
    </row>
    <row r="137" spans="1:9" x14ac:dyDescent="0.25">
      <c r="A137">
        <v>123</v>
      </c>
      <c r="B137" s="10" t="s">
        <v>2518</v>
      </c>
      <c r="C137" s="10" t="s">
        <v>2585</v>
      </c>
      <c r="D137" s="10">
        <v>2079</v>
      </c>
      <c r="E137" s="10" t="s">
        <v>2590</v>
      </c>
      <c r="F137" s="10" t="s">
        <v>2333</v>
      </c>
      <c r="G137" s="10" t="s">
        <v>2334</v>
      </c>
      <c r="H137" s="10" t="s">
        <v>2587</v>
      </c>
      <c r="I137" s="10" t="s">
        <v>2336</v>
      </c>
    </row>
    <row r="138" spans="1:9" x14ac:dyDescent="0.25">
      <c r="A138">
        <v>124</v>
      </c>
      <c r="B138" s="10" t="s">
        <v>2518</v>
      </c>
      <c r="C138" s="10" t="s">
        <v>2585</v>
      </c>
      <c r="D138" s="10">
        <v>2080</v>
      </c>
      <c r="E138" s="10" t="s">
        <v>2591</v>
      </c>
      <c r="F138" s="10" t="s">
        <v>2333</v>
      </c>
      <c r="G138" s="10" t="s">
        <v>2334</v>
      </c>
      <c r="H138" s="10" t="s">
        <v>2587</v>
      </c>
      <c r="I138" s="10" t="s">
        <v>2336</v>
      </c>
    </row>
    <row r="139" spans="1:9" x14ac:dyDescent="0.25">
      <c r="A139">
        <v>125</v>
      </c>
      <c r="B139" s="10" t="s">
        <v>2518</v>
      </c>
      <c r="C139" s="10" t="s">
        <v>2585</v>
      </c>
      <c r="D139" s="10">
        <v>2081</v>
      </c>
      <c r="E139" s="10" t="s">
        <v>2592</v>
      </c>
      <c r="F139" s="10" t="s">
        <v>2333</v>
      </c>
      <c r="G139" s="10" t="s">
        <v>2334</v>
      </c>
      <c r="H139" s="10" t="s">
        <v>2587</v>
      </c>
      <c r="I139" s="10" t="s">
        <v>2336</v>
      </c>
    </row>
    <row r="140" spans="1:9" x14ac:dyDescent="0.25">
      <c r="A140">
        <v>1702</v>
      </c>
      <c r="B140" s="10" t="s">
        <v>2593</v>
      </c>
      <c r="C140" s="10" t="s">
        <v>2594</v>
      </c>
      <c r="D140" s="10">
        <v>2089</v>
      </c>
      <c r="E140" s="10" t="s">
        <v>2595</v>
      </c>
      <c r="F140" s="10" t="s">
        <v>2243</v>
      </c>
      <c r="G140" s="10" t="s">
        <v>2244</v>
      </c>
      <c r="H140" s="10" t="s">
        <v>2596</v>
      </c>
      <c r="I140" s="10" t="s">
        <v>2246</v>
      </c>
    </row>
    <row r="141" spans="1:9" x14ac:dyDescent="0.25">
      <c r="A141">
        <v>1703</v>
      </c>
      <c r="B141" s="10" t="s">
        <v>2593</v>
      </c>
      <c r="C141" s="10" t="s">
        <v>2594</v>
      </c>
      <c r="D141" s="10">
        <v>2090</v>
      </c>
      <c r="E141" s="10" t="s">
        <v>2597</v>
      </c>
      <c r="F141" s="10" t="s">
        <v>2598</v>
      </c>
      <c r="G141" s="10" t="s">
        <v>2599</v>
      </c>
      <c r="H141" s="10" t="s">
        <v>2600</v>
      </c>
      <c r="I141" s="10" t="s">
        <v>2310</v>
      </c>
    </row>
    <row r="142" spans="1:9" x14ac:dyDescent="0.25">
      <c r="A142">
        <v>1704</v>
      </c>
      <c r="B142" s="10" t="s">
        <v>2593</v>
      </c>
      <c r="C142" s="10" t="s">
        <v>2594</v>
      </c>
      <c r="D142" s="10">
        <v>2091</v>
      </c>
      <c r="E142" s="10" t="s">
        <v>2601</v>
      </c>
      <c r="F142" s="10" t="s">
        <v>2602</v>
      </c>
      <c r="G142" s="10" t="s">
        <v>2603</v>
      </c>
      <c r="H142" s="10" t="s">
        <v>2475</v>
      </c>
      <c r="I142" s="10" t="s">
        <v>2374</v>
      </c>
    </row>
    <row r="143" spans="1:9" x14ac:dyDescent="0.25">
      <c r="A143">
        <v>1137</v>
      </c>
      <c r="B143" s="10" t="s">
        <v>2604</v>
      </c>
      <c r="C143" s="10" t="s">
        <v>2605</v>
      </c>
      <c r="D143" s="10">
        <v>2101</v>
      </c>
      <c r="E143" s="10" t="s">
        <v>2606</v>
      </c>
      <c r="F143" s="10" t="s">
        <v>2607</v>
      </c>
      <c r="G143" s="10" t="s">
        <v>2608</v>
      </c>
      <c r="H143" s="10" t="s">
        <v>2609</v>
      </c>
      <c r="I143" s="10" t="s">
        <v>2383</v>
      </c>
    </row>
    <row r="144" spans="1:9" x14ac:dyDescent="0.25">
      <c r="A144">
        <v>1138</v>
      </c>
      <c r="B144" s="10" t="s">
        <v>2604</v>
      </c>
      <c r="C144" s="10" t="s">
        <v>2605</v>
      </c>
      <c r="D144" s="10">
        <v>2103</v>
      </c>
      <c r="E144" s="10" t="s">
        <v>2610</v>
      </c>
      <c r="F144" s="10" t="s">
        <v>2611</v>
      </c>
      <c r="G144" s="10" t="s">
        <v>2574</v>
      </c>
      <c r="H144" s="10" t="s">
        <v>2612</v>
      </c>
      <c r="I144" s="10" t="s">
        <v>2496</v>
      </c>
    </row>
    <row r="145" spans="1:9" x14ac:dyDescent="0.25">
      <c r="A145">
        <v>1139</v>
      </c>
      <c r="B145" s="10" t="s">
        <v>2604</v>
      </c>
      <c r="C145" s="10" t="s">
        <v>2605</v>
      </c>
      <c r="D145" s="10">
        <v>2104</v>
      </c>
      <c r="E145" s="10" t="s">
        <v>2613</v>
      </c>
      <c r="F145" s="10" t="s">
        <v>2611</v>
      </c>
      <c r="G145" s="10" t="s">
        <v>2574</v>
      </c>
      <c r="H145" s="10" t="s">
        <v>2612</v>
      </c>
      <c r="I145" s="10" t="s">
        <v>2496</v>
      </c>
    </row>
    <row r="146" spans="1:9" x14ac:dyDescent="0.25">
      <c r="A146">
        <v>1140</v>
      </c>
      <c r="B146" s="10" t="s">
        <v>2604</v>
      </c>
      <c r="C146" s="10" t="s">
        <v>2605</v>
      </c>
      <c r="D146" s="10">
        <v>2105</v>
      </c>
      <c r="E146" s="10" t="s">
        <v>2614</v>
      </c>
      <c r="F146" s="10" t="s">
        <v>2607</v>
      </c>
      <c r="G146" s="10" t="s">
        <v>2608</v>
      </c>
      <c r="H146" s="10" t="s">
        <v>2609</v>
      </c>
      <c r="I146" s="10" t="s">
        <v>2383</v>
      </c>
    </row>
    <row r="147" spans="1:9" x14ac:dyDescent="0.25">
      <c r="A147">
        <v>1141</v>
      </c>
      <c r="B147" s="10" t="s">
        <v>2604</v>
      </c>
      <c r="C147" s="10" t="s">
        <v>2605</v>
      </c>
      <c r="D147" s="10">
        <v>2106</v>
      </c>
      <c r="E147" s="10" t="s">
        <v>2615</v>
      </c>
      <c r="F147" s="10" t="s">
        <v>2607</v>
      </c>
      <c r="G147" s="10" t="s">
        <v>2608</v>
      </c>
      <c r="H147" s="10" t="s">
        <v>2609</v>
      </c>
      <c r="I147" s="10" t="s">
        <v>2383</v>
      </c>
    </row>
    <row r="148" spans="1:9" x14ac:dyDescent="0.25">
      <c r="A148">
        <v>1142</v>
      </c>
      <c r="B148" s="10" t="s">
        <v>2604</v>
      </c>
      <c r="C148" s="10" t="s">
        <v>2605</v>
      </c>
      <c r="D148" s="10">
        <v>2107</v>
      </c>
      <c r="E148" s="10" t="s">
        <v>2616</v>
      </c>
      <c r="F148" s="10" t="s">
        <v>2611</v>
      </c>
      <c r="G148" s="10" t="s">
        <v>2574</v>
      </c>
      <c r="H148" s="10" t="s">
        <v>2612</v>
      </c>
      <c r="I148" s="10" t="s">
        <v>2496</v>
      </c>
    </row>
    <row r="149" spans="1:9" x14ac:dyDescent="0.25">
      <c r="A149">
        <v>1143</v>
      </c>
      <c r="B149" s="10" t="s">
        <v>2604</v>
      </c>
      <c r="C149" s="10" t="s">
        <v>2605</v>
      </c>
      <c r="D149" s="10">
        <v>2118</v>
      </c>
      <c r="E149" s="10" t="s">
        <v>2617</v>
      </c>
      <c r="F149" s="10" t="s">
        <v>2611</v>
      </c>
      <c r="G149" s="10" t="s">
        <v>2574</v>
      </c>
      <c r="H149" s="10" t="s">
        <v>2612</v>
      </c>
      <c r="I149" s="10" t="s">
        <v>2496</v>
      </c>
    </row>
    <row r="150" spans="1:9" x14ac:dyDescent="0.25">
      <c r="A150">
        <v>1595</v>
      </c>
      <c r="B150" s="10" t="s">
        <v>2618</v>
      </c>
      <c r="C150" s="10" t="s">
        <v>2619</v>
      </c>
      <c r="D150" s="10">
        <v>2131</v>
      </c>
      <c r="E150" s="10" t="s">
        <v>2620</v>
      </c>
      <c r="F150" s="10" t="s">
        <v>2347</v>
      </c>
      <c r="G150" s="10" t="s">
        <v>2621</v>
      </c>
      <c r="H150" s="10" t="s">
        <v>2555</v>
      </c>
      <c r="I150" s="10" t="s">
        <v>2329</v>
      </c>
    </row>
    <row r="151" spans="1:9" x14ac:dyDescent="0.25">
      <c r="A151">
        <v>503</v>
      </c>
      <c r="B151" s="10" t="s">
        <v>2622</v>
      </c>
      <c r="C151" s="10" t="s">
        <v>2623</v>
      </c>
      <c r="D151" s="10">
        <v>2132</v>
      </c>
      <c r="E151" s="10" t="s">
        <v>2624</v>
      </c>
      <c r="F151" s="10" t="s">
        <v>2625</v>
      </c>
      <c r="G151" s="10" t="s">
        <v>2366</v>
      </c>
      <c r="H151" s="10" t="s">
        <v>2626</v>
      </c>
      <c r="I151" s="10" t="s">
        <v>2368</v>
      </c>
    </row>
    <row r="152" spans="1:9" x14ac:dyDescent="0.25">
      <c r="A152">
        <v>1596</v>
      </c>
      <c r="B152" s="10" t="s">
        <v>2618</v>
      </c>
      <c r="C152" s="10" t="s">
        <v>2619</v>
      </c>
      <c r="D152" s="10">
        <v>2133</v>
      </c>
      <c r="E152" s="10" t="s">
        <v>2627</v>
      </c>
      <c r="F152" s="10" t="s">
        <v>2628</v>
      </c>
      <c r="G152" s="10" t="s">
        <v>2629</v>
      </c>
      <c r="H152" s="10" t="s">
        <v>2630</v>
      </c>
      <c r="I152" s="10" t="s">
        <v>2631</v>
      </c>
    </row>
    <row r="153" spans="1:9" x14ac:dyDescent="0.25">
      <c r="A153">
        <v>1597</v>
      </c>
      <c r="B153" s="10" t="s">
        <v>2618</v>
      </c>
      <c r="C153" s="10" t="s">
        <v>2619</v>
      </c>
      <c r="D153" s="10">
        <v>2138</v>
      </c>
      <c r="E153" s="10" t="s">
        <v>2632</v>
      </c>
      <c r="F153" s="10" t="s">
        <v>2628</v>
      </c>
      <c r="G153" s="10" t="s">
        <v>2629</v>
      </c>
      <c r="H153" s="10" t="s">
        <v>2630</v>
      </c>
      <c r="I153" s="10" t="s">
        <v>2631</v>
      </c>
    </row>
    <row r="154" spans="1:9" x14ac:dyDescent="0.25">
      <c r="A154">
        <v>779</v>
      </c>
      <c r="B154" s="10" t="s">
        <v>2633</v>
      </c>
      <c r="C154" s="10" t="s">
        <v>2634</v>
      </c>
      <c r="D154" s="10">
        <v>2145</v>
      </c>
      <c r="E154" s="10" t="s">
        <v>2635</v>
      </c>
      <c r="F154" s="10" t="s">
        <v>2262</v>
      </c>
      <c r="G154" s="10" t="s">
        <v>2636</v>
      </c>
      <c r="H154" s="10" t="s">
        <v>2637</v>
      </c>
      <c r="I154" s="10" t="s">
        <v>2464</v>
      </c>
    </row>
    <row r="155" spans="1:9" x14ac:dyDescent="0.25">
      <c r="A155">
        <v>738</v>
      </c>
      <c r="B155" s="10" t="s">
        <v>2633</v>
      </c>
      <c r="C155" s="10" t="s">
        <v>2638</v>
      </c>
      <c r="D155" s="10">
        <v>2146</v>
      </c>
      <c r="E155" s="10" t="s">
        <v>2639</v>
      </c>
      <c r="F155" s="10" t="s">
        <v>2406</v>
      </c>
      <c r="G155" s="10" t="s">
        <v>2273</v>
      </c>
      <c r="H155" s="10" t="s">
        <v>2640</v>
      </c>
      <c r="I155" s="10" t="s">
        <v>2118</v>
      </c>
    </row>
    <row r="156" spans="1:9" x14ac:dyDescent="0.25">
      <c r="A156">
        <v>739</v>
      </c>
      <c r="B156" s="10" t="s">
        <v>2633</v>
      </c>
      <c r="C156" s="10" t="s">
        <v>2638</v>
      </c>
      <c r="D156" s="10">
        <v>2148</v>
      </c>
      <c r="E156" s="10" t="s">
        <v>2641</v>
      </c>
      <c r="F156" s="10" t="s">
        <v>2376</v>
      </c>
      <c r="G156" s="10" t="s">
        <v>2642</v>
      </c>
      <c r="H156" s="10" t="s">
        <v>2643</v>
      </c>
      <c r="I156" s="10" t="s">
        <v>2425</v>
      </c>
    </row>
    <row r="157" spans="1:9" x14ac:dyDescent="0.25">
      <c r="A157">
        <v>740</v>
      </c>
      <c r="B157" s="10" t="s">
        <v>2633</v>
      </c>
      <c r="C157" s="10" t="s">
        <v>2638</v>
      </c>
      <c r="D157" s="10">
        <v>2149</v>
      </c>
      <c r="E157" s="10" t="s">
        <v>2644</v>
      </c>
      <c r="F157" s="10" t="s">
        <v>2645</v>
      </c>
      <c r="G157" s="10" t="s">
        <v>2646</v>
      </c>
      <c r="H157" s="10" t="s">
        <v>2647</v>
      </c>
      <c r="I157" s="10" t="s">
        <v>2287</v>
      </c>
    </row>
    <row r="158" spans="1:9" x14ac:dyDescent="0.25">
      <c r="A158">
        <v>735</v>
      </c>
      <c r="B158" s="10" t="s">
        <v>2633</v>
      </c>
      <c r="C158" s="10" t="s">
        <v>2648</v>
      </c>
      <c r="D158" s="10">
        <v>2150</v>
      </c>
      <c r="E158" s="10" t="s">
        <v>2649</v>
      </c>
      <c r="F158" s="10" t="s">
        <v>2645</v>
      </c>
      <c r="G158" s="10" t="s">
        <v>2646</v>
      </c>
      <c r="H158" s="10" t="s">
        <v>2647</v>
      </c>
      <c r="I158" s="10" t="s">
        <v>2287</v>
      </c>
    </row>
    <row r="159" spans="1:9" x14ac:dyDescent="0.25">
      <c r="A159">
        <v>736</v>
      </c>
      <c r="B159" s="10" t="s">
        <v>2633</v>
      </c>
      <c r="C159" s="10" t="s">
        <v>2648</v>
      </c>
      <c r="D159" s="10">
        <v>2151</v>
      </c>
      <c r="E159" s="10" t="s">
        <v>2650</v>
      </c>
      <c r="F159" s="10" t="s">
        <v>2376</v>
      </c>
      <c r="G159" s="10" t="s">
        <v>2642</v>
      </c>
      <c r="H159" s="10" t="s">
        <v>2643</v>
      </c>
      <c r="I159" s="10" t="s">
        <v>2425</v>
      </c>
    </row>
    <row r="160" spans="1:9" x14ac:dyDescent="0.25">
      <c r="A160">
        <v>737</v>
      </c>
      <c r="B160" s="10" t="s">
        <v>2633</v>
      </c>
      <c r="C160" s="10" t="s">
        <v>2648</v>
      </c>
      <c r="D160" s="10">
        <v>2152</v>
      </c>
      <c r="E160" s="10" t="s">
        <v>2651</v>
      </c>
      <c r="F160" s="10" t="s">
        <v>2406</v>
      </c>
      <c r="G160" s="10" t="s">
        <v>2273</v>
      </c>
      <c r="H160" s="10" t="s">
        <v>2640</v>
      </c>
      <c r="I160" s="10" t="s">
        <v>2118</v>
      </c>
    </row>
    <row r="161" spans="1:9" x14ac:dyDescent="0.25">
      <c r="A161">
        <v>745</v>
      </c>
      <c r="B161" s="10" t="s">
        <v>2633</v>
      </c>
      <c r="C161" s="10" t="s">
        <v>2652</v>
      </c>
      <c r="D161" s="10">
        <v>2153</v>
      </c>
      <c r="E161" s="10" t="s">
        <v>2653</v>
      </c>
      <c r="F161" s="10" t="s">
        <v>2243</v>
      </c>
      <c r="G161" s="10" t="s">
        <v>2654</v>
      </c>
      <c r="H161" s="10" t="s">
        <v>2530</v>
      </c>
      <c r="I161" s="10" t="s">
        <v>2310</v>
      </c>
    </row>
    <row r="162" spans="1:9" x14ac:dyDescent="0.25">
      <c r="A162">
        <v>746</v>
      </c>
      <c r="B162" s="10" t="s">
        <v>2633</v>
      </c>
      <c r="C162" s="10" t="s">
        <v>2652</v>
      </c>
      <c r="D162" s="10">
        <v>2154</v>
      </c>
      <c r="E162" s="10" t="s">
        <v>2655</v>
      </c>
      <c r="F162" s="10" t="s">
        <v>2611</v>
      </c>
      <c r="G162" s="10" t="s">
        <v>2574</v>
      </c>
      <c r="H162" s="10" t="s">
        <v>2656</v>
      </c>
      <c r="I162" s="10" t="s">
        <v>2496</v>
      </c>
    </row>
    <row r="163" spans="1:9" x14ac:dyDescent="0.25">
      <c r="A163">
        <v>512</v>
      </c>
      <c r="B163" s="10" t="s">
        <v>2622</v>
      </c>
      <c r="C163" s="10" t="s">
        <v>2657</v>
      </c>
      <c r="D163" s="10">
        <v>2159</v>
      </c>
      <c r="E163" s="10" t="s">
        <v>2658</v>
      </c>
      <c r="F163" s="10" t="s">
        <v>2659</v>
      </c>
      <c r="G163" s="10" t="s">
        <v>2660</v>
      </c>
      <c r="H163" s="10" t="s">
        <v>2368</v>
      </c>
      <c r="I163" s="10" t="s">
        <v>2304</v>
      </c>
    </row>
    <row r="164" spans="1:9" x14ac:dyDescent="0.25">
      <c r="A164">
        <v>509</v>
      </c>
      <c r="B164" s="10" t="s">
        <v>2622</v>
      </c>
      <c r="C164" s="10" t="s">
        <v>2661</v>
      </c>
      <c r="D164" s="10">
        <v>2161</v>
      </c>
      <c r="E164" s="10" t="s">
        <v>2662</v>
      </c>
      <c r="F164" s="10" t="s">
        <v>2659</v>
      </c>
      <c r="G164" s="10" t="s">
        <v>2660</v>
      </c>
      <c r="H164" s="10" t="s">
        <v>2663</v>
      </c>
      <c r="I164" s="10" t="s">
        <v>2304</v>
      </c>
    </row>
    <row r="165" spans="1:9" x14ac:dyDescent="0.25">
      <c r="A165">
        <v>510</v>
      </c>
      <c r="B165" s="10" t="s">
        <v>2622</v>
      </c>
      <c r="C165" s="10" t="s">
        <v>2661</v>
      </c>
      <c r="D165" s="10">
        <v>2162</v>
      </c>
      <c r="E165" s="10" t="s">
        <v>2664</v>
      </c>
      <c r="F165" s="10" t="s">
        <v>2253</v>
      </c>
      <c r="G165" s="10" t="s">
        <v>2378</v>
      </c>
      <c r="H165" s="10" t="s">
        <v>2665</v>
      </c>
      <c r="I165" s="10" t="s">
        <v>2666</v>
      </c>
    </row>
    <row r="166" spans="1:9" x14ac:dyDescent="0.25">
      <c r="A166">
        <v>511</v>
      </c>
      <c r="B166" s="10" t="s">
        <v>2622</v>
      </c>
      <c r="C166" s="10" t="s">
        <v>2661</v>
      </c>
      <c r="D166" s="10">
        <v>2163</v>
      </c>
      <c r="E166" s="10" t="s">
        <v>2667</v>
      </c>
      <c r="F166" s="10" t="s">
        <v>2406</v>
      </c>
      <c r="G166" s="10" t="s">
        <v>2273</v>
      </c>
      <c r="H166" s="10" t="s">
        <v>2543</v>
      </c>
      <c r="I166" s="10" t="s">
        <v>2241</v>
      </c>
    </row>
    <row r="167" spans="1:9" x14ac:dyDescent="0.25">
      <c r="A167">
        <v>504</v>
      </c>
      <c r="B167" s="10" t="s">
        <v>2622</v>
      </c>
      <c r="C167" s="10" t="s">
        <v>2623</v>
      </c>
      <c r="D167" s="10">
        <v>2164</v>
      </c>
      <c r="E167" s="10" t="s">
        <v>2668</v>
      </c>
      <c r="F167" s="10" t="s">
        <v>2262</v>
      </c>
      <c r="G167" s="10" t="s">
        <v>2263</v>
      </c>
      <c r="H167" s="10" t="s">
        <v>2669</v>
      </c>
      <c r="I167" s="10" t="s">
        <v>2264</v>
      </c>
    </row>
    <row r="168" spans="1:9" x14ac:dyDescent="0.25">
      <c r="A168">
        <v>505</v>
      </c>
      <c r="B168" s="10" t="s">
        <v>2622</v>
      </c>
      <c r="C168" s="10" t="s">
        <v>2623</v>
      </c>
      <c r="D168" s="10">
        <v>2165</v>
      </c>
      <c r="E168" s="10" t="s">
        <v>2670</v>
      </c>
      <c r="F168" s="10" t="s">
        <v>2262</v>
      </c>
      <c r="G168" s="10" t="s">
        <v>2263</v>
      </c>
      <c r="H168" s="10" t="s">
        <v>2669</v>
      </c>
      <c r="I168" s="10" t="s">
        <v>2264</v>
      </c>
    </row>
    <row r="169" spans="1:9" x14ac:dyDescent="0.25">
      <c r="A169">
        <v>1520</v>
      </c>
      <c r="B169" s="10" t="s">
        <v>2671</v>
      </c>
      <c r="C169" s="10" t="s">
        <v>2622</v>
      </c>
      <c r="D169" s="10">
        <v>2166</v>
      </c>
      <c r="E169" s="10" t="s">
        <v>2672</v>
      </c>
      <c r="F169" s="10" t="s">
        <v>2673</v>
      </c>
      <c r="G169" s="10" t="s">
        <v>2425</v>
      </c>
      <c r="H169" s="10" t="s">
        <v>2543</v>
      </c>
      <c r="I169" s="10" t="s">
        <v>2241</v>
      </c>
    </row>
    <row r="170" spans="1:9" x14ac:dyDescent="0.25">
      <c r="A170">
        <v>506</v>
      </c>
      <c r="B170" s="10" t="s">
        <v>2622</v>
      </c>
      <c r="C170" s="10" t="s">
        <v>2623</v>
      </c>
      <c r="D170" s="10">
        <v>2168</v>
      </c>
      <c r="E170" s="10" t="s">
        <v>2674</v>
      </c>
      <c r="F170" s="10" t="s">
        <v>2442</v>
      </c>
      <c r="G170" s="10" t="s">
        <v>2675</v>
      </c>
      <c r="H170" s="10" t="s">
        <v>2676</v>
      </c>
      <c r="I170" s="10" t="s">
        <v>2464</v>
      </c>
    </row>
    <row r="171" spans="1:9" x14ac:dyDescent="0.25">
      <c r="A171">
        <v>844</v>
      </c>
      <c r="B171" s="10" t="s">
        <v>2677</v>
      </c>
      <c r="C171" s="10" t="s">
        <v>2678</v>
      </c>
      <c r="D171" s="10">
        <v>2169</v>
      </c>
      <c r="E171" s="10" t="s">
        <v>2679</v>
      </c>
      <c r="F171" s="10" t="s">
        <v>2659</v>
      </c>
      <c r="G171" s="10" t="s">
        <v>2660</v>
      </c>
      <c r="H171" s="10" t="s">
        <v>2680</v>
      </c>
      <c r="I171" s="10" t="s">
        <v>2425</v>
      </c>
    </row>
    <row r="172" spans="1:9" x14ac:dyDescent="0.25">
      <c r="A172">
        <v>507</v>
      </c>
      <c r="B172" s="10" t="s">
        <v>2622</v>
      </c>
      <c r="C172" s="10" t="s">
        <v>2623</v>
      </c>
      <c r="D172" s="10">
        <v>2171</v>
      </c>
      <c r="E172" s="10" t="s">
        <v>2681</v>
      </c>
      <c r="F172" s="10" t="s">
        <v>2682</v>
      </c>
      <c r="G172" s="10" t="s">
        <v>2263</v>
      </c>
      <c r="H172" s="10" t="s">
        <v>2669</v>
      </c>
      <c r="I172" s="10" t="s">
        <v>2264</v>
      </c>
    </row>
    <row r="173" spans="1:9" x14ac:dyDescent="0.25">
      <c r="A173">
        <v>508</v>
      </c>
      <c r="B173" s="10" t="s">
        <v>2622</v>
      </c>
      <c r="C173" s="10" t="s">
        <v>2623</v>
      </c>
      <c r="D173" s="10">
        <v>2182</v>
      </c>
      <c r="E173" s="10" t="s">
        <v>2683</v>
      </c>
      <c r="F173" s="10" t="s">
        <v>2266</v>
      </c>
      <c r="G173" s="10" t="s">
        <v>2684</v>
      </c>
      <c r="H173" s="10" t="s">
        <v>2612</v>
      </c>
      <c r="I173" s="10" t="s">
        <v>2420</v>
      </c>
    </row>
    <row r="174" spans="1:9" x14ac:dyDescent="0.25">
      <c r="A174">
        <v>340</v>
      </c>
      <c r="B174" s="10" t="s">
        <v>2685</v>
      </c>
      <c r="C174" s="10" t="s">
        <v>505</v>
      </c>
      <c r="D174" s="10">
        <v>2195</v>
      </c>
      <c r="E174" s="10" t="s">
        <v>2686</v>
      </c>
      <c r="F174" s="10" t="s">
        <v>2301</v>
      </c>
      <c r="G174" s="10" t="s">
        <v>2302</v>
      </c>
      <c r="H174" s="10" t="s">
        <v>2687</v>
      </c>
      <c r="I174" s="10" t="s">
        <v>2425</v>
      </c>
    </row>
    <row r="175" spans="1:9" x14ac:dyDescent="0.25">
      <c r="A175">
        <v>1710</v>
      </c>
      <c r="B175" s="10" t="s">
        <v>2593</v>
      </c>
      <c r="C175" s="10" t="s">
        <v>2688</v>
      </c>
      <c r="D175" s="10">
        <v>2200</v>
      </c>
      <c r="E175" s="10" t="s">
        <v>2689</v>
      </c>
      <c r="F175" s="10" t="s">
        <v>2690</v>
      </c>
      <c r="G175" s="10" t="s">
        <v>2691</v>
      </c>
      <c r="H175" s="10" t="s">
        <v>2319</v>
      </c>
      <c r="I175" s="10" t="s">
        <v>2315</v>
      </c>
    </row>
    <row r="176" spans="1:9" x14ac:dyDescent="0.25">
      <c r="A176">
        <v>1711</v>
      </c>
      <c r="B176" s="10" t="s">
        <v>2593</v>
      </c>
      <c r="C176" s="10" t="s">
        <v>2688</v>
      </c>
      <c r="D176" s="10">
        <v>2201</v>
      </c>
      <c r="E176" s="10" t="s">
        <v>2692</v>
      </c>
      <c r="F176" s="10" t="s">
        <v>2690</v>
      </c>
      <c r="G176" s="10" t="s">
        <v>2691</v>
      </c>
      <c r="H176" s="10" t="s">
        <v>2319</v>
      </c>
      <c r="I176" s="10" t="s">
        <v>2315</v>
      </c>
    </row>
    <row r="177" spans="1:9" x14ac:dyDescent="0.25">
      <c r="A177">
        <v>1712</v>
      </c>
      <c r="B177" s="10" t="s">
        <v>2593</v>
      </c>
      <c r="C177" s="10" t="s">
        <v>2688</v>
      </c>
      <c r="D177" s="10">
        <v>2203</v>
      </c>
      <c r="E177" s="10" t="s">
        <v>2693</v>
      </c>
      <c r="F177" s="10" t="s">
        <v>2690</v>
      </c>
      <c r="G177" s="10" t="s">
        <v>2691</v>
      </c>
      <c r="H177" s="10" t="s">
        <v>2694</v>
      </c>
      <c r="I177" s="10" t="s">
        <v>2315</v>
      </c>
    </row>
    <row r="178" spans="1:9" x14ac:dyDescent="0.25">
      <c r="A178">
        <v>1713</v>
      </c>
      <c r="B178" s="10" t="s">
        <v>2593</v>
      </c>
      <c r="C178" s="10" t="s">
        <v>2688</v>
      </c>
      <c r="D178" s="10">
        <v>2204</v>
      </c>
      <c r="E178" s="10" t="s">
        <v>2695</v>
      </c>
      <c r="F178" s="10" t="s">
        <v>2376</v>
      </c>
      <c r="G178" s="10" t="s">
        <v>2377</v>
      </c>
      <c r="H178" s="10" t="s">
        <v>2609</v>
      </c>
      <c r="I178" s="10" t="s">
        <v>2218</v>
      </c>
    </row>
    <row r="179" spans="1:9" x14ac:dyDescent="0.25">
      <c r="A179">
        <v>1673</v>
      </c>
      <c r="B179" s="10" t="s">
        <v>2593</v>
      </c>
      <c r="C179" s="10" t="s">
        <v>2696</v>
      </c>
      <c r="D179" s="10">
        <v>2272</v>
      </c>
      <c r="E179" s="10" t="s">
        <v>2697</v>
      </c>
      <c r="F179" s="10" t="s">
        <v>2400</v>
      </c>
      <c r="G179" s="10" t="s">
        <v>2123</v>
      </c>
      <c r="H179" s="10" t="s">
        <v>2599</v>
      </c>
      <c r="I179" s="10" t="s">
        <v>2698</v>
      </c>
    </row>
    <row r="180" spans="1:9" x14ac:dyDescent="0.25">
      <c r="A180">
        <v>1674</v>
      </c>
      <c r="B180" s="10" t="s">
        <v>2593</v>
      </c>
      <c r="C180" s="10" t="s">
        <v>2696</v>
      </c>
      <c r="D180" s="10">
        <v>2273</v>
      </c>
      <c r="E180" s="10" t="s">
        <v>2699</v>
      </c>
      <c r="F180" s="10" t="s">
        <v>2690</v>
      </c>
      <c r="G180" s="10" t="s">
        <v>2691</v>
      </c>
      <c r="H180" s="10" t="s">
        <v>2558</v>
      </c>
      <c r="I180" s="10" t="s">
        <v>2315</v>
      </c>
    </row>
    <row r="181" spans="1:9" x14ac:dyDescent="0.25">
      <c r="A181">
        <v>238</v>
      </c>
      <c r="B181" s="10" t="s">
        <v>2518</v>
      </c>
      <c r="C181" s="10" t="s">
        <v>2700</v>
      </c>
      <c r="D181" s="10">
        <v>2284</v>
      </c>
      <c r="E181" s="10" t="s">
        <v>2701</v>
      </c>
      <c r="F181" s="10" t="s">
        <v>2702</v>
      </c>
      <c r="G181" s="10" t="s">
        <v>2702</v>
      </c>
      <c r="H181" s="10" t="s">
        <v>2603</v>
      </c>
      <c r="I181" s="10" t="s">
        <v>2703</v>
      </c>
    </row>
    <row r="182" spans="1:9" x14ac:dyDescent="0.25">
      <c r="A182">
        <v>78</v>
      </c>
      <c r="B182" s="10" t="s">
        <v>2518</v>
      </c>
      <c r="C182" s="10" t="s">
        <v>2531</v>
      </c>
      <c r="D182" s="10">
        <v>2286</v>
      </c>
      <c r="E182" s="10" t="s">
        <v>2704</v>
      </c>
      <c r="F182" s="10" t="s">
        <v>2705</v>
      </c>
      <c r="G182" s="10" t="s">
        <v>2706</v>
      </c>
      <c r="H182" s="10" t="s">
        <v>2660</v>
      </c>
      <c r="I182" s="10" t="s">
        <v>2707</v>
      </c>
    </row>
    <row r="183" spans="1:9" x14ac:dyDescent="0.25">
      <c r="A183">
        <v>79</v>
      </c>
      <c r="B183" s="10" t="s">
        <v>2518</v>
      </c>
      <c r="C183" s="10" t="s">
        <v>2531</v>
      </c>
      <c r="D183" s="10">
        <v>2287</v>
      </c>
      <c r="E183" s="10" t="s">
        <v>2708</v>
      </c>
      <c r="F183" s="10" t="s">
        <v>2705</v>
      </c>
      <c r="G183" s="10" t="s">
        <v>2706</v>
      </c>
      <c r="H183" s="10" t="s">
        <v>2660</v>
      </c>
      <c r="I183" s="10" t="s">
        <v>2707</v>
      </c>
    </row>
    <row r="184" spans="1:9" x14ac:dyDescent="0.25">
      <c r="A184">
        <v>173</v>
      </c>
      <c r="B184" s="10" t="s">
        <v>2518</v>
      </c>
      <c r="C184" s="10" t="s">
        <v>2709</v>
      </c>
      <c r="D184" s="10">
        <v>2288</v>
      </c>
      <c r="E184" s="10" t="s">
        <v>2710</v>
      </c>
      <c r="F184" s="10" t="s">
        <v>2294</v>
      </c>
      <c r="G184" s="10" t="s">
        <v>2501</v>
      </c>
      <c r="H184" s="10" t="s">
        <v>2503</v>
      </c>
      <c r="I184" s="10" t="s">
        <v>2503</v>
      </c>
    </row>
    <row r="185" spans="1:9" x14ac:dyDescent="0.25">
      <c r="A185">
        <v>40</v>
      </c>
      <c r="B185" s="10" t="s">
        <v>2518</v>
      </c>
      <c r="C185" s="10" t="s">
        <v>2548</v>
      </c>
      <c r="D185" s="10">
        <v>2289</v>
      </c>
      <c r="E185" s="10" t="s">
        <v>2711</v>
      </c>
      <c r="F185" s="10" t="s">
        <v>2712</v>
      </c>
      <c r="G185" s="10" t="s">
        <v>2706</v>
      </c>
      <c r="H185" s="10" t="s">
        <v>2660</v>
      </c>
      <c r="I185" s="10" t="s">
        <v>2707</v>
      </c>
    </row>
    <row r="186" spans="1:9" x14ac:dyDescent="0.25">
      <c r="A186">
        <v>80</v>
      </c>
      <c r="B186" s="10" t="s">
        <v>2518</v>
      </c>
      <c r="C186" s="10" t="s">
        <v>2531</v>
      </c>
      <c r="D186" s="10">
        <v>2330</v>
      </c>
      <c r="E186" s="10" t="s">
        <v>2713</v>
      </c>
      <c r="F186" s="10" t="s">
        <v>2705</v>
      </c>
      <c r="G186" s="10" t="s">
        <v>2706</v>
      </c>
      <c r="H186" s="10" t="s">
        <v>2660</v>
      </c>
      <c r="I186" s="10" t="s">
        <v>2707</v>
      </c>
    </row>
    <row r="187" spans="1:9" x14ac:dyDescent="0.25">
      <c r="A187">
        <v>81</v>
      </c>
      <c r="B187" s="10" t="s">
        <v>2518</v>
      </c>
      <c r="C187" s="10" t="s">
        <v>2531</v>
      </c>
      <c r="D187" s="10">
        <v>2331</v>
      </c>
      <c r="E187" s="10" t="s">
        <v>2714</v>
      </c>
      <c r="F187" s="10" t="s">
        <v>2705</v>
      </c>
      <c r="G187" s="10" t="s">
        <v>2706</v>
      </c>
      <c r="H187" s="10" t="s">
        <v>2660</v>
      </c>
      <c r="I187" s="10" t="s">
        <v>2707</v>
      </c>
    </row>
    <row r="188" spans="1:9" x14ac:dyDescent="0.25">
      <c r="A188">
        <v>82</v>
      </c>
      <c r="B188" s="10" t="s">
        <v>2518</v>
      </c>
      <c r="C188" s="10" t="s">
        <v>2531</v>
      </c>
      <c r="D188" s="10">
        <v>2332</v>
      </c>
      <c r="E188" s="10" t="s">
        <v>2715</v>
      </c>
      <c r="F188" s="10" t="s">
        <v>2705</v>
      </c>
      <c r="G188" s="10" t="s">
        <v>2706</v>
      </c>
      <c r="H188" s="10" t="s">
        <v>2660</v>
      </c>
      <c r="I188" s="10" t="s">
        <v>2707</v>
      </c>
    </row>
    <row r="189" spans="1:9" x14ac:dyDescent="0.25">
      <c r="A189">
        <v>83</v>
      </c>
      <c r="B189" s="10" t="s">
        <v>2518</v>
      </c>
      <c r="C189" s="10" t="s">
        <v>2531</v>
      </c>
      <c r="D189" s="10">
        <v>2333</v>
      </c>
      <c r="E189" s="10" t="s">
        <v>2716</v>
      </c>
      <c r="F189" s="10" t="s">
        <v>2705</v>
      </c>
      <c r="G189" s="10" t="s">
        <v>2706</v>
      </c>
      <c r="H189" s="10" t="s">
        <v>2660</v>
      </c>
      <c r="I189" s="10" t="s">
        <v>2707</v>
      </c>
    </row>
    <row r="190" spans="1:9" x14ac:dyDescent="0.25">
      <c r="A190">
        <v>84</v>
      </c>
      <c r="B190" s="10" t="s">
        <v>2518</v>
      </c>
      <c r="C190" s="10" t="s">
        <v>2531</v>
      </c>
      <c r="D190" s="10">
        <v>2334</v>
      </c>
      <c r="E190" s="10" t="s">
        <v>2717</v>
      </c>
      <c r="F190" s="10" t="s">
        <v>2705</v>
      </c>
      <c r="G190" s="10" t="s">
        <v>2706</v>
      </c>
      <c r="H190" s="10" t="s">
        <v>2660</v>
      </c>
      <c r="I190" s="10" t="s">
        <v>2707</v>
      </c>
    </row>
    <row r="191" spans="1:9" x14ac:dyDescent="0.25">
      <c r="A191">
        <v>85</v>
      </c>
      <c r="B191" s="10" t="s">
        <v>2518</v>
      </c>
      <c r="C191" s="10" t="s">
        <v>2531</v>
      </c>
      <c r="D191" s="10">
        <v>2335</v>
      </c>
      <c r="E191" s="10" t="s">
        <v>2718</v>
      </c>
      <c r="F191" s="10" t="s">
        <v>2705</v>
      </c>
      <c r="G191" s="10" t="s">
        <v>2706</v>
      </c>
      <c r="H191" s="10" t="s">
        <v>2660</v>
      </c>
      <c r="I191" s="10" t="s">
        <v>2707</v>
      </c>
    </row>
    <row r="192" spans="1:9" x14ac:dyDescent="0.25">
      <c r="A192">
        <v>95</v>
      </c>
      <c r="B192" s="10" t="s">
        <v>2518</v>
      </c>
      <c r="C192" s="10" t="s">
        <v>2551</v>
      </c>
      <c r="D192" s="10">
        <v>2340</v>
      </c>
      <c r="E192" s="10" t="s">
        <v>2719</v>
      </c>
      <c r="F192" s="10" t="s">
        <v>2720</v>
      </c>
      <c r="G192" s="10" t="s">
        <v>2721</v>
      </c>
      <c r="H192" s="10" t="s">
        <v>2281</v>
      </c>
      <c r="I192" s="10" t="s">
        <v>2263</v>
      </c>
    </row>
    <row r="193" spans="1:9" x14ac:dyDescent="0.25">
      <c r="A193">
        <v>96</v>
      </c>
      <c r="B193" s="10" t="s">
        <v>2518</v>
      </c>
      <c r="C193" s="10" t="s">
        <v>2551</v>
      </c>
      <c r="D193" s="10">
        <v>2341</v>
      </c>
      <c r="E193" s="10" t="s">
        <v>2722</v>
      </c>
      <c r="F193" s="10" t="s">
        <v>2720</v>
      </c>
      <c r="G193" s="10" t="s">
        <v>2721</v>
      </c>
      <c r="H193" s="10" t="s">
        <v>2281</v>
      </c>
      <c r="I193" s="10" t="s">
        <v>2263</v>
      </c>
    </row>
    <row r="194" spans="1:9" x14ac:dyDescent="0.25">
      <c r="A194">
        <v>97</v>
      </c>
      <c r="B194" s="10" t="s">
        <v>2518</v>
      </c>
      <c r="C194" s="10" t="s">
        <v>2551</v>
      </c>
      <c r="D194" s="10">
        <v>2342</v>
      </c>
      <c r="E194" s="10" t="s">
        <v>2723</v>
      </c>
      <c r="F194" s="10" t="s">
        <v>2720</v>
      </c>
      <c r="G194" s="10" t="s">
        <v>2721</v>
      </c>
      <c r="H194" s="10" t="s">
        <v>2281</v>
      </c>
      <c r="I194" s="10" t="s">
        <v>2263</v>
      </c>
    </row>
    <row r="195" spans="1:9" x14ac:dyDescent="0.25">
      <c r="A195">
        <v>98</v>
      </c>
      <c r="B195" s="10" t="s">
        <v>2518</v>
      </c>
      <c r="C195" s="10" t="s">
        <v>2551</v>
      </c>
      <c r="D195" s="10">
        <v>2343</v>
      </c>
      <c r="E195" s="10" t="s">
        <v>2724</v>
      </c>
      <c r="F195" s="10" t="s">
        <v>2380</v>
      </c>
      <c r="G195" s="10" t="s">
        <v>2725</v>
      </c>
      <c r="H195" s="10" t="s">
        <v>2391</v>
      </c>
      <c r="I195" s="10" t="s">
        <v>2304</v>
      </c>
    </row>
    <row r="196" spans="1:9" x14ac:dyDescent="0.25">
      <c r="A196">
        <v>99</v>
      </c>
      <c r="B196" s="10" t="s">
        <v>2518</v>
      </c>
      <c r="C196" s="10" t="s">
        <v>2551</v>
      </c>
      <c r="D196" s="10">
        <v>2344</v>
      </c>
      <c r="E196" s="10" t="s">
        <v>2726</v>
      </c>
      <c r="F196" s="10" t="s">
        <v>2720</v>
      </c>
      <c r="G196" s="10" t="s">
        <v>2721</v>
      </c>
      <c r="H196" s="10" t="s">
        <v>2281</v>
      </c>
      <c r="I196" s="10" t="s">
        <v>2263</v>
      </c>
    </row>
    <row r="197" spans="1:9" x14ac:dyDescent="0.25">
      <c r="A197">
        <v>86</v>
      </c>
      <c r="B197" s="10" t="s">
        <v>2518</v>
      </c>
      <c r="C197" s="10" t="s">
        <v>2531</v>
      </c>
      <c r="D197" s="10">
        <v>2345</v>
      </c>
      <c r="E197" s="10" t="s">
        <v>2727</v>
      </c>
      <c r="F197" s="10" t="s">
        <v>2705</v>
      </c>
      <c r="G197" s="10" t="s">
        <v>2706</v>
      </c>
      <c r="H197" s="10" t="s">
        <v>2660</v>
      </c>
      <c r="I197" s="10" t="s">
        <v>2707</v>
      </c>
    </row>
    <row r="198" spans="1:9" x14ac:dyDescent="0.25">
      <c r="A198">
        <v>62</v>
      </c>
      <c r="B198" s="10" t="s">
        <v>2518</v>
      </c>
      <c r="C198" s="10" t="s">
        <v>2728</v>
      </c>
      <c r="D198" s="10">
        <v>2347</v>
      </c>
      <c r="E198" s="10" t="s">
        <v>2729</v>
      </c>
      <c r="F198" s="10" t="s">
        <v>2730</v>
      </c>
      <c r="G198" s="10" t="s">
        <v>2731</v>
      </c>
      <c r="H198" s="10" t="s">
        <v>2418</v>
      </c>
      <c r="I198" s="10" t="s">
        <v>2496</v>
      </c>
    </row>
    <row r="199" spans="1:9" x14ac:dyDescent="0.25">
      <c r="A199">
        <v>63</v>
      </c>
      <c r="B199" s="10" t="s">
        <v>2518</v>
      </c>
      <c r="C199" s="10" t="s">
        <v>2728</v>
      </c>
      <c r="D199" s="10">
        <v>2348</v>
      </c>
      <c r="E199" s="10" t="s">
        <v>2732</v>
      </c>
      <c r="F199" s="10" t="s">
        <v>2730</v>
      </c>
      <c r="G199" s="10" t="s">
        <v>2731</v>
      </c>
      <c r="H199" s="10" t="s">
        <v>2418</v>
      </c>
      <c r="I199" s="10" t="s">
        <v>2496</v>
      </c>
    </row>
    <row r="200" spans="1:9" x14ac:dyDescent="0.25">
      <c r="A200">
        <v>64</v>
      </c>
      <c r="B200" s="10" t="s">
        <v>2518</v>
      </c>
      <c r="C200" s="10" t="s">
        <v>2728</v>
      </c>
      <c r="D200" s="10">
        <v>2349</v>
      </c>
      <c r="E200" s="10" t="s">
        <v>2733</v>
      </c>
      <c r="F200" s="10" t="s">
        <v>2730</v>
      </c>
      <c r="G200" s="10" t="s">
        <v>2731</v>
      </c>
      <c r="H200" s="10" t="s">
        <v>2418</v>
      </c>
      <c r="I200" s="10" t="s">
        <v>2496</v>
      </c>
    </row>
    <row r="201" spans="1:9" x14ac:dyDescent="0.25">
      <c r="A201">
        <v>65</v>
      </c>
      <c r="B201" s="10" t="s">
        <v>2518</v>
      </c>
      <c r="C201" s="10" t="s">
        <v>2728</v>
      </c>
      <c r="D201" s="10">
        <v>2350</v>
      </c>
      <c r="E201" s="10" t="s">
        <v>2734</v>
      </c>
      <c r="F201" s="10" t="s">
        <v>2730</v>
      </c>
      <c r="G201" s="10" t="s">
        <v>2731</v>
      </c>
      <c r="H201" s="10" t="s">
        <v>2418</v>
      </c>
      <c r="I201" s="10" t="s">
        <v>2496</v>
      </c>
    </row>
    <row r="202" spans="1:9" x14ac:dyDescent="0.25">
      <c r="A202">
        <v>66</v>
      </c>
      <c r="B202" s="10" t="s">
        <v>2518</v>
      </c>
      <c r="C202" s="10" t="s">
        <v>2728</v>
      </c>
      <c r="D202" s="10">
        <v>2351</v>
      </c>
      <c r="E202" s="10" t="s">
        <v>2735</v>
      </c>
      <c r="F202" s="10" t="s">
        <v>2730</v>
      </c>
      <c r="G202" s="10" t="s">
        <v>2731</v>
      </c>
      <c r="H202" s="10" t="s">
        <v>2418</v>
      </c>
      <c r="I202" s="10" t="s">
        <v>2496</v>
      </c>
    </row>
    <row r="203" spans="1:9" x14ac:dyDescent="0.25">
      <c r="A203">
        <v>67</v>
      </c>
      <c r="B203" s="10" t="s">
        <v>2518</v>
      </c>
      <c r="C203" s="10" t="s">
        <v>2728</v>
      </c>
      <c r="D203" s="10">
        <v>2352</v>
      </c>
      <c r="E203" s="10" t="s">
        <v>2736</v>
      </c>
      <c r="F203" s="10" t="s">
        <v>2730</v>
      </c>
      <c r="G203" s="10" t="s">
        <v>2731</v>
      </c>
      <c r="H203" s="10" t="s">
        <v>2418</v>
      </c>
      <c r="I203" s="10" t="s">
        <v>2496</v>
      </c>
    </row>
    <row r="204" spans="1:9" x14ac:dyDescent="0.25">
      <c r="A204">
        <v>68</v>
      </c>
      <c r="B204" s="10" t="s">
        <v>2518</v>
      </c>
      <c r="C204" s="10" t="s">
        <v>2728</v>
      </c>
      <c r="D204" s="10">
        <v>2353</v>
      </c>
      <c r="E204" s="10" t="s">
        <v>2737</v>
      </c>
      <c r="F204" s="10" t="s">
        <v>2730</v>
      </c>
      <c r="G204" s="10" t="s">
        <v>2731</v>
      </c>
      <c r="H204" s="10" t="s">
        <v>2418</v>
      </c>
      <c r="I204" s="10" t="s">
        <v>2496</v>
      </c>
    </row>
    <row r="205" spans="1:9" x14ac:dyDescent="0.25">
      <c r="A205">
        <v>100</v>
      </c>
      <c r="B205" s="10" t="s">
        <v>2518</v>
      </c>
      <c r="C205" s="10" t="s">
        <v>2551</v>
      </c>
      <c r="D205" s="10">
        <v>2354</v>
      </c>
      <c r="E205" s="10" t="s">
        <v>2738</v>
      </c>
      <c r="F205" s="10" t="s">
        <v>2380</v>
      </c>
      <c r="G205" s="10" t="s">
        <v>2725</v>
      </c>
      <c r="H205" s="10" t="s">
        <v>2391</v>
      </c>
      <c r="I205" s="10" t="s">
        <v>2304</v>
      </c>
    </row>
    <row r="206" spans="1:9" x14ac:dyDescent="0.25">
      <c r="A206">
        <v>239</v>
      </c>
      <c r="B206" s="10" t="s">
        <v>2518</v>
      </c>
      <c r="C206" s="10" t="s">
        <v>2700</v>
      </c>
      <c r="D206" s="10">
        <v>2355</v>
      </c>
      <c r="E206" s="10" t="s">
        <v>2739</v>
      </c>
      <c r="F206" s="10" t="s">
        <v>2740</v>
      </c>
      <c r="G206" s="10" t="s">
        <v>2740</v>
      </c>
      <c r="H206" s="10" t="s">
        <v>2741</v>
      </c>
      <c r="I206" s="10" t="s">
        <v>2742</v>
      </c>
    </row>
    <row r="207" spans="1:9" x14ac:dyDescent="0.25">
      <c r="A207">
        <v>240</v>
      </c>
      <c r="B207" s="10" t="s">
        <v>2518</v>
      </c>
      <c r="C207" s="10" t="s">
        <v>2700</v>
      </c>
      <c r="D207" s="10">
        <v>2356</v>
      </c>
      <c r="E207" s="10" t="s">
        <v>2743</v>
      </c>
      <c r="F207" s="10" t="s">
        <v>2744</v>
      </c>
      <c r="G207" s="10" t="s">
        <v>2744</v>
      </c>
      <c r="H207" s="10" t="s">
        <v>2558</v>
      </c>
      <c r="I207" s="10" t="s">
        <v>2745</v>
      </c>
    </row>
    <row r="208" spans="1:9" x14ac:dyDescent="0.25">
      <c r="A208">
        <v>241</v>
      </c>
      <c r="B208" s="10" t="s">
        <v>2518</v>
      </c>
      <c r="C208" s="10" t="s">
        <v>2700</v>
      </c>
      <c r="D208" s="10">
        <v>2357</v>
      </c>
      <c r="E208" s="10" t="s">
        <v>2746</v>
      </c>
      <c r="F208" s="10" t="s">
        <v>2747</v>
      </c>
      <c r="G208" s="10" t="s">
        <v>2747</v>
      </c>
      <c r="H208" s="10" t="s">
        <v>2748</v>
      </c>
      <c r="I208" s="10" t="s">
        <v>2749</v>
      </c>
    </row>
    <row r="209" spans="1:9" x14ac:dyDescent="0.25">
      <c r="A209">
        <v>242</v>
      </c>
      <c r="B209" s="10" t="s">
        <v>2518</v>
      </c>
      <c r="C209" s="10" t="s">
        <v>2700</v>
      </c>
      <c r="D209" s="10">
        <v>2358</v>
      </c>
      <c r="E209" s="10" t="s">
        <v>2750</v>
      </c>
      <c r="F209" s="10" t="s">
        <v>2702</v>
      </c>
      <c r="G209" s="10" t="s">
        <v>2702</v>
      </c>
      <c r="H209" s="10" t="s">
        <v>2603</v>
      </c>
      <c r="I209" s="10" t="s">
        <v>2703</v>
      </c>
    </row>
    <row r="210" spans="1:9" x14ac:dyDescent="0.25">
      <c r="A210">
        <v>88</v>
      </c>
      <c r="B210" s="10" t="s">
        <v>2518</v>
      </c>
      <c r="C210" s="10" t="s">
        <v>2751</v>
      </c>
      <c r="D210" s="10">
        <v>2361</v>
      </c>
      <c r="E210" s="10" t="s">
        <v>2752</v>
      </c>
      <c r="F210" s="10" t="s">
        <v>2390</v>
      </c>
      <c r="G210" s="10" t="s">
        <v>2391</v>
      </c>
      <c r="H210" s="10" t="s">
        <v>2324</v>
      </c>
      <c r="I210" s="10" t="s">
        <v>2118</v>
      </c>
    </row>
    <row r="211" spans="1:9" x14ac:dyDescent="0.25">
      <c r="A211">
        <v>89</v>
      </c>
      <c r="B211" s="10" t="s">
        <v>2518</v>
      </c>
      <c r="C211" s="10" t="s">
        <v>2751</v>
      </c>
      <c r="D211" s="10">
        <v>2362</v>
      </c>
      <c r="E211" s="10" t="s">
        <v>2753</v>
      </c>
      <c r="F211" s="10" t="s">
        <v>2390</v>
      </c>
      <c r="G211" s="10" t="s">
        <v>2391</v>
      </c>
      <c r="H211" s="10" t="s">
        <v>2324</v>
      </c>
      <c r="I211" s="10" t="s">
        <v>2118</v>
      </c>
    </row>
    <row r="212" spans="1:9" x14ac:dyDescent="0.25">
      <c r="A212">
        <v>90</v>
      </c>
      <c r="B212" s="10" t="s">
        <v>2518</v>
      </c>
      <c r="C212" s="10" t="s">
        <v>2751</v>
      </c>
      <c r="D212" s="10">
        <v>2363</v>
      </c>
      <c r="E212" s="10" t="s">
        <v>2754</v>
      </c>
      <c r="F212" s="10" t="s">
        <v>2390</v>
      </c>
      <c r="G212" s="10" t="s">
        <v>2391</v>
      </c>
      <c r="H212" s="10" t="s">
        <v>2324</v>
      </c>
      <c r="I212" s="10" t="s">
        <v>2118</v>
      </c>
    </row>
    <row r="213" spans="1:9" x14ac:dyDescent="0.25">
      <c r="A213">
        <v>91</v>
      </c>
      <c r="B213" s="10" t="s">
        <v>2518</v>
      </c>
      <c r="C213" s="10" t="s">
        <v>2751</v>
      </c>
      <c r="D213" s="10">
        <v>2364</v>
      </c>
      <c r="E213" s="10" t="s">
        <v>2755</v>
      </c>
      <c r="F213" s="10" t="s">
        <v>2390</v>
      </c>
      <c r="G213" s="10" t="s">
        <v>2391</v>
      </c>
      <c r="H213" s="10" t="s">
        <v>2324</v>
      </c>
      <c r="I213" s="10" t="s">
        <v>2118</v>
      </c>
    </row>
    <row r="214" spans="1:9" x14ac:dyDescent="0.25">
      <c r="A214">
        <v>92</v>
      </c>
      <c r="B214" s="10" t="s">
        <v>2518</v>
      </c>
      <c r="C214" s="10" t="s">
        <v>2751</v>
      </c>
      <c r="D214" s="10">
        <v>2365</v>
      </c>
      <c r="E214" s="10" t="s">
        <v>2756</v>
      </c>
      <c r="F214" s="10" t="s">
        <v>2390</v>
      </c>
      <c r="G214" s="10" t="s">
        <v>2391</v>
      </c>
      <c r="H214" s="10" t="s">
        <v>2324</v>
      </c>
      <c r="I214" s="10" t="s">
        <v>2118</v>
      </c>
    </row>
    <row r="215" spans="1:9" x14ac:dyDescent="0.25">
      <c r="A215">
        <v>93</v>
      </c>
      <c r="B215" s="10" t="s">
        <v>2518</v>
      </c>
      <c r="C215" s="10" t="s">
        <v>2751</v>
      </c>
      <c r="D215" s="10">
        <v>2366</v>
      </c>
      <c r="E215" s="10" t="s">
        <v>2757</v>
      </c>
      <c r="F215" s="10" t="s">
        <v>2390</v>
      </c>
      <c r="G215" s="10" t="s">
        <v>2391</v>
      </c>
      <c r="H215" s="10" t="s">
        <v>2324</v>
      </c>
      <c r="I215" s="10" t="s">
        <v>2118</v>
      </c>
    </row>
    <row r="216" spans="1:9" x14ac:dyDescent="0.25">
      <c r="A216">
        <v>101</v>
      </c>
      <c r="B216" s="10" t="s">
        <v>2518</v>
      </c>
      <c r="C216" s="10" t="s">
        <v>2551</v>
      </c>
      <c r="D216" s="10">
        <v>2372</v>
      </c>
      <c r="E216" s="10" t="s">
        <v>2758</v>
      </c>
      <c r="F216" s="10" t="s">
        <v>2380</v>
      </c>
      <c r="G216" s="10" t="s">
        <v>2725</v>
      </c>
      <c r="H216" s="10" t="s">
        <v>2391</v>
      </c>
      <c r="I216" s="10" t="s">
        <v>2304</v>
      </c>
    </row>
    <row r="217" spans="1:9" x14ac:dyDescent="0.25">
      <c r="A217">
        <v>87</v>
      </c>
      <c r="B217" s="10" t="s">
        <v>2518</v>
      </c>
      <c r="C217" s="10" t="s">
        <v>2531</v>
      </c>
      <c r="D217" s="10">
        <v>2385</v>
      </c>
      <c r="E217" s="10" t="s">
        <v>2759</v>
      </c>
      <c r="F217" s="10" t="s">
        <v>2705</v>
      </c>
      <c r="G217" s="10" t="s">
        <v>2706</v>
      </c>
      <c r="H217" s="10" t="s">
        <v>2660</v>
      </c>
      <c r="I217" s="10" t="s">
        <v>2707</v>
      </c>
    </row>
    <row r="218" spans="1:9" x14ac:dyDescent="0.25">
      <c r="A218">
        <v>69</v>
      </c>
      <c r="B218" s="10" t="s">
        <v>2518</v>
      </c>
      <c r="C218" s="10" t="s">
        <v>2728</v>
      </c>
      <c r="D218" s="10">
        <v>2390</v>
      </c>
      <c r="E218" s="10" t="s">
        <v>2760</v>
      </c>
      <c r="F218" s="10" t="s">
        <v>2730</v>
      </c>
      <c r="G218" s="10" t="s">
        <v>2731</v>
      </c>
      <c r="H218" s="10" t="s">
        <v>2418</v>
      </c>
      <c r="I218" s="10" t="s">
        <v>2496</v>
      </c>
    </row>
    <row r="219" spans="1:9" x14ac:dyDescent="0.25">
      <c r="A219">
        <v>174</v>
      </c>
      <c r="B219" s="10" t="s">
        <v>2518</v>
      </c>
      <c r="C219" s="10" t="s">
        <v>2709</v>
      </c>
      <c r="D219" s="10">
        <v>2391</v>
      </c>
      <c r="E219" s="10" t="s">
        <v>2761</v>
      </c>
      <c r="F219" s="10" t="s">
        <v>2762</v>
      </c>
      <c r="G219" s="10" t="s">
        <v>2423</v>
      </c>
      <c r="H219" s="10" t="s">
        <v>2425</v>
      </c>
      <c r="I219" s="10" t="s">
        <v>2425</v>
      </c>
    </row>
    <row r="220" spans="1:9" x14ac:dyDescent="0.25">
      <c r="A220">
        <v>48</v>
      </c>
      <c r="B220" s="10" t="s">
        <v>2518</v>
      </c>
      <c r="C220" s="10" t="s">
        <v>2533</v>
      </c>
      <c r="D220" s="10">
        <v>2400</v>
      </c>
      <c r="E220" s="10" t="s">
        <v>2763</v>
      </c>
      <c r="F220" s="10" t="s">
        <v>2390</v>
      </c>
      <c r="G220" s="10" t="s">
        <v>2391</v>
      </c>
      <c r="H220" s="10" t="s">
        <v>2324</v>
      </c>
      <c r="I220" s="10" t="s">
        <v>2118</v>
      </c>
    </row>
    <row r="221" spans="1:9" x14ac:dyDescent="0.25">
      <c r="A221">
        <v>13</v>
      </c>
      <c r="B221" s="10" t="s">
        <v>2518</v>
      </c>
      <c r="C221" s="10" t="s">
        <v>2526</v>
      </c>
      <c r="D221" s="10">
        <v>2402</v>
      </c>
      <c r="E221" s="10" t="s">
        <v>2764</v>
      </c>
      <c r="F221" s="10" t="s">
        <v>2705</v>
      </c>
      <c r="G221" s="10" t="s">
        <v>2706</v>
      </c>
      <c r="H221" s="10" t="s">
        <v>2660</v>
      </c>
      <c r="I221" s="10" t="s">
        <v>2707</v>
      </c>
    </row>
    <row r="222" spans="1:9" x14ac:dyDescent="0.25">
      <c r="A222">
        <v>1</v>
      </c>
      <c r="B222" s="10" t="s">
        <v>2518</v>
      </c>
      <c r="C222" s="10" t="s">
        <v>2765</v>
      </c>
      <c r="D222" s="10">
        <v>2403</v>
      </c>
      <c r="E222" s="10" t="s">
        <v>2766</v>
      </c>
      <c r="F222" s="10" t="s">
        <v>2767</v>
      </c>
      <c r="G222" s="10" t="s">
        <v>2768</v>
      </c>
      <c r="H222" s="11">
        <v>1.9</v>
      </c>
      <c r="I222" s="10">
        <v>1.25</v>
      </c>
    </row>
    <row r="223" spans="1:9" x14ac:dyDescent="0.25">
      <c r="A223">
        <v>14</v>
      </c>
      <c r="B223" s="10" t="s">
        <v>2518</v>
      </c>
      <c r="C223" s="10" t="s">
        <v>2526</v>
      </c>
      <c r="D223" s="10">
        <v>2406</v>
      </c>
      <c r="E223" s="10" t="s">
        <v>2769</v>
      </c>
      <c r="F223" s="10" t="s">
        <v>2705</v>
      </c>
      <c r="G223" s="10" t="s">
        <v>2706</v>
      </c>
      <c r="H223" s="10" t="s">
        <v>2660</v>
      </c>
      <c r="I223" s="10" t="s">
        <v>2707</v>
      </c>
    </row>
    <row r="224" spans="1:9" x14ac:dyDescent="0.25">
      <c r="A224">
        <v>2</v>
      </c>
      <c r="B224" s="10" t="s">
        <v>2518</v>
      </c>
      <c r="C224" s="10" t="s">
        <v>2765</v>
      </c>
      <c r="D224" s="10">
        <v>2407</v>
      </c>
      <c r="E224" s="10" t="s">
        <v>2770</v>
      </c>
      <c r="F224" s="10" t="s">
        <v>2767</v>
      </c>
      <c r="G224" s="10" t="s">
        <v>2768</v>
      </c>
      <c r="H224" s="11">
        <v>1.9</v>
      </c>
      <c r="I224" s="10">
        <v>1.25</v>
      </c>
    </row>
    <row r="225" spans="1:9" x14ac:dyDescent="0.25">
      <c r="A225">
        <v>49</v>
      </c>
      <c r="B225" s="10" t="s">
        <v>2518</v>
      </c>
      <c r="C225" s="10" t="s">
        <v>2533</v>
      </c>
      <c r="D225" s="10">
        <v>2410</v>
      </c>
      <c r="E225" s="10" t="s">
        <v>2771</v>
      </c>
      <c r="F225" s="10" t="s">
        <v>2390</v>
      </c>
      <c r="G225" s="10" t="s">
        <v>2391</v>
      </c>
      <c r="H225" s="10" t="s">
        <v>2324</v>
      </c>
      <c r="I225" s="10" t="s">
        <v>2118</v>
      </c>
    </row>
    <row r="226" spans="1:9" x14ac:dyDescent="0.25">
      <c r="A226">
        <v>50</v>
      </c>
      <c r="B226" s="10" t="s">
        <v>2518</v>
      </c>
      <c r="C226" s="10" t="s">
        <v>2533</v>
      </c>
      <c r="D226" s="10">
        <v>2411</v>
      </c>
      <c r="E226" s="10" t="s">
        <v>2772</v>
      </c>
      <c r="F226" s="10" t="s">
        <v>2390</v>
      </c>
      <c r="G226" s="10" t="s">
        <v>2391</v>
      </c>
      <c r="H226" s="10" t="s">
        <v>2324</v>
      </c>
      <c r="I226" s="10" t="s">
        <v>2118</v>
      </c>
    </row>
    <row r="227" spans="1:9" x14ac:dyDescent="0.25">
      <c r="A227">
        <v>15</v>
      </c>
      <c r="B227" s="10" t="s">
        <v>2518</v>
      </c>
      <c r="C227" s="10" t="s">
        <v>2526</v>
      </c>
      <c r="D227" s="10">
        <v>2412</v>
      </c>
      <c r="E227" s="10" t="s">
        <v>2773</v>
      </c>
      <c r="F227" s="10" t="s">
        <v>2705</v>
      </c>
      <c r="G227" s="10" t="s">
        <v>2706</v>
      </c>
      <c r="H227" s="10" t="s">
        <v>2660</v>
      </c>
      <c r="I227" s="10" t="s">
        <v>2707</v>
      </c>
    </row>
    <row r="228" spans="1:9" x14ac:dyDescent="0.25">
      <c r="A228">
        <v>3</v>
      </c>
      <c r="B228" s="10" t="s">
        <v>2518</v>
      </c>
      <c r="C228" s="10" t="s">
        <v>2765</v>
      </c>
      <c r="D228" s="10">
        <v>2413</v>
      </c>
      <c r="E228" s="10" t="s">
        <v>2774</v>
      </c>
      <c r="F228" s="10">
        <v>22.5</v>
      </c>
      <c r="G228" s="10" t="s">
        <v>2768</v>
      </c>
      <c r="H228" s="11">
        <v>1.9</v>
      </c>
      <c r="I228" s="10">
        <v>1.25</v>
      </c>
    </row>
    <row r="229" spans="1:9" x14ac:dyDescent="0.25">
      <c r="A229">
        <v>16</v>
      </c>
      <c r="B229" s="10" t="s">
        <v>2518</v>
      </c>
      <c r="C229" s="10" t="s">
        <v>2526</v>
      </c>
      <c r="D229" s="10">
        <v>2414</v>
      </c>
      <c r="E229" s="10" t="s">
        <v>2775</v>
      </c>
      <c r="F229" s="10" t="s">
        <v>2580</v>
      </c>
      <c r="G229" s="10" t="s">
        <v>2308</v>
      </c>
      <c r="H229" s="10" t="s">
        <v>2776</v>
      </c>
      <c r="I229" s="10" t="s">
        <v>2310</v>
      </c>
    </row>
    <row r="230" spans="1:9" x14ac:dyDescent="0.25">
      <c r="A230">
        <v>51</v>
      </c>
      <c r="B230" s="10" t="s">
        <v>2518</v>
      </c>
      <c r="C230" s="10" t="s">
        <v>2533</v>
      </c>
      <c r="D230" s="10">
        <v>2415</v>
      </c>
      <c r="E230" s="10" t="s">
        <v>2777</v>
      </c>
      <c r="F230" s="10" t="s">
        <v>2390</v>
      </c>
      <c r="G230" s="10" t="s">
        <v>2391</v>
      </c>
      <c r="H230" s="10" t="s">
        <v>2324</v>
      </c>
      <c r="I230" s="10" t="s">
        <v>2118</v>
      </c>
    </row>
    <row r="231" spans="1:9" x14ac:dyDescent="0.25">
      <c r="A231">
        <v>17</v>
      </c>
      <c r="B231" s="10" t="s">
        <v>2518</v>
      </c>
      <c r="C231" s="10" t="s">
        <v>2526</v>
      </c>
      <c r="D231" s="10">
        <v>2416</v>
      </c>
      <c r="E231" s="10" t="s">
        <v>2778</v>
      </c>
      <c r="F231" s="10" t="s">
        <v>2705</v>
      </c>
      <c r="G231" s="10" t="s">
        <v>2706</v>
      </c>
      <c r="H231" s="10" t="s">
        <v>2660</v>
      </c>
      <c r="I231" s="10" t="s">
        <v>2707</v>
      </c>
    </row>
    <row r="232" spans="1:9" x14ac:dyDescent="0.25">
      <c r="A232">
        <v>52</v>
      </c>
      <c r="B232" s="10" t="s">
        <v>2518</v>
      </c>
      <c r="C232" s="10" t="s">
        <v>2533</v>
      </c>
      <c r="D232" s="10">
        <v>2417</v>
      </c>
      <c r="E232" s="10" t="s">
        <v>2779</v>
      </c>
      <c r="F232" s="10" t="s">
        <v>2390</v>
      </c>
      <c r="G232" s="10" t="s">
        <v>2391</v>
      </c>
      <c r="H232" s="10" t="s">
        <v>2324</v>
      </c>
      <c r="I232" s="10" t="s">
        <v>2118</v>
      </c>
    </row>
    <row r="233" spans="1:9" x14ac:dyDescent="0.25">
      <c r="A233">
        <v>18</v>
      </c>
      <c r="B233" s="10" t="s">
        <v>2518</v>
      </c>
      <c r="C233" s="10" t="s">
        <v>2526</v>
      </c>
      <c r="D233" s="10">
        <v>2418</v>
      </c>
      <c r="E233" s="10" t="s">
        <v>2780</v>
      </c>
      <c r="F233" s="10" t="s">
        <v>2580</v>
      </c>
      <c r="G233" s="10" t="s">
        <v>2308</v>
      </c>
      <c r="H233" s="10" t="s">
        <v>2776</v>
      </c>
      <c r="I233" s="10" t="s">
        <v>2310</v>
      </c>
    </row>
    <row r="234" spans="1:9" x14ac:dyDescent="0.25">
      <c r="A234">
        <v>53</v>
      </c>
      <c r="B234" s="10" t="s">
        <v>2518</v>
      </c>
      <c r="C234" s="10" t="s">
        <v>2533</v>
      </c>
      <c r="D234" s="10">
        <v>2419</v>
      </c>
      <c r="E234" s="10" t="s">
        <v>2781</v>
      </c>
      <c r="F234" s="10" t="s">
        <v>2390</v>
      </c>
      <c r="G234" s="10" t="s">
        <v>2391</v>
      </c>
      <c r="H234" s="10" t="s">
        <v>2324</v>
      </c>
      <c r="I234" s="10" t="s">
        <v>2118</v>
      </c>
    </row>
    <row r="235" spans="1:9" x14ac:dyDescent="0.25">
      <c r="A235">
        <v>19</v>
      </c>
      <c r="B235" s="10" t="s">
        <v>2518</v>
      </c>
      <c r="C235" s="10" t="s">
        <v>2526</v>
      </c>
      <c r="D235" s="10">
        <v>2420</v>
      </c>
      <c r="E235" s="10" t="s">
        <v>2782</v>
      </c>
      <c r="F235" s="10" t="s">
        <v>2705</v>
      </c>
      <c r="G235" s="10" t="s">
        <v>2706</v>
      </c>
      <c r="H235" s="10" t="s">
        <v>2660</v>
      </c>
      <c r="I235" s="10" t="s">
        <v>2707</v>
      </c>
    </row>
    <row r="236" spans="1:9" x14ac:dyDescent="0.25">
      <c r="A236">
        <v>20</v>
      </c>
      <c r="B236" s="10" t="s">
        <v>2518</v>
      </c>
      <c r="C236" s="10" t="s">
        <v>2526</v>
      </c>
      <c r="D236" s="10">
        <v>2421</v>
      </c>
      <c r="E236" s="10" t="s">
        <v>2783</v>
      </c>
      <c r="F236" s="10" t="s">
        <v>2705</v>
      </c>
      <c r="G236" s="10" t="s">
        <v>2706</v>
      </c>
      <c r="H236" s="10" t="s">
        <v>2660</v>
      </c>
      <c r="I236" s="10" t="s">
        <v>2707</v>
      </c>
    </row>
    <row r="237" spans="1:9" x14ac:dyDescent="0.25">
      <c r="A237">
        <v>21</v>
      </c>
      <c r="B237" s="10" t="s">
        <v>2518</v>
      </c>
      <c r="C237" s="10" t="s">
        <v>2526</v>
      </c>
      <c r="D237" s="10">
        <v>2422</v>
      </c>
      <c r="E237" s="10" t="s">
        <v>2784</v>
      </c>
      <c r="F237" s="10" t="s">
        <v>2705</v>
      </c>
      <c r="G237" s="10" t="s">
        <v>2706</v>
      </c>
      <c r="H237" s="10" t="s">
        <v>2660</v>
      </c>
      <c r="I237" s="10" t="s">
        <v>2707</v>
      </c>
    </row>
    <row r="238" spans="1:9" x14ac:dyDescent="0.25">
      <c r="A238">
        <v>4</v>
      </c>
      <c r="B238" s="10" t="s">
        <v>2518</v>
      </c>
      <c r="C238" s="10" t="s">
        <v>2765</v>
      </c>
      <c r="D238" s="10">
        <v>2423</v>
      </c>
      <c r="E238" s="10" t="s">
        <v>2785</v>
      </c>
      <c r="F238" s="10" t="s">
        <v>2767</v>
      </c>
      <c r="G238" s="10" t="s">
        <v>2768</v>
      </c>
      <c r="H238" s="11">
        <v>1.9</v>
      </c>
      <c r="I238" s="10">
        <v>1.25</v>
      </c>
    </row>
    <row r="239" spans="1:9" x14ac:dyDescent="0.25">
      <c r="A239">
        <v>22</v>
      </c>
      <c r="B239" s="10" t="s">
        <v>2518</v>
      </c>
      <c r="C239" s="10" t="s">
        <v>2526</v>
      </c>
      <c r="D239" s="10">
        <v>2425</v>
      </c>
      <c r="E239" s="10" t="s">
        <v>2786</v>
      </c>
      <c r="F239" s="10" t="s">
        <v>2580</v>
      </c>
      <c r="G239" s="10" t="s">
        <v>2308</v>
      </c>
      <c r="H239" s="10" t="s">
        <v>2530</v>
      </c>
      <c r="I239" s="10" t="s">
        <v>2310</v>
      </c>
    </row>
    <row r="240" spans="1:9" x14ac:dyDescent="0.25">
      <c r="A240">
        <v>23</v>
      </c>
      <c r="B240" s="10" t="s">
        <v>2518</v>
      </c>
      <c r="C240" s="10" t="s">
        <v>2526</v>
      </c>
      <c r="D240" s="10">
        <v>2426</v>
      </c>
      <c r="E240" s="10" t="s">
        <v>2787</v>
      </c>
      <c r="F240" s="10" t="s">
        <v>2705</v>
      </c>
      <c r="G240" s="10" t="s">
        <v>2706</v>
      </c>
      <c r="H240" s="10" t="s">
        <v>2660</v>
      </c>
      <c r="I240" s="10" t="s">
        <v>2707</v>
      </c>
    </row>
    <row r="241" spans="1:9" x14ac:dyDescent="0.25">
      <c r="A241">
        <v>5</v>
      </c>
      <c r="B241" s="10" t="s">
        <v>2518</v>
      </c>
      <c r="C241" s="10" t="s">
        <v>2765</v>
      </c>
      <c r="D241" s="10">
        <v>2427</v>
      </c>
      <c r="E241" s="10" t="s">
        <v>2788</v>
      </c>
      <c r="F241" s="10" t="s">
        <v>2767</v>
      </c>
      <c r="G241" s="10" t="s">
        <v>2768</v>
      </c>
      <c r="H241" s="11">
        <v>1.9</v>
      </c>
      <c r="I241" s="10">
        <v>1.25</v>
      </c>
    </row>
    <row r="242" spans="1:9" x14ac:dyDescent="0.25">
      <c r="A242">
        <v>218</v>
      </c>
      <c r="B242" s="10" t="s">
        <v>2518</v>
      </c>
      <c r="C242" s="10" t="s">
        <v>2789</v>
      </c>
      <c r="D242" s="10">
        <v>2428</v>
      </c>
      <c r="E242" s="10" t="s">
        <v>2790</v>
      </c>
      <c r="F242" s="10" t="s">
        <v>2791</v>
      </c>
      <c r="G242" s="10" t="s">
        <v>2792</v>
      </c>
      <c r="H242" s="10" t="s">
        <v>2793</v>
      </c>
      <c r="I242" s="10" t="s">
        <v>2794</v>
      </c>
    </row>
    <row r="243" spans="1:9" x14ac:dyDescent="0.25">
      <c r="A243">
        <v>54</v>
      </c>
      <c r="B243" s="10" t="s">
        <v>2518</v>
      </c>
      <c r="C243" s="10" t="s">
        <v>2533</v>
      </c>
      <c r="D243" s="10">
        <v>2429</v>
      </c>
      <c r="E243" s="10" t="s">
        <v>2795</v>
      </c>
      <c r="F243" s="10" t="s">
        <v>2390</v>
      </c>
      <c r="G243" s="10" t="s">
        <v>2391</v>
      </c>
      <c r="H243" s="10" t="s">
        <v>2324</v>
      </c>
      <c r="I243" s="10" t="s">
        <v>2118</v>
      </c>
    </row>
    <row r="244" spans="1:9" x14ac:dyDescent="0.25">
      <c r="A244">
        <v>24</v>
      </c>
      <c r="B244" s="10" t="s">
        <v>2518</v>
      </c>
      <c r="C244" s="10" t="s">
        <v>2526</v>
      </c>
      <c r="D244" s="10">
        <v>2430</v>
      </c>
      <c r="E244" s="10" t="s">
        <v>2796</v>
      </c>
      <c r="F244" s="10" t="s">
        <v>2705</v>
      </c>
      <c r="G244" s="10" t="s">
        <v>2706</v>
      </c>
      <c r="H244" s="10" t="s">
        <v>2660</v>
      </c>
      <c r="I244" s="10" t="s">
        <v>2707</v>
      </c>
    </row>
    <row r="245" spans="1:9" x14ac:dyDescent="0.25">
      <c r="A245">
        <v>25</v>
      </c>
      <c r="B245" s="10" t="s">
        <v>2518</v>
      </c>
      <c r="C245" s="10" t="s">
        <v>2526</v>
      </c>
      <c r="D245" s="10">
        <v>2432</v>
      </c>
      <c r="E245" s="10" t="s">
        <v>2797</v>
      </c>
      <c r="F245" s="10" t="s">
        <v>2580</v>
      </c>
      <c r="G245" s="10" t="s">
        <v>2308</v>
      </c>
      <c r="H245" s="10" t="s">
        <v>2776</v>
      </c>
      <c r="I245" s="10" t="s">
        <v>2310</v>
      </c>
    </row>
    <row r="246" spans="1:9" x14ac:dyDescent="0.25">
      <c r="A246">
        <v>26</v>
      </c>
      <c r="B246" s="10" t="s">
        <v>2518</v>
      </c>
      <c r="C246" s="10" t="s">
        <v>2526</v>
      </c>
      <c r="D246" s="10">
        <v>2435</v>
      </c>
      <c r="E246" s="10" t="s">
        <v>2798</v>
      </c>
      <c r="F246" s="10" t="s">
        <v>2705</v>
      </c>
      <c r="G246" s="10" t="s">
        <v>2706</v>
      </c>
      <c r="H246" s="10" t="s">
        <v>2660</v>
      </c>
      <c r="I246" s="10" t="s">
        <v>2707</v>
      </c>
    </row>
    <row r="247" spans="1:9" x14ac:dyDescent="0.25">
      <c r="A247">
        <v>27</v>
      </c>
      <c r="B247" s="10" t="s">
        <v>2518</v>
      </c>
      <c r="C247" s="10" t="s">
        <v>2526</v>
      </c>
      <c r="D247" s="10">
        <v>2437</v>
      </c>
      <c r="E247" s="10" t="s">
        <v>2799</v>
      </c>
      <c r="F247" s="10" t="s">
        <v>2705</v>
      </c>
      <c r="G247" s="10" t="s">
        <v>2706</v>
      </c>
      <c r="H247" s="10" t="s">
        <v>2660</v>
      </c>
      <c r="I247" s="10" t="s">
        <v>2707</v>
      </c>
    </row>
    <row r="248" spans="1:9" x14ac:dyDescent="0.25">
      <c r="A248">
        <v>55</v>
      </c>
      <c r="B248" s="10" t="s">
        <v>2518</v>
      </c>
      <c r="C248" s="10" t="s">
        <v>2533</v>
      </c>
      <c r="D248" s="10">
        <v>2438</v>
      </c>
      <c r="E248" s="10" t="s">
        <v>2800</v>
      </c>
      <c r="F248" s="10" t="s">
        <v>2333</v>
      </c>
      <c r="G248" s="10" t="s">
        <v>2334</v>
      </c>
      <c r="H248" s="10" t="s">
        <v>2587</v>
      </c>
      <c r="I248" s="10" t="s">
        <v>2336</v>
      </c>
    </row>
    <row r="249" spans="1:9" x14ac:dyDescent="0.25">
      <c r="A249">
        <v>6</v>
      </c>
      <c r="B249" s="10" t="s">
        <v>2518</v>
      </c>
      <c r="C249" s="10" t="s">
        <v>2765</v>
      </c>
      <c r="D249" s="10">
        <v>2439</v>
      </c>
      <c r="E249" s="10" t="s">
        <v>2801</v>
      </c>
      <c r="F249" s="10" t="s">
        <v>2767</v>
      </c>
      <c r="G249" s="10" t="s">
        <v>2768</v>
      </c>
      <c r="H249" s="11">
        <v>1.9</v>
      </c>
      <c r="I249" s="10">
        <v>1.25</v>
      </c>
    </row>
    <row r="250" spans="1:9" x14ac:dyDescent="0.25">
      <c r="A250">
        <v>56</v>
      </c>
      <c r="B250" s="10" t="s">
        <v>2518</v>
      </c>
      <c r="C250" s="10" t="s">
        <v>2533</v>
      </c>
      <c r="D250" s="10">
        <v>2442</v>
      </c>
      <c r="E250" s="10" t="s">
        <v>2802</v>
      </c>
      <c r="F250" s="10" t="s">
        <v>2390</v>
      </c>
      <c r="G250" s="10" t="s">
        <v>2391</v>
      </c>
      <c r="H250" s="10" t="s">
        <v>2324</v>
      </c>
      <c r="I250" s="10" t="s">
        <v>2118</v>
      </c>
    </row>
    <row r="251" spans="1:9" x14ac:dyDescent="0.25">
      <c r="A251">
        <v>28</v>
      </c>
      <c r="B251" s="10" t="s">
        <v>2518</v>
      </c>
      <c r="C251" s="10" t="s">
        <v>2526</v>
      </c>
      <c r="D251" s="10">
        <v>2443</v>
      </c>
      <c r="E251" s="10" t="s">
        <v>2803</v>
      </c>
      <c r="F251" s="10" t="s">
        <v>2804</v>
      </c>
      <c r="G251" s="10" t="s">
        <v>2805</v>
      </c>
      <c r="H251" s="10" t="s">
        <v>2268</v>
      </c>
      <c r="I251" s="10" t="s">
        <v>2374</v>
      </c>
    </row>
    <row r="252" spans="1:9" x14ac:dyDescent="0.25">
      <c r="A252">
        <v>57</v>
      </c>
      <c r="B252" s="10" t="s">
        <v>2518</v>
      </c>
      <c r="C252" s="10" t="s">
        <v>2533</v>
      </c>
      <c r="D252" s="10">
        <v>2444</v>
      </c>
      <c r="E252" s="10" t="s">
        <v>2806</v>
      </c>
      <c r="F252" s="10" t="s">
        <v>2333</v>
      </c>
      <c r="G252" s="10" t="s">
        <v>2334</v>
      </c>
      <c r="H252" s="10" t="s">
        <v>2587</v>
      </c>
      <c r="I252" s="10" t="s">
        <v>2336</v>
      </c>
    </row>
    <row r="253" spans="1:9" x14ac:dyDescent="0.25">
      <c r="A253">
        <v>29</v>
      </c>
      <c r="B253" s="10" t="s">
        <v>2518</v>
      </c>
      <c r="C253" s="10" t="s">
        <v>2526</v>
      </c>
      <c r="D253" s="10">
        <v>2446</v>
      </c>
      <c r="E253" s="10" t="s">
        <v>2807</v>
      </c>
      <c r="F253" s="10" t="s">
        <v>2580</v>
      </c>
      <c r="G253" s="10" t="s">
        <v>2308</v>
      </c>
      <c r="H253" s="10" t="s">
        <v>2776</v>
      </c>
      <c r="I253" s="10" t="s">
        <v>2310</v>
      </c>
    </row>
    <row r="254" spans="1:9" x14ac:dyDescent="0.25">
      <c r="A254">
        <v>58</v>
      </c>
      <c r="B254" s="10" t="s">
        <v>2518</v>
      </c>
      <c r="C254" s="10" t="s">
        <v>2533</v>
      </c>
      <c r="D254" s="10">
        <v>2449</v>
      </c>
      <c r="E254" s="10" t="s">
        <v>2808</v>
      </c>
      <c r="F254" s="10" t="s">
        <v>2333</v>
      </c>
      <c r="G254" s="10" t="s">
        <v>2334</v>
      </c>
      <c r="H254" s="10" t="s">
        <v>2587</v>
      </c>
      <c r="I254" s="10" t="s">
        <v>2336</v>
      </c>
    </row>
    <row r="255" spans="1:9" x14ac:dyDescent="0.25">
      <c r="A255">
        <v>30</v>
      </c>
      <c r="B255" s="10" t="s">
        <v>2518</v>
      </c>
      <c r="C255" s="10" t="s">
        <v>2526</v>
      </c>
      <c r="D255" s="10">
        <v>2451</v>
      </c>
      <c r="E255" s="10" t="s">
        <v>2809</v>
      </c>
      <c r="F255" s="10" t="s">
        <v>2580</v>
      </c>
      <c r="G255" s="10" t="s">
        <v>2308</v>
      </c>
      <c r="H255" s="10" t="s">
        <v>2776</v>
      </c>
      <c r="I255" s="10" t="s">
        <v>2310</v>
      </c>
    </row>
    <row r="256" spans="1:9" x14ac:dyDescent="0.25">
      <c r="A256">
        <v>59</v>
      </c>
      <c r="B256" s="10" t="s">
        <v>2518</v>
      </c>
      <c r="C256" s="10" t="s">
        <v>2533</v>
      </c>
      <c r="D256" s="10">
        <v>2452</v>
      </c>
      <c r="E256" s="10" t="s">
        <v>2810</v>
      </c>
      <c r="F256" s="10" t="s">
        <v>2390</v>
      </c>
      <c r="G256" s="10" t="s">
        <v>2391</v>
      </c>
      <c r="H256" s="10" t="s">
        <v>2324</v>
      </c>
      <c r="I256" s="10" t="s">
        <v>2118</v>
      </c>
    </row>
    <row r="257" spans="1:9" x14ac:dyDescent="0.25">
      <c r="A257">
        <v>71</v>
      </c>
      <c r="B257" s="10" t="s">
        <v>2518</v>
      </c>
      <c r="C257" s="10" t="s">
        <v>2538</v>
      </c>
      <c r="D257" s="10">
        <v>2453</v>
      </c>
      <c r="E257" s="10" t="s">
        <v>2811</v>
      </c>
      <c r="F257" s="10" t="s">
        <v>2730</v>
      </c>
      <c r="G257" s="10" t="s">
        <v>2812</v>
      </c>
      <c r="H257" s="10" t="s">
        <v>2813</v>
      </c>
      <c r="I257" s="10" t="s">
        <v>2341</v>
      </c>
    </row>
    <row r="258" spans="1:9" x14ac:dyDescent="0.25">
      <c r="A258">
        <v>72</v>
      </c>
      <c r="B258" s="10" t="s">
        <v>2518</v>
      </c>
      <c r="C258" s="10" t="s">
        <v>2538</v>
      </c>
      <c r="D258" s="10">
        <v>2454</v>
      </c>
      <c r="E258" s="10" t="s">
        <v>2814</v>
      </c>
      <c r="F258" s="10" t="s">
        <v>2730</v>
      </c>
      <c r="G258" s="10" t="s">
        <v>2812</v>
      </c>
      <c r="H258" s="10" t="s">
        <v>2813</v>
      </c>
      <c r="I258" s="10" t="s">
        <v>2341</v>
      </c>
    </row>
    <row r="259" spans="1:9" x14ac:dyDescent="0.25">
      <c r="A259">
        <v>73</v>
      </c>
      <c r="B259" s="10" t="s">
        <v>2518</v>
      </c>
      <c r="C259" s="10" t="s">
        <v>2538</v>
      </c>
      <c r="D259" s="10">
        <v>2455</v>
      </c>
      <c r="E259" s="10" t="s">
        <v>2815</v>
      </c>
      <c r="F259" s="10" t="s">
        <v>2730</v>
      </c>
      <c r="G259" s="10" t="s">
        <v>2812</v>
      </c>
      <c r="H259" s="10" t="s">
        <v>2813</v>
      </c>
      <c r="I259" s="10" t="s">
        <v>2341</v>
      </c>
    </row>
    <row r="260" spans="1:9" x14ac:dyDescent="0.25">
      <c r="A260">
        <v>31</v>
      </c>
      <c r="B260" s="10" t="s">
        <v>2518</v>
      </c>
      <c r="C260" s="10" t="s">
        <v>2526</v>
      </c>
      <c r="D260" s="10">
        <v>2456</v>
      </c>
      <c r="E260" s="10" t="s">
        <v>2816</v>
      </c>
      <c r="F260" s="10" t="s">
        <v>2705</v>
      </c>
      <c r="G260" s="10" t="s">
        <v>2706</v>
      </c>
      <c r="H260" s="10" t="s">
        <v>2660</v>
      </c>
      <c r="I260" s="10" t="s">
        <v>2707</v>
      </c>
    </row>
    <row r="261" spans="1:9" x14ac:dyDescent="0.25">
      <c r="A261">
        <v>74</v>
      </c>
      <c r="B261" s="10" t="s">
        <v>2518</v>
      </c>
      <c r="C261" s="10" t="s">
        <v>2538</v>
      </c>
      <c r="D261" s="10">
        <v>2457</v>
      </c>
      <c r="E261" s="10" t="s">
        <v>2817</v>
      </c>
      <c r="F261" s="10" t="s">
        <v>2730</v>
      </c>
      <c r="G261" s="10" t="s">
        <v>2812</v>
      </c>
      <c r="H261" s="10" t="s">
        <v>2813</v>
      </c>
      <c r="I261" s="10" t="s">
        <v>2341</v>
      </c>
    </row>
    <row r="262" spans="1:9" x14ac:dyDescent="0.25">
      <c r="A262">
        <v>32</v>
      </c>
      <c r="B262" s="10" t="s">
        <v>2518</v>
      </c>
      <c r="C262" s="10" t="s">
        <v>2526</v>
      </c>
      <c r="D262" s="10">
        <v>2458</v>
      </c>
      <c r="E262" s="10" t="s">
        <v>2818</v>
      </c>
      <c r="F262" s="10" t="s">
        <v>2705</v>
      </c>
      <c r="G262" s="10" t="s">
        <v>2706</v>
      </c>
      <c r="H262" s="10" t="s">
        <v>2660</v>
      </c>
      <c r="I262" s="10" t="s">
        <v>2707</v>
      </c>
    </row>
    <row r="263" spans="1:9" x14ac:dyDescent="0.25">
      <c r="A263">
        <v>75</v>
      </c>
      <c r="B263" s="10" t="s">
        <v>2518</v>
      </c>
      <c r="C263" s="10" t="s">
        <v>2538</v>
      </c>
      <c r="D263" s="10">
        <v>2459</v>
      </c>
      <c r="E263" s="10" t="s">
        <v>2819</v>
      </c>
      <c r="F263" s="10" t="s">
        <v>2730</v>
      </c>
      <c r="G263" s="10" t="s">
        <v>2812</v>
      </c>
      <c r="H263" s="10" t="s">
        <v>2813</v>
      </c>
      <c r="I263" s="10" t="s">
        <v>2341</v>
      </c>
    </row>
    <row r="264" spans="1:9" x14ac:dyDescent="0.25">
      <c r="A264">
        <v>76</v>
      </c>
      <c r="B264" s="10" t="s">
        <v>2518</v>
      </c>
      <c r="C264" s="10" t="s">
        <v>2538</v>
      </c>
      <c r="D264" s="10">
        <v>2460</v>
      </c>
      <c r="E264" s="10" t="s">
        <v>2820</v>
      </c>
      <c r="F264" s="10" t="s">
        <v>2730</v>
      </c>
      <c r="G264" s="10" t="s">
        <v>2812</v>
      </c>
      <c r="H264" s="10" t="s">
        <v>2813</v>
      </c>
      <c r="I264" s="10" t="s">
        <v>2341</v>
      </c>
    </row>
    <row r="265" spans="1:9" x14ac:dyDescent="0.25">
      <c r="A265">
        <v>33</v>
      </c>
      <c r="B265" s="10" t="s">
        <v>2518</v>
      </c>
      <c r="C265" s="10" t="s">
        <v>2526</v>
      </c>
      <c r="D265" s="10">
        <v>2461</v>
      </c>
      <c r="E265" s="10" t="s">
        <v>2821</v>
      </c>
      <c r="F265" s="10" t="s">
        <v>2705</v>
      </c>
      <c r="G265" s="10" t="s">
        <v>2706</v>
      </c>
      <c r="H265" s="10" t="s">
        <v>2660</v>
      </c>
      <c r="I265" s="10" t="s">
        <v>2707</v>
      </c>
    </row>
    <row r="266" spans="1:9" x14ac:dyDescent="0.25">
      <c r="A266">
        <v>34</v>
      </c>
      <c r="B266" s="10" t="s">
        <v>2518</v>
      </c>
      <c r="C266" s="10" t="s">
        <v>2526</v>
      </c>
      <c r="D266" s="10">
        <v>2463</v>
      </c>
      <c r="E266" s="10" t="s">
        <v>2822</v>
      </c>
      <c r="F266" s="10" t="s">
        <v>2580</v>
      </c>
      <c r="G266" s="10" t="s">
        <v>2308</v>
      </c>
      <c r="H266" s="10" t="s">
        <v>2776</v>
      </c>
      <c r="I266" s="10" t="s">
        <v>2310</v>
      </c>
    </row>
    <row r="267" spans="1:9" x14ac:dyDescent="0.25">
      <c r="A267">
        <v>60</v>
      </c>
      <c r="B267" s="10" t="s">
        <v>2518</v>
      </c>
      <c r="C267" s="10" t="s">
        <v>2533</v>
      </c>
      <c r="D267" s="10">
        <v>2465</v>
      </c>
      <c r="E267" s="10" t="s">
        <v>2823</v>
      </c>
      <c r="F267" s="10" t="s">
        <v>2390</v>
      </c>
      <c r="G267" s="10" t="s">
        <v>2391</v>
      </c>
      <c r="H267" s="10" t="s">
        <v>2324</v>
      </c>
      <c r="I267" s="10" t="s">
        <v>2118</v>
      </c>
    </row>
    <row r="268" spans="1:9" x14ac:dyDescent="0.25">
      <c r="A268">
        <v>35</v>
      </c>
      <c r="B268" s="10" t="s">
        <v>2518</v>
      </c>
      <c r="C268" s="10" t="s">
        <v>2526</v>
      </c>
      <c r="D268" s="10">
        <v>2466</v>
      </c>
      <c r="E268" s="10" t="s">
        <v>2824</v>
      </c>
      <c r="F268" s="10" t="s">
        <v>2705</v>
      </c>
      <c r="G268" s="10" t="s">
        <v>2706</v>
      </c>
      <c r="H268" s="10" t="s">
        <v>2660</v>
      </c>
      <c r="I268" s="10" t="s">
        <v>2707</v>
      </c>
    </row>
    <row r="269" spans="1:9" x14ac:dyDescent="0.25">
      <c r="A269">
        <v>7</v>
      </c>
      <c r="B269" s="10" t="s">
        <v>2518</v>
      </c>
      <c r="C269" s="10" t="s">
        <v>2765</v>
      </c>
      <c r="D269" s="10">
        <v>2467</v>
      </c>
      <c r="E269" s="10" t="s">
        <v>2825</v>
      </c>
      <c r="F269" s="10" t="s">
        <v>2767</v>
      </c>
      <c r="G269" s="10" t="s">
        <v>2768</v>
      </c>
      <c r="H269" s="11">
        <v>1.9</v>
      </c>
      <c r="I269" s="10">
        <v>1.25</v>
      </c>
    </row>
    <row r="270" spans="1:9" x14ac:dyDescent="0.25">
      <c r="A270">
        <v>8</v>
      </c>
      <c r="B270" s="10" t="s">
        <v>2518</v>
      </c>
      <c r="C270" s="10" t="s">
        <v>2765</v>
      </c>
      <c r="D270" s="10">
        <v>2469</v>
      </c>
      <c r="E270" s="10" t="s">
        <v>2826</v>
      </c>
      <c r="F270" s="10" t="s">
        <v>2767</v>
      </c>
      <c r="G270" s="10" t="s">
        <v>2768</v>
      </c>
      <c r="H270" s="11">
        <v>1.9</v>
      </c>
      <c r="I270" s="10">
        <v>1.25</v>
      </c>
    </row>
    <row r="271" spans="1:9" x14ac:dyDescent="0.25">
      <c r="A271">
        <v>175</v>
      </c>
      <c r="B271" s="10" t="s">
        <v>2518</v>
      </c>
      <c r="C271" s="10" t="s">
        <v>2709</v>
      </c>
      <c r="D271" s="10">
        <v>2470</v>
      </c>
      <c r="E271" s="10" t="s">
        <v>2827</v>
      </c>
      <c r="F271" s="10" t="s">
        <v>2828</v>
      </c>
      <c r="G271" s="10" t="s">
        <v>2829</v>
      </c>
      <c r="H271" s="10" t="s">
        <v>2329</v>
      </c>
      <c r="I271" s="10" t="s">
        <v>2329</v>
      </c>
    </row>
    <row r="272" spans="1:9" x14ac:dyDescent="0.25">
      <c r="A272">
        <v>176</v>
      </c>
      <c r="B272" s="10" t="s">
        <v>2518</v>
      </c>
      <c r="C272" s="10" t="s">
        <v>2709</v>
      </c>
      <c r="D272" s="10">
        <v>2471</v>
      </c>
      <c r="E272" s="10" t="s">
        <v>2570</v>
      </c>
      <c r="F272" s="10" t="s">
        <v>2830</v>
      </c>
      <c r="G272" s="10" t="s">
        <v>2831</v>
      </c>
      <c r="H272" s="10" t="s">
        <v>2425</v>
      </c>
      <c r="I272" s="10" t="s">
        <v>2425</v>
      </c>
    </row>
    <row r="273" spans="1:9" x14ac:dyDescent="0.25">
      <c r="A273">
        <v>177</v>
      </c>
      <c r="B273" s="10" t="s">
        <v>2518</v>
      </c>
      <c r="C273" s="10" t="s">
        <v>2709</v>
      </c>
      <c r="D273" s="10">
        <v>2472</v>
      </c>
      <c r="E273" s="10" t="s">
        <v>2832</v>
      </c>
      <c r="F273" s="10" t="s">
        <v>2266</v>
      </c>
      <c r="G273" s="10" t="s">
        <v>2684</v>
      </c>
      <c r="H273" s="10" t="s">
        <v>2420</v>
      </c>
      <c r="I273" s="10" t="s">
        <v>2420</v>
      </c>
    </row>
    <row r="274" spans="1:9" x14ac:dyDescent="0.25">
      <c r="A274">
        <v>178</v>
      </c>
      <c r="B274" s="10" t="s">
        <v>2518</v>
      </c>
      <c r="C274" s="10" t="s">
        <v>2709</v>
      </c>
      <c r="D274" s="10">
        <v>2473</v>
      </c>
      <c r="E274" s="10" t="s">
        <v>2833</v>
      </c>
      <c r="F274" s="10" t="s">
        <v>2228</v>
      </c>
      <c r="G274" s="10" t="s">
        <v>2834</v>
      </c>
      <c r="H274" s="10" t="s">
        <v>2264</v>
      </c>
      <c r="I274" s="10" t="s">
        <v>2264</v>
      </c>
    </row>
    <row r="275" spans="1:9" x14ac:dyDescent="0.25">
      <c r="A275">
        <v>179</v>
      </c>
      <c r="B275" s="10" t="s">
        <v>2518</v>
      </c>
      <c r="C275" s="10" t="s">
        <v>2709</v>
      </c>
      <c r="D275" s="10">
        <v>2474</v>
      </c>
      <c r="E275" s="10" t="s">
        <v>2835</v>
      </c>
      <c r="F275" s="10" t="s">
        <v>2406</v>
      </c>
      <c r="G275" s="10" t="s">
        <v>2273</v>
      </c>
      <c r="H275" s="10" t="s">
        <v>2241</v>
      </c>
      <c r="I275" s="10" t="s">
        <v>2241</v>
      </c>
    </row>
    <row r="276" spans="1:9" x14ac:dyDescent="0.25">
      <c r="A276">
        <v>180</v>
      </c>
      <c r="B276" s="10" t="s">
        <v>2518</v>
      </c>
      <c r="C276" s="10" t="s">
        <v>2709</v>
      </c>
      <c r="D276" s="10">
        <v>2475</v>
      </c>
      <c r="E276" s="10" t="s">
        <v>2836</v>
      </c>
      <c r="F276" s="10">
        <v>21.95</v>
      </c>
      <c r="G276" s="10">
        <v>0.91</v>
      </c>
      <c r="H276" s="10">
        <v>1.19</v>
      </c>
      <c r="I276" s="10">
        <v>1.19</v>
      </c>
    </row>
    <row r="277" spans="1:9" x14ac:dyDescent="0.25">
      <c r="A277">
        <v>181</v>
      </c>
      <c r="B277" s="10" t="s">
        <v>2518</v>
      </c>
      <c r="C277" s="10" t="s">
        <v>2709</v>
      </c>
      <c r="D277" s="10">
        <v>2476</v>
      </c>
      <c r="E277" s="10" t="s">
        <v>2837</v>
      </c>
      <c r="F277" s="10" t="s">
        <v>2580</v>
      </c>
      <c r="G277" s="10" t="s">
        <v>2308</v>
      </c>
      <c r="H277" s="10" t="s">
        <v>2310</v>
      </c>
      <c r="I277" s="10" t="s">
        <v>2310</v>
      </c>
    </row>
    <row r="278" spans="1:9" x14ac:dyDescent="0.25">
      <c r="A278">
        <v>182</v>
      </c>
      <c r="B278" s="10" t="s">
        <v>2518</v>
      </c>
      <c r="C278" s="10" t="s">
        <v>2709</v>
      </c>
      <c r="D278" s="10">
        <v>2477</v>
      </c>
      <c r="E278" s="10" t="s">
        <v>2575</v>
      </c>
      <c r="F278" s="10" t="s">
        <v>2607</v>
      </c>
      <c r="G278" s="10" t="s">
        <v>2302</v>
      </c>
      <c r="H278" s="10" t="s">
        <v>2304</v>
      </c>
      <c r="I278" s="10" t="s">
        <v>2304</v>
      </c>
    </row>
    <row r="279" spans="1:9" x14ac:dyDescent="0.25">
      <c r="A279">
        <v>183</v>
      </c>
      <c r="B279" s="10" t="s">
        <v>2518</v>
      </c>
      <c r="C279" s="10" t="s">
        <v>2709</v>
      </c>
      <c r="D279" s="10">
        <v>2478</v>
      </c>
      <c r="E279" s="10" t="s">
        <v>2578</v>
      </c>
      <c r="F279" s="10" t="s">
        <v>2228</v>
      </c>
      <c r="G279" s="10" t="s">
        <v>2834</v>
      </c>
      <c r="H279" s="10" t="s">
        <v>2264</v>
      </c>
      <c r="I279" s="10" t="s">
        <v>2264</v>
      </c>
    </row>
    <row r="280" spans="1:9" x14ac:dyDescent="0.25">
      <c r="A280">
        <v>184</v>
      </c>
      <c r="B280" s="10" t="s">
        <v>2518</v>
      </c>
      <c r="C280" s="10" t="s">
        <v>2709</v>
      </c>
      <c r="D280" s="10">
        <v>2479</v>
      </c>
      <c r="E280" s="10" t="s">
        <v>2838</v>
      </c>
      <c r="F280" s="10" t="s">
        <v>2493</v>
      </c>
      <c r="G280" s="10" t="s">
        <v>2839</v>
      </c>
      <c r="H280" s="10" t="s">
        <v>2263</v>
      </c>
      <c r="I280" s="10" t="s">
        <v>2263</v>
      </c>
    </row>
    <row r="281" spans="1:9" x14ac:dyDescent="0.25">
      <c r="A281">
        <v>185</v>
      </c>
      <c r="B281" s="10" t="s">
        <v>2518</v>
      </c>
      <c r="C281" s="10" t="s">
        <v>2709</v>
      </c>
      <c r="D281" s="10">
        <v>2480</v>
      </c>
      <c r="E281" s="10" t="s">
        <v>2840</v>
      </c>
      <c r="F281" s="10" t="s">
        <v>2702</v>
      </c>
      <c r="G281" s="10" t="s">
        <v>2267</v>
      </c>
      <c r="H281" s="10" t="s">
        <v>2269</v>
      </c>
      <c r="I281" s="10" t="s">
        <v>2269</v>
      </c>
    </row>
    <row r="282" spans="1:9" x14ac:dyDescent="0.25">
      <c r="A282">
        <v>186</v>
      </c>
      <c r="B282" s="10" t="s">
        <v>2518</v>
      </c>
      <c r="C282" s="10" t="s">
        <v>2709</v>
      </c>
      <c r="D282" s="10">
        <v>2481</v>
      </c>
      <c r="E282" s="10" t="s">
        <v>2841</v>
      </c>
      <c r="F282" s="10" t="s">
        <v>2257</v>
      </c>
      <c r="G282" s="10" t="s">
        <v>2475</v>
      </c>
      <c r="H282" s="10" t="s">
        <v>2477</v>
      </c>
      <c r="I282" s="10" t="s">
        <v>2477</v>
      </c>
    </row>
    <row r="283" spans="1:9" x14ac:dyDescent="0.25">
      <c r="A283">
        <v>187</v>
      </c>
      <c r="B283" s="10" t="s">
        <v>2518</v>
      </c>
      <c r="C283" s="10" t="s">
        <v>2709</v>
      </c>
      <c r="D283" s="10">
        <v>2482</v>
      </c>
      <c r="E283" s="10" t="s">
        <v>2842</v>
      </c>
      <c r="F283" s="10" t="s">
        <v>2843</v>
      </c>
      <c r="G283" s="10" t="s">
        <v>2656</v>
      </c>
      <c r="H283" s="10" t="s">
        <v>2363</v>
      </c>
      <c r="I283" s="10" t="s">
        <v>2363</v>
      </c>
    </row>
    <row r="284" spans="1:9" x14ac:dyDescent="0.25">
      <c r="A284">
        <v>188</v>
      </c>
      <c r="B284" s="10" t="s">
        <v>2518</v>
      </c>
      <c r="C284" s="10" t="s">
        <v>2709</v>
      </c>
      <c r="D284" s="10">
        <v>2483</v>
      </c>
      <c r="E284" s="10" t="s">
        <v>2844</v>
      </c>
      <c r="F284" s="10" t="s">
        <v>2557</v>
      </c>
      <c r="G284" s="10" t="s">
        <v>2558</v>
      </c>
      <c r="H284" s="10" t="s">
        <v>2374</v>
      </c>
      <c r="I284" s="10" t="s">
        <v>2374</v>
      </c>
    </row>
    <row r="285" spans="1:9" x14ac:dyDescent="0.25">
      <c r="A285">
        <v>189</v>
      </c>
      <c r="B285" s="10" t="s">
        <v>2518</v>
      </c>
      <c r="C285" s="10" t="s">
        <v>2709</v>
      </c>
      <c r="D285" s="10">
        <v>2484</v>
      </c>
      <c r="E285" s="10" t="s">
        <v>2845</v>
      </c>
      <c r="F285" s="10" t="s">
        <v>2347</v>
      </c>
      <c r="G285" s="10" t="s">
        <v>2621</v>
      </c>
      <c r="H285" s="10" t="s">
        <v>2329</v>
      </c>
      <c r="I285" s="10" t="s">
        <v>2329</v>
      </c>
    </row>
    <row r="286" spans="1:9" x14ac:dyDescent="0.25">
      <c r="A286">
        <v>190</v>
      </c>
      <c r="B286" s="10" t="s">
        <v>2518</v>
      </c>
      <c r="C286" s="10" t="s">
        <v>2709</v>
      </c>
      <c r="D286" s="10">
        <v>2485</v>
      </c>
      <c r="E286" s="10" t="s">
        <v>2846</v>
      </c>
      <c r="F286" s="10" t="s">
        <v>2528</v>
      </c>
      <c r="G286" s="10" t="s">
        <v>2529</v>
      </c>
      <c r="H286" s="10" t="s">
        <v>2776</v>
      </c>
      <c r="I286" s="10" t="s">
        <v>2776</v>
      </c>
    </row>
    <row r="287" spans="1:9" x14ac:dyDescent="0.25">
      <c r="A287">
        <v>191</v>
      </c>
      <c r="B287" s="10" t="s">
        <v>2518</v>
      </c>
      <c r="C287" s="10" t="s">
        <v>2709</v>
      </c>
      <c r="D287" s="10">
        <v>2486</v>
      </c>
      <c r="E287" s="10" t="s">
        <v>2847</v>
      </c>
      <c r="F287" s="10" t="s">
        <v>2580</v>
      </c>
      <c r="G287" s="10" t="s">
        <v>2308</v>
      </c>
      <c r="H287" s="10" t="s">
        <v>2310</v>
      </c>
      <c r="I287" s="10" t="s">
        <v>2310</v>
      </c>
    </row>
    <row r="288" spans="1:9" x14ac:dyDescent="0.25">
      <c r="A288">
        <v>192</v>
      </c>
      <c r="B288" s="10" t="s">
        <v>2518</v>
      </c>
      <c r="C288" s="10" t="s">
        <v>2709</v>
      </c>
      <c r="D288" s="10">
        <v>2487</v>
      </c>
      <c r="E288" s="10" t="s">
        <v>2848</v>
      </c>
      <c r="F288" s="10" t="s">
        <v>2365</v>
      </c>
      <c r="G288" s="10" t="s">
        <v>2849</v>
      </c>
      <c r="H288" s="10" t="s">
        <v>2850</v>
      </c>
      <c r="I288" s="10" t="s">
        <v>2850</v>
      </c>
    </row>
    <row r="289" spans="1:9" x14ac:dyDescent="0.25">
      <c r="A289">
        <v>193</v>
      </c>
      <c r="B289" s="10" t="s">
        <v>2518</v>
      </c>
      <c r="C289" s="10" t="s">
        <v>2709</v>
      </c>
      <c r="D289" s="10">
        <v>2488</v>
      </c>
      <c r="E289" s="10" t="s">
        <v>2851</v>
      </c>
      <c r="F289" s="10" t="s">
        <v>2557</v>
      </c>
      <c r="G289" s="10" t="s">
        <v>2558</v>
      </c>
      <c r="H289" s="10" t="s">
        <v>2374</v>
      </c>
      <c r="I289" s="10" t="s">
        <v>2374</v>
      </c>
    </row>
    <row r="290" spans="1:9" x14ac:dyDescent="0.25">
      <c r="A290">
        <v>194</v>
      </c>
      <c r="B290" s="10" t="s">
        <v>2518</v>
      </c>
      <c r="C290" s="10" t="s">
        <v>2709</v>
      </c>
      <c r="D290" s="10">
        <v>2489</v>
      </c>
      <c r="E290" s="10" t="s">
        <v>2852</v>
      </c>
      <c r="F290" s="10" t="s">
        <v>2557</v>
      </c>
      <c r="G290" s="10" t="s">
        <v>2558</v>
      </c>
      <c r="H290" s="10" t="s">
        <v>2374</v>
      </c>
      <c r="I290" s="10" t="s">
        <v>2374</v>
      </c>
    </row>
    <row r="291" spans="1:9" x14ac:dyDescent="0.25">
      <c r="A291">
        <v>195</v>
      </c>
      <c r="B291" s="10" t="s">
        <v>2518</v>
      </c>
      <c r="C291" s="10" t="s">
        <v>2709</v>
      </c>
      <c r="D291" s="10">
        <v>2490</v>
      </c>
      <c r="E291" s="10" t="s">
        <v>2853</v>
      </c>
      <c r="F291" s="10" t="s">
        <v>2493</v>
      </c>
      <c r="G291" s="10" t="s">
        <v>2839</v>
      </c>
      <c r="H291" s="10" t="s">
        <v>2263</v>
      </c>
      <c r="I291" s="10" t="s">
        <v>2263</v>
      </c>
    </row>
    <row r="292" spans="1:9" x14ac:dyDescent="0.25">
      <c r="A292">
        <v>196</v>
      </c>
      <c r="B292" s="10" t="s">
        <v>2518</v>
      </c>
      <c r="C292" s="10" t="s">
        <v>2709</v>
      </c>
      <c r="D292" s="10">
        <v>2491</v>
      </c>
      <c r="E292" s="10" t="s">
        <v>2854</v>
      </c>
      <c r="F292" s="10" t="s">
        <v>2365</v>
      </c>
      <c r="G292" s="10" t="s">
        <v>2849</v>
      </c>
      <c r="H292" s="10" t="s">
        <v>2850</v>
      </c>
      <c r="I292" s="10" t="s">
        <v>2850</v>
      </c>
    </row>
    <row r="293" spans="1:9" x14ac:dyDescent="0.25">
      <c r="A293">
        <v>197</v>
      </c>
      <c r="B293" s="10" t="s">
        <v>2518</v>
      </c>
      <c r="C293" s="10" t="s">
        <v>2709</v>
      </c>
      <c r="D293" s="10">
        <v>2492</v>
      </c>
      <c r="E293" s="10" t="s">
        <v>2855</v>
      </c>
      <c r="F293" s="10" t="s">
        <v>2690</v>
      </c>
      <c r="G293" s="10" t="s">
        <v>2856</v>
      </c>
      <c r="H293" s="10" t="s">
        <v>2707</v>
      </c>
      <c r="I293" s="10" t="s">
        <v>2707</v>
      </c>
    </row>
    <row r="294" spans="1:9" x14ac:dyDescent="0.25">
      <c r="A294">
        <v>198</v>
      </c>
      <c r="B294" s="10" t="s">
        <v>2518</v>
      </c>
      <c r="C294" s="10" t="s">
        <v>2709</v>
      </c>
      <c r="D294" s="10">
        <v>2493</v>
      </c>
      <c r="E294" s="10" t="s">
        <v>2857</v>
      </c>
      <c r="F294" s="10" t="s">
        <v>2365</v>
      </c>
      <c r="G294" s="10" t="s">
        <v>2849</v>
      </c>
      <c r="H294" s="10" t="s">
        <v>2582</v>
      </c>
      <c r="I294" s="10" t="s">
        <v>2582</v>
      </c>
    </row>
    <row r="295" spans="1:9" x14ac:dyDescent="0.25">
      <c r="A295">
        <v>199</v>
      </c>
      <c r="B295" s="10" t="s">
        <v>2518</v>
      </c>
      <c r="C295" s="10" t="s">
        <v>2709</v>
      </c>
      <c r="D295" s="10">
        <v>2494</v>
      </c>
      <c r="E295" s="10" t="s">
        <v>2858</v>
      </c>
      <c r="F295" s="10" t="s">
        <v>2690</v>
      </c>
      <c r="G295" s="10" t="s">
        <v>2856</v>
      </c>
      <c r="H295" s="10" t="s">
        <v>2707</v>
      </c>
      <c r="I295" s="10" t="s">
        <v>2707</v>
      </c>
    </row>
    <row r="296" spans="1:9" x14ac:dyDescent="0.25">
      <c r="A296">
        <v>200</v>
      </c>
      <c r="B296" s="10" t="s">
        <v>2518</v>
      </c>
      <c r="C296" s="10" t="s">
        <v>2709</v>
      </c>
      <c r="D296" s="10">
        <v>2495</v>
      </c>
      <c r="E296" s="10" t="s">
        <v>2859</v>
      </c>
      <c r="F296" s="10" t="s">
        <v>2412</v>
      </c>
      <c r="G296" s="10" t="s">
        <v>2860</v>
      </c>
      <c r="H296" s="10" t="s">
        <v>2477</v>
      </c>
      <c r="I296" s="10" t="s">
        <v>2477</v>
      </c>
    </row>
    <row r="297" spans="1:9" x14ac:dyDescent="0.25">
      <c r="A297">
        <v>201</v>
      </c>
      <c r="B297" s="10" t="s">
        <v>2518</v>
      </c>
      <c r="C297" s="10" t="s">
        <v>2709</v>
      </c>
      <c r="D297" s="10">
        <v>2496</v>
      </c>
      <c r="E297" s="10" t="s">
        <v>2861</v>
      </c>
      <c r="F297" s="10" t="s">
        <v>2690</v>
      </c>
      <c r="G297" s="10" t="s">
        <v>2856</v>
      </c>
      <c r="H297" s="10" t="s">
        <v>2707</v>
      </c>
      <c r="I297" s="10" t="s">
        <v>2707</v>
      </c>
    </row>
    <row r="298" spans="1:9" x14ac:dyDescent="0.25">
      <c r="A298">
        <v>202</v>
      </c>
      <c r="B298" s="10" t="s">
        <v>2518</v>
      </c>
      <c r="C298" s="10" t="s">
        <v>2709</v>
      </c>
      <c r="D298" s="10">
        <v>2497</v>
      </c>
      <c r="E298" s="10" t="s">
        <v>2862</v>
      </c>
      <c r="F298" s="10" t="s">
        <v>2210</v>
      </c>
      <c r="G298" s="10" t="s">
        <v>2706</v>
      </c>
      <c r="H298" s="10" t="s">
        <v>2707</v>
      </c>
      <c r="I298" s="10" t="s">
        <v>2707</v>
      </c>
    </row>
    <row r="299" spans="1:9" x14ac:dyDescent="0.25">
      <c r="A299">
        <v>203</v>
      </c>
      <c r="B299" s="10" t="s">
        <v>2518</v>
      </c>
      <c r="C299" s="10" t="s">
        <v>2709</v>
      </c>
      <c r="D299" s="10">
        <v>2498</v>
      </c>
      <c r="E299" s="10" t="s">
        <v>2863</v>
      </c>
      <c r="F299" s="10" t="s">
        <v>2210</v>
      </c>
      <c r="G299" s="10" t="s">
        <v>2706</v>
      </c>
      <c r="H299" s="10" t="s">
        <v>2707</v>
      </c>
      <c r="I299" s="10" t="s">
        <v>2707</v>
      </c>
    </row>
    <row r="300" spans="1:9" x14ac:dyDescent="0.25">
      <c r="A300">
        <v>204</v>
      </c>
      <c r="B300" s="10" t="s">
        <v>2518</v>
      </c>
      <c r="C300" s="10" t="s">
        <v>2709</v>
      </c>
      <c r="D300" s="10">
        <v>2499</v>
      </c>
      <c r="E300" s="10" t="s">
        <v>2864</v>
      </c>
      <c r="F300" s="10" t="s">
        <v>2865</v>
      </c>
      <c r="G300" s="10" t="s">
        <v>2866</v>
      </c>
      <c r="H300" s="10" t="s">
        <v>2867</v>
      </c>
      <c r="I300" s="10" t="s">
        <v>2868</v>
      </c>
    </row>
    <row r="301" spans="1:9" x14ac:dyDescent="0.25">
      <c r="A301">
        <v>205</v>
      </c>
      <c r="B301" s="10" t="s">
        <v>2518</v>
      </c>
      <c r="C301" s="10" t="s">
        <v>2709</v>
      </c>
      <c r="D301" s="10">
        <v>2500</v>
      </c>
      <c r="E301" s="10" t="s">
        <v>2869</v>
      </c>
      <c r="F301" s="10" t="s">
        <v>2870</v>
      </c>
      <c r="G301" s="10" t="s">
        <v>2871</v>
      </c>
      <c r="H301" s="10" t="s">
        <v>2213</v>
      </c>
      <c r="I301" s="10" t="s">
        <v>2213</v>
      </c>
    </row>
    <row r="302" spans="1:9" x14ac:dyDescent="0.25">
      <c r="A302">
        <v>206</v>
      </c>
      <c r="B302" s="10" t="s">
        <v>2518</v>
      </c>
      <c r="C302" s="10" t="s">
        <v>2709</v>
      </c>
      <c r="D302" s="10">
        <v>2501</v>
      </c>
      <c r="E302" s="10" t="s">
        <v>2872</v>
      </c>
      <c r="F302" s="10" t="s">
        <v>2580</v>
      </c>
      <c r="G302" s="10" t="s">
        <v>2308</v>
      </c>
      <c r="H302" s="10" t="s">
        <v>2310</v>
      </c>
      <c r="I302" s="10" t="s">
        <v>2310</v>
      </c>
    </row>
    <row r="303" spans="1:9" x14ac:dyDescent="0.25">
      <c r="A303">
        <v>207</v>
      </c>
      <c r="B303" s="10" t="s">
        <v>2518</v>
      </c>
      <c r="C303" s="10" t="s">
        <v>2709</v>
      </c>
      <c r="D303" s="10">
        <v>2502</v>
      </c>
      <c r="E303" s="10" t="s">
        <v>2873</v>
      </c>
      <c r="F303" s="10" t="s">
        <v>2874</v>
      </c>
      <c r="G303" s="10" t="s">
        <v>2391</v>
      </c>
      <c r="H303" s="10" t="s">
        <v>2118</v>
      </c>
      <c r="I303" s="10" t="s">
        <v>2118</v>
      </c>
    </row>
    <row r="304" spans="1:9" x14ac:dyDescent="0.25">
      <c r="A304">
        <v>208</v>
      </c>
      <c r="B304" s="10" t="s">
        <v>2518</v>
      </c>
      <c r="C304" s="10" t="s">
        <v>2709</v>
      </c>
      <c r="D304" s="10">
        <v>2503</v>
      </c>
      <c r="E304" s="10" t="s">
        <v>2875</v>
      </c>
      <c r="F304" s="10" t="s">
        <v>2747</v>
      </c>
      <c r="G304" s="10" t="s">
        <v>2467</v>
      </c>
      <c r="H304" s="10" t="s">
        <v>2319</v>
      </c>
      <c r="I304" s="10" t="s">
        <v>2319</v>
      </c>
    </row>
    <row r="305" spans="1:9" x14ac:dyDescent="0.25">
      <c r="A305">
        <v>209</v>
      </c>
      <c r="B305" s="10" t="s">
        <v>2518</v>
      </c>
      <c r="C305" s="10" t="s">
        <v>2709</v>
      </c>
      <c r="D305" s="10">
        <v>2504</v>
      </c>
      <c r="E305" s="10" t="s">
        <v>2876</v>
      </c>
      <c r="F305" s="10" t="s">
        <v>2865</v>
      </c>
      <c r="G305" s="10" t="s">
        <v>2866</v>
      </c>
      <c r="H305" s="10" t="s">
        <v>2868</v>
      </c>
      <c r="I305" s="10" t="s">
        <v>2868</v>
      </c>
    </row>
    <row r="306" spans="1:9" x14ac:dyDescent="0.25">
      <c r="A306">
        <v>210</v>
      </c>
      <c r="B306" s="10" t="s">
        <v>2518</v>
      </c>
      <c r="C306" s="10" t="s">
        <v>2709</v>
      </c>
      <c r="D306" s="10">
        <v>2506</v>
      </c>
      <c r="E306" s="10" t="s">
        <v>2877</v>
      </c>
      <c r="F306" s="10" t="s">
        <v>2878</v>
      </c>
      <c r="G306" s="10" t="s">
        <v>2879</v>
      </c>
      <c r="H306" s="10" t="s">
        <v>2880</v>
      </c>
      <c r="I306" s="10" t="s">
        <v>2880</v>
      </c>
    </row>
    <row r="307" spans="1:9" x14ac:dyDescent="0.25">
      <c r="A307">
        <v>211</v>
      </c>
      <c r="B307" s="10" t="s">
        <v>2518</v>
      </c>
      <c r="C307" s="10" t="s">
        <v>2709</v>
      </c>
      <c r="D307" s="10">
        <v>2509</v>
      </c>
      <c r="E307" s="10" t="s">
        <v>2881</v>
      </c>
      <c r="F307" s="10" t="s">
        <v>2878</v>
      </c>
      <c r="G307" s="10" t="s">
        <v>2879</v>
      </c>
      <c r="H307" s="10" t="s">
        <v>2880</v>
      </c>
      <c r="I307" s="10" t="s">
        <v>2880</v>
      </c>
    </row>
    <row r="308" spans="1:9" x14ac:dyDescent="0.25">
      <c r="A308">
        <v>212</v>
      </c>
      <c r="B308" s="10" t="s">
        <v>2518</v>
      </c>
      <c r="C308" s="10" t="s">
        <v>2709</v>
      </c>
      <c r="D308" s="10">
        <v>2510</v>
      </c>
      <c r="E308" s="10" t="s">
        <v>2882</v>
      </c>
      <c r="F308" s="10" t="s">
        <v>2878</v>
      </c>
      <c r="G308" s="10" t="s">
        <v>2879</v>
      </c>
      <c r="H308" s="10" t="s">
        <v>2880</v>
      </c>
      <c r="I308" s="10" t="s">
        <v>2880</v>
      </c>
    </row>
    <row r="309" spans="1:9" x14ac:dyDescent="0.25">
      <c r="A309">
        <v>213</v>
      </c>
      <c r="B309" s="10" t="s">
        <v>2518</v>
      </c>
      <c r="C309" s="10" t="s">
        <v>2709</v>
      </c>
      <c r="D309" s="10">
        <v>2513</v>
      </c>
      <c r="E309" s="10" t="s">
        <v>2883</v>
      </c>
      <c r="F309" s="10" t="s">
        <v>2557</v>
      </c>
      <c r="G309" s="10" t="s">
        <v>2558</v>
      </c>
      <c r="H309" s="10" t="s">
        <v>2374</v>
      </c>
      <c r="I309" s="10" t="s">
        <v>2374</v>
      </c>
    </row>
    <row r="310" spans="1:9" x14ac:dyDescent="0.25">
      <c r="A310">
        <v>219</v>
      </c>
      <c r="B310" s="10" t="s">
        <v>2518</v>
      </c>
      <c r="C310" s="10" t="s">
        <v>2789</v>
      </c>
      <c r="D310" s="10">
        <v>2514</v>
      </c>
      <c r="E310" s="10" t="s">
        <v>2884</v>
      </c>
      <c r="F310" s="10" t="s">
        <v>2239</v>
      </c>
      <c r="G310" s="10" t="s">
        <v>2885</v>
      </c>
      <c r="H310" s="10" t="s">
        <v>2665</v>
      </c>
      <c r="I310" s="10" t="s">
        <v>2886</v>
      </c>
    </row>
    <row r="311" spans="1:9" x14ac:dyDescent="0.25">
      <c r="A311">
        <v>220</v>
      </c>
      <c r="B311" s="10" t="s">
        <v>2518</v>
      </c>
      <c r="C311" s="10" t="s">
        <v>2789</v>
      </c>
      <c r="D311" s="10">
        <v>2515</v>
      </c>
      <c r="E311" s="10" t="s">
        <v>2887</v>
      </c>
      <c r="F311" s="10" t="s">
        <v>2380</v>
      </c>
      <c r="G311" s="10" t="s">
        <v>2888</v>
      </c>
      <c r="H311" s="10" t="s">
        <v>2452</v>
      </c>
      <c r="I311" s="10" t="s">
        <v>2889</v>
      </c>
    </row>
    <row r="312" spans="1:9" x14ac:dyDescent="0.25">
      <c r="A312">
        <v>221</v>
      </c>
      <c r="B312" s="10" t="s">
        <v>2518</v>
      </c>
      <c r="C312" s="10" t="s">
        <v>2789</v>
      </c>
      <c r="D312" s="10">
        <v>2516</v>
      </c>
      <c r="E312" s="10" t="s">
        <v>2890</v>
      </c>
      <c r="F312" s="10" t="s">
        <v>2598</v>
      </c>
      <c r="G312" s="10" t="s">
        <v>2891</v>
      </c>
      <c r="H312" s="10" t="s">
        <v>2291</v>
      </c>
      <c r="I312" s="10" t="s">
        <v>2424</v>
      </c>
    </row>
    <row r="313" spans="1:9" x14ac:dyDescent="0.25">
      <c r="A313">
        <v>222</v>
      </c>
      <c r="B313" s="10" t="s">
        <v>2518</v>
      </c>
      <c r="C313" s="10" t="s">
        <v>2789</v>
      </c>
      <c r="D313" s="10">
        <v>2517</v>
      </c>
      <c r="E313" s="10" t="s">
        <v>2892</v>
      </c>
      <c r="F313" s="10" t="s">
        <v>2893</v>
      </c>
      <c r="G313" s="10" t="s">
        <v>2894</v>
      </c>
      <c r="H313" s="10" t="s">
        <v>2895</v>
      </c>
      <c r="I313" s="10" t="s">
        <v>2896</v>
      </c>
    </row>
    <row r="314" spans="1:9" x14ac:dyDescent="0.25">
      <c r="A314">
        <v>223</v>
      </c>
      <c r="B314" s="10" t="s">
        <v>2518</v>
      </c>
      <c r="C314" s="10" t="s">
        <v>2789</v>
      </c>
      <c r="D314" s="10">
        <v>2518</v>
      </c>
      <c r="E314" s="10" t="s">
        <v>2897</v>
      </c>
      <c r="F314" s="10" t="s">
        <v>2898</v>
      </c>
      <c r="G314" s="10" t="s">
        <v>2899</v>
      </c>
      <c r="H314" s="10" t="s">
        <v>2629</v>
      </c>
      <c r="I314" s="10" t="s">
        <v>2175</v>
      </c>
    </row>
    <row r="315" spans="1:9" x14ac:dyDescent="0.25">
      <c r="A315">
        <v>224</v>
      </c>
      <c r="B315" s="10" t="s">
        <v>2518</v>
      </c>
      <c r="C315" s="10" t="s">
        <v>2789</v>
      </c>
      <c r="D315" s="10">
        <v>2519</v>
      </c>
      <c r="E315" s="10" t="s">
        <v>2900</v>
      </c>
      <c r="F315" s="10" t="s">
        <v>2901</v>
      </c>
      <c r="G315" s="10" t="s">
        <v>2902</v>
      </c>
      <c r="H315" s="10" t="s">
        <v>2903</v>
      </c>
      <c r="I315" s="10" t="s">
        <v>2904</v>
      </c>
    </row>
    <row r="316" spans="1:9" x14ac:dyDescent="0.25">
      <c r="A316">
        <v>225</v>
      </c>
      <c r="B316" s="10" t="s">
        <v>2518</v>
      </c>
      <c r="C316" s="10" t="s">
        <v>2789</v>
      </c>
      <c r="D316" s="10">
        <v>2520</v>
      </c>
      <c r="E316" s="10" t="s">
        <v>2905</v>
      </c>
      <c r="F316" s="10" t="s">
        <v>2262</v>
      </c>
      <c r="G316" s="10" t="s">
        <v>2906</v>
      </c>
      <c r="H316" s="10" t="s">
        <v>2907</v>
      </c>
      <c r="I316" s="10" t="s">
        <v>2908</v>
      </c>
    </row>
    <row r="317" spans="1:9" x14ac:dyDescent="0.25">
      <c r="A317">
        <v>226</v>
      </c>
      <c r="B317" s="10" t="s">
        <v>2518</v>
      </c>
      <c r="C317" s="10" t="s">
        <v>2789</v>
      </c>
      <c r="D317" s="10">
        <v>2521</v>
      </c>
      <c r="E317" s="10" t="s">
        <v>2909</v>
      </c>
      <c r="F317" s="10" t="s">
        <v>2598</v>
      </c>
      <c r="G317" s="10" t="s">
        <v>2891</v>
      </c>
      <c r="H317" s="10" t="s">
        <v>2291</v>
      </c>
      <c r="I317" s="10" t="s">
        <v>2424</v>
      </c>
    </row>
    <row r="318" spans="1:9" x14ac:dyDescent="0.25">
      <c r="A318">
        <v>227</v>
      </c>
      <c r="B318" s="10" t="s">
        <v>2518</v>
      </c>
      <c r="C318" s="10" t="s">
        <v>2789</v>
      </c>
      <c r="D318" s="10">
        <v>2522</v>
      </c>
      <c r="E318" s="10" t="s">
        <v>2910</v>
      </c>
      <c r="F318" s="10" t="s">
        <v>2744</v>
      </c>
      <c r="G318" s="10" t="s">
        <v>2480</v>
      </c>
      <c r="H318" s="10" t="s">
        <v>2911</v>
      </c>
      <c r="I318" s="10" t="s">
        <v>2912</v>
      </c>
    </row>
    <row r="319" spans="1:9" x14ac:dyDescent="0.25">
      <c r="A319">
        <v>228</v>
      </c>
      <c r="B319" s="10" t="s">
        <v>2518</v>
      </c>
      <c r="C319" s="10" t="s">
        <v>2789</v>
      </c>
      <c r="D319" s="10">
        <v>2523</v>
      </c>
      <c r="E319" s="10" t="s">
        <v>2913</v>
      </c>
      <c r="F319" s="10" t="s">
        <v>2611</v>
      </c>
      <c r="G319" s="10" t="s">
        <v>2914</v>
      </c>
      <c r="H319" s="10" t="s">
        <v>2554</v>
      </c>
      <c r="I319" s="10" t="s">
        <v>2123</v>
      </c>
    </row>
    <row r="320" spans="1:9" x14ac:dyDescent="0.25">
      <c r="A320">
        <v>229</v>
      </c>
      <c r="B320" s="10" t="s">
        <v>2518</v>
      </c>
      <c r="C320" s="10" t="s">
        <v>2789</v>
      </c>
      <c r="D320" s="10">
        <v>2524</v>
      </c>
      <c r="E320" s="10" t="s">
        <v>2915</v>
      </c>
      <c r="F320" s="10" t="s">
        <v>2470</v>
      </c>
      <c r="G320" s="10" t="s">
        <v>2916</v>
      </c>
      <c r="H320" s="10" t="s">
        <v>2596</v>
      </c>
      <c r="I320" s="10" t="s">
        <v>2917</v>
      </c>
    </row>
    <row r="321" spans="1:9" x14ac:dyDescent="0.25">
      <c r="A321">
        <v>230</v>
      </c>
      <c r="B321" s="10" t="s">
        <v>2518</v>
      </c>
      <c r="C321" s="10" t="s">
        <v>2789</v>
      </c>
      <c r="D321" s="10">
        <v>2525</v>
      </c>
      <c r="E321" s="10" t="s">
        <v>2918</v>
      </c>
      <c r="F321" s="10" t="s">
        <v>2215</v>
      </c>
      <c r="G321" s="10" t="s">
        <v>2919</v>
      </c>
      <c r="H321" s="10" t="s">
        <v>2642</v>
      </c>
      <c r="I321" s="10" t="s">
        <v>2547</v>
      </c>
    </row>
    <row r="322" spans="1:9" x14ac:dyDescent="0.25">
      <c r="A322">
        <v>231</v>
      </c>
      <c r="B322" s="10" t="s">
        <v>2518</v>
      </c>
      <c r="C322" s="10" t="s">
        <v>2789</v>
      </c>
      <c r="D322" s="10">
        <v>2526</v>
      </c>
      <c r="E322" s="10" t="s">
        <v>2920</v>
      </c>
      <c r="F322" s="10" t="s">
        <v>2220</v>
      </c>
      <c r="G322" s="10" t="s">
        <v>2231</v>
      </c>
      <c r="H322" s="10" t="s">
        <v>2921</v>
      </c>
      <c r="I322" s="10" t="s">
        <v>2251</v>
      </c>
    </row>
    <row r="323" spans="1:9" x14ac:dyDescent="0.25">
      <c r="A323">
        <v>234</v>
      </c>
      <c r="B323" s="10" t="s">
        <v>2518</v>
      </c>
      <c r="C323" s="10" t="s">
        <v>2922</v>
      </c>
      <c r="D323" s="10">
        <v>2527</v>
      </c>
      <c r="E323" s="10" t="s">
        <v>2923</v>
      </c>
      <c r="F323" s="10" t="s">
        <v>2924</v>
      </c>
      <c r="G323" s="10" t="s">
        <v>2925</v>
      </c>
      <c r="H323" s="10" t="s">
        <v>2443</v>
      </c>
      <c r="I323" s="10" t="s">
        <v>2926</v>
      </c>
    </row>
    <row r="324" spans="1:9" x14ac:dyDescent="0.25">
      <c r="A324">
        <v>235</v>
      </c>
      <c r="B324" s="10" t="s">
        <v>2518</v>
      </c>
      <c r="C324" s="10" t="s">
        <v>2922</v>
      </c>
      <c r="D324" s="10">
        <v>2528</v>
      </c>
      <c r="E324" s="10" t="s">
        <v>2927</v>
      </c>
      <c r="F324" s="10" t="s">
        <v>2928</v>
      </c>
      <c r="G324" s="10" t="s">
        <v>2929</v>
      </c>
      <c r="H324" s="10" t="s">
        <v>2603</v>
      </c>
      <c r="I324" s="10" t="s">
        <v>2930</v>
      </c>
    </row>
    <row r="325" spans="1:9" x14ac:dyDescent="0.25">
      <c r="A325">
        <v>236</v>
      </c>
      <c r="B325" s="10" t="s">
        <v>2518</v>
      </c>
      <c r="C325" s="10" t="s">
        <v>2922</v>
      </c>
      <c r="D325" s="10">
        <v>2529</v>
      </c>
      <c r="E325" s="10" t="s">
        <v>2931</v>
      </c>
      <c r="F325" s="10" t="s">
        <v>2932</v>
      </c>
      <c r="G325" s="10" t="s">
        <v>2933</v>
      </c>
      <c r="H325" s="10" t="s">
        <v>2596</v>
      </c>
      <c r="I325" s="10" t="s">
        <v>2934</v>
      </c>
    </row>
    <row r="326" spans="1:9" x14ac:dyDescent="0.25">
      <c r="A326">
        <v>1675</v>
      </c>
      <c r="B326" s="10" t="s">
        <v>2593</v>
      </c>
      <c r="C326" s="10" t="s">
        <v>2696</v>
      </c>
      <c r="D326" s="10">
        <v>2531</v>
      </c>
      <c r="E326" s="10" t="s">
        <v>2935</v>
      </c>
      <c r="F326" s="10" t="s">
        <v>2220</v>
      </c>
      <c r="G326" s="10" t="s">
        <v>2418</v>
      </c>
      <c r="H326" s="10" t="s">
        <v>2583</v>
      </c>
      <c r="I326" s="10" t="s">
        <v>2420</v>
      </c>
    </row>
    <row r="327" spans="1:9" x14ac:dyDescent="0.25">
      <c r="A327">
        <v>1676</v>
      </c>
      <c r="B327" s="10" t="s">
        <v>2593</v>
      </c>
      <c r="C327" s="10" t="s">
        <v>2696</v>
      </c>
      <c r="D327" s="10">
        <v>2533</v>
      </c>
      <c r="E327" s="10" t="s">
        <v>2936</v>
      </c>
      <c r="F327" s="10">
        <v>21.75</v>
      </c>
      <c r="G327" s="10">
        <v>0.91</v>
      </c>
      <c r="H327" s="10">
        <v>2.2400000000000002</v>
      </c>
      <c r="I327" s="10">
        <v>1.19</v>
      </c>
    </row>
    <row r="328" spans="1:9" x14ac:dyDescent="0.25">
      <c r="A328">
        <v>214</v>
      </c>
      <c r="B328" s="10" t="s">
        <v>2518</v>
      </c>
      <c r="C328" s="10" t="s">
        <v>2709</v>
      </c>
      <c r="D328" s="10">
        <v>2534</v>
      </c>
      <c r="E328" s="10" t="s">
        <v>2937</v>
      </c>
      <c r="F328" s="10" t="s">
        <v>2938</v>
      </c>
      <c r="G328" s="10" t="s">
        <v>2939</v>
      </c>
      <c r="H328" s="10" t="s">
        <v>2363</v>
      </c>
      <c r="I328" s="10" t="s">
        <v>2363</v>
      </c>
    </row>
    <row r="329" spans="1:9" x14ac:dyDescent="0.25">
      <c r="A329">
        <v>1677</v>
      </c>
      <c r="B329" s="10" t="s">
        <v>2593</v>
      </c>
      <c r="C329" s="10" t="s">
        <v>2696</v>
      </c>
      <c r="D329" s="10">
        <v>2535</v>
      </c>
      <c r="E329" s="10" t="s">
        <v>2940</v>
      </c>
      <c r="F329" s="10" t="s">
        <v>2510</v>
      </c>
      <c r="G329" s="10" t="s">
        <v>2941</v>
      </c>
      <c r="H329" s="10" t="s">
        <v>2561</v>
      </c>
      <c r="I329" s="10" t="s">
        <v>2707</v>
      </c>
    </row>
    <row r="330" spans="1:9" x14ac:dyDescent="0.25">
      <c r="A330">
        <v>1678</v>
      </c>
      <c r="B330" s="10" t="s">
        <v>2593</v>
      </c>
      <c r="C330" s="10" t="s">
        <v>2696</v>
      </c>
      <c r="D330" s="10">
        <v>2536</v>
      </c>
      <c r="E330" s="10" t="s">
        <v>2942</v>
      </c>
      <c r="F330" s="10">
        <v>20.95</v>
      </c>
      <c r="G330" s="10">
        <v>0.87</v>
      </c>
      <c r="H330" s="10">
        <v>2.38</v>
      </c>
      <c r="I330" s="10">
        <v>1.19</v>
      </c>
    </row>
    <row r="331" spans="1:9" x14ac:dyDescent="0.25">
      <c r="A331">
        <v>1679</v>
      </c>
      <c r="B331" s="10" t="s">
        <v>2593</v>
      </c>
      <c r="C331" s="10" t="s">
        <v>2696</v>
      </c>
      <c r="D331" s="10">
        <v>2537</v>
      </c>
      <c r="E331" s="10" t="s">
        <v>2943</v>
      </c>
      <c r="F331" s="10">
        <v>20.95</v>
      </c>
      <c r="G331" s="10">
        <v>0.87</v>
      </c>
      <c r="H331" s="10">
        <v>2.38</v>
      </c>
      <c r="I331" s="10">
        <v>1.19</v>
      </c>
    </row>
    <row r="332" spans="1:9" x14ac:dyDescent="0.25">
      <c r="A332">
        <v>1436</v>
      </c>
      <c r="B332" s="10" t="s">
        <v>2944</v>
      </c>
      <c r="C332" s="10" t="s">
        <v>2945</v>
      </c>
      <c r="D332" s="10">
        <v>2538</v>
      </c>
      <c r="E332" s="10" t="s">
        <v>2946</v>
      </c>
      <c r="F332" s="10" t="s">
        <v>2947</v>
      </c>
      <c r="G332" s="10" t="s">
        <v>2948</v>
      </c>
      <c r="H332" s="10" t="s">
        <v>2949</v>
      </c>
      <c r="I332" s="10" t="s">
        <v>2329</v>
      </c>
    </row>
    <row r="333" spans="1:9" x14ac:dyDescent="0.25">
      <c r="A333">
        <v>1680</v>
      </c>
      <c r="B333" s="10" t="s">
        <v>2593</v>
      </c>
      <c r="C333" s="10" t="s">
        <v>2696</v>
      </c>
      <c r="D333" s="10">
        <v>2539</v>
      </c>
      <c r="E333" s="10" t="s">
        <v>2950</v>
      </c>
      <c r="F333" s="10" t="s">
        <v>2510</v>
      </c>
      <c r="G333" s="10" t="s">
        <v>2941</v>
      </c>
      <c r="H333" s="10" t="s">
        <v>2561</v>
      </c>
      <c r="I333" s="10" t="s">
        <v>2707</v>
      </c>
    </row>
    <row r="334" spans="1:9" x14ac:dyDescent="0.25">
      <c r="A334">
        <v>1472</v>
      </c>
      <c r="B334" s="10" t="s">
        <v>2944</v>
      </c>
      <c r="C334" s="10" t="s">
        <v>2951</v>
      </c>
      <c r="D334" s="10">
        <v>2541</v>
      </c>
      <c r="E334" s="10" t="s">
        <v>2952</v>
      </c>
      <c r="F334" s="10" t="s">
        <v>2953</v>
      </c>
      <c r="G334" s="10" t="s">
        <v>2954</v>
      </c>
      <c r="H334" s="10" t="s">
        <v>2955</v>
      </c>
      <c r="I334" s="10" t="s">
        <v>2205</v>
      </c>
    </row>
    <row r="335" spans="1:9" x14ac:dyDescent="0.25">
      <c r="A335">
        <v>237</v>
      </c>
      <c r="B335" s="10" t="s">
        <v>2518</v>
      </c>
      <c r="C335" s="10" t="s">
        <v>2922</v>
      </c>
      <c r="D335" s="10">
        <v>2542</v>
      </c>
      <c r="E335" s="10" t="s">
        <v>2956</v>
      </c>
      <c r="F335" s="10" t="s">
        <v>2507</v>
      </c>
      <c r="G335" s="10" t="s">
        <v>2957</v>
      </c>
      <c r="H335" s="10" t="s">
        <v>2447</v>
      </c>
      <c r="I335" s="10" t="s">
        <v>2958</v>
      </c>
    </row>
    <row r="336" spans="1:9" x14ac:dyDescent="0.25">
      <c r="A336">
        <v>1473</v>
      </c>
      <c r="B336" s="10" t="s">
        <v>2944</v>
      </c>
      <c r="C336" s="10" t="s">
        <v>2951</v>
      </c>
      <c r="D336" s="10">
        <v>2543</v>
      </c>
      <c r="E336" s="10" t="s">
        <v>2959</v>
      </c>
      <c r="F336" s="10" t="s">
        <v>2960</v>
      </c>
      <c r="G336" s="10" t="s">
        <v>2961</v>
      </c>
      <c r="H336" s="10" t="s">
        <v>2962</v>
      </c>
      <c r="I336" s="10" t="s">
        <v>2223</v>
      </c>
    </row>
    <row r="337" spans="1:9" x14ac:dyDescent="0.25">
      <c r="A337">
        <v>1681</v>
      </c>
      <c r="B337" s="10" t="s">
        <v>2593</v>
      </c>
      <c r="C337" s="10" t="s">
        <v>2696</v>
      </c>
      <c r="D337" s="10">
        <v>2545</v>
      </c>
      <c r="E337" s="10" t="s">
        <v>2963</v>
      </c>
      <c r="F337" s="10" t="s">
        <v>2220</v>
      </c>
      <c r="G337" s="10" t="s">
        <v>2418</v>
      </c>
      <c r="H337" s="10" t="s">
        <v>2583</v>
      </c>
      <c r="I337" s="10" t="s">
        <v>2420</v>
      </c>
    </row>
    <row r="338" spans="1:9" x14ac:dyDescent="0.25">
      <c r="A338">
        <v>216</v>
      </c>
      <c r="B338" s="10" t="s">
        <v>2518</v>
      </c>
      <c r="C338" s="10" t="s">
        <v>2964</v>
      </c>
      <c r="D338" s="10">
        <v>2546</v>
      </c>
      <c r="E338" s="10" t="s">
        <v>2965</v>
      </c>
      <c r="F338" s="10" t="s">
        <v>2456</v>
      </c>
      <c r="G338" s="10" t="s">
        <v>2966</v>
      </c>
      <c r="H338" s="10" t="s">
        <v>2967</v>
      </c>
      <c r="I338" s="10" t="s">
        <v>2880</v>
      </c>
    </row>
    <row r="339" spans="1:9" x14ac:dyDescent="0.25">
      <c r="A339">
        <v>217</v>
      </c>
      <c r="B339" s="10" t="s">
        <v>2518</v>
      </c>
      <c r="C339" s="10" t="s">
        <v>2964</v>
      </c>
      <c r="D339" s="10">
        <v>2547</v>
      </c>
      <c r="E339" s="10" t="s">
        <v>2968</v>
      </c>
      <c r="F339" s="10" t="s">
        <v>2969</v>
      </c>
      <c r="G339" s="10" t="s">
        <v>2970</v>
      </c>
      <c r="H339" s="10" t="s">
        <v>2319</v>
      </c>
      <c r="I339" s="10" t="s">
        <v>2464</v>
      </c>
    </row>
    <row r="340" spans="1:9" x14ac:dyDescent="0.25">
      <c r="A340">
        <v>232</v>
      </c>
      <c r="B340" s="10" t="s">
        <v>2518</v>
      </c>
      <c r="C340" s="10" t="s">
        <v>2789</v>
      </c>
      <c r="D340" s="10">
        <v>2548</v>
      </c>
      <c r="E340" s="10" t="s">
        <v>2971</v>
      </c>
      <c r="F340" s="10" t="s">
        <v>2215</v>
      </c>
      <c r="G340" s="10" t="s">
        <v>2919</v>
      </c>
      <c r="H340" s="10" t="s">
        <v>2839</v>
      </c>
      <c r="I340" s="10" t="s">
        <v>2812</v>
      </c>
    </row>
    <row r="341" spans="1:9" x14ac:dyDescent="0.25">
      <c r="A341">
        <v>233</v>
      </c>
      <c r="B341" s="10" t="s">
        <v>2518</v>
      </c>
      <c r="C341" s="10" t="s">
        <v>2789</v>
      </c>
      <c r="D341" s="10">
        <v>2551</v>
      </c>
      <c r="E341" s="10" t="s">
        <v>2972</v>
      </c>
      <c r="F341" s="10" t="s">
        <v>2210</v>
      </c>
      <c r="G341" s="10" t="s">
        <v>2180</v>
      </c>
      <c r="H341" s="10" t="s">
        <v>2973</v>
      </c>
      <c r="I341" s="10" t="s">
        <v>2182</v>
      </c>
    </row>
    <row r="342" spans="1:9" x14ac:dyDescent="0.25">
      <c r="A342">
        <v>1682</v>
      </c>
      <c r="B342" s="10" t="s">
        <v>2593</v>
      </c>
      <c r="C342" s="10" t="s">
        <v>2696</v>
      </c>
      <c r="D342" s="10">
        <v>2552</v>
      </c>
      <c r="E342" s="10" t="s">
        <v>2974</v>
      </c>
      <c r="F342" s="10">
        <v>23.5</v>
      </c>
      <c r="G342" s="10">
        <v>0.98</v>
      </c>
      <c r="H342" s="10">
        <v>2.4300000000000002</v>
      </c>
      <c r="I342" s="10">
        <v>1.29</v>
      </c>
    </row>
    <row r="343" spans="1:9" x14ac:dyDescent="0.25">
      <c r="A343">
        <v>1683</v>
      </c>
      <c r="B343" s="10" t="s">
        <v>2593</v>
      </c>
      <c r="C343" s="10" t="s">
        <v>2696</v>
      </c>
      <c r="D343" s="10">
        <v>2553</v>
      </c>
      <c r="E343" s="10" t="s">
        <v>2975</v>
      </c>
      <c r="F343" s="10" t="s">
        <v>2243</v>
      </c>
      <c r="G343" s="10" t="s">
        <v>2654</v>
      </c>
      <c r="H343" s="10" t="s">
        <v>2530</v>
      </c>
      <c r="I343" s="10" t="s">
        <v>2310</v>
      </c>
    </row>
    <row r="344" spans="1:9" x14ac:dyDescent="0.25">
      <c r="A344">
        <v>1684</v>
      </c>
      <c r="B344" s="10" t="s">
        <v>2593</v>
      </c>
      <c r="C344" s="10" t="s">
        <v>2696</v>
      </c>
      <c r="D344" s="10">
        <v>2555</v>
      </c>
      <c r="E344" s="10" t="s">
        <v>2976</v>
      </c>
      <c r="F344" s="10">
        <v>19.5</v>
      </c>
      <c r="G344" s="10">
        <v>0.81</v>
      </c>
      <c r="H344" s="10">
        <v>1.99</v>
      </c>
      <c r="I344" s="10">
        <v>1.0900000000000001</v>
      </c>
    </row>
    <row r="345" spans="1:9" x14ac:dyDescent="0.25">
      <c r="A345">
        <v>1685</v>
      </c>
      <c r="B345" s="10" t="s">
        <v>2593</v>
      </c>
      <c r="C345" s="10" t="s">
        <v>2696</v>
      </c>
      <c r="D345" s="10">
        <v>2556</v>
      </c>
      <c r="E345" s="10" t="s">
        <v>2977</v>
      </c>
      <c r="F345" s="10" t="s">
        <v>2510</v>
      </c>
      <c r="G345" s="10" t="s">
        <v>2941</v>
      </c>
      <c r="H345" s="10" t="s">
        <v>2725</v>
      </c>
      <c r="I345" s="10" t="s">
        <v>2707</v>
      </c>
    </row>
    <row r="346" spans="1:9" x14ac:dyDescent="0.25">
      <c r="A346">
        <v>1390</v>
      </c>
      <c r="B346" s="10" t="s">
        <v>2944</v>
      </c>
      <c r="C346" s="10" t="s">
        <v>2978</v>
      </c>
      <c r="D346" s="10">
        <v>2563</v>
      </c>
      <c r="E346" s="10" t="s">
        <v>2979</v>
      </c>
      <c r="F346" s="10">
        <v>39.950000000000003</v>
      </c>
      <c r="G346" s="10">
        <v>39.950000000000003</v>
      </c>
      <c r="H346" s="10">
        <v>0.91</v>
      </c>
      <c r="I346" s="10">
        <v>45.39</v>
      </c>
    </row>
    <row r="347" spans="1:9" x14ac:dyDescent="0.25">
      <c r="A347">
        <v>1686</v>
      </c>
      <c r="B347" s="10" t="s">
        <v>2593</v>
      </c>
      <c r="C347" s="10" t="s">
        <v>2696</v>
      </c>
      <c r="D347" s="10">
        <v>2565</v>
      </c>
      <c r="E347" s="10" t="s">
        <v>2980</v>
      </c>
      <c r="F347" s="10" t="s">
        <v>2510</v>
      </c>
      <c r="G347" s="10" t="s">
        <v>2941</v>
      </c>
      <c r="H347" s="10" t="s">
        <v>2324</v>
      </c>
      <c r="I347" s="10" t="s">
        <v>2707</v>
      </c>
    </row>
    <row r="348" spans="1:9" x14ac:dyDescent="0.25">
      <c r="A348">
        <v>1687</v>
      </c>
      <c r="B348" s="10" t="s">
        <v>2593</v>
      </c>
      <c r="C348" s="10" t="s">
        <v>2696</v>
      </c>
      <c r="D348" s="10">
        <v>2567</v>
      </c>
      <c r="E348" s="10" t="s">
        <v>2981</v>
      </c>
      <c r="F348" s="10">
        <v>20.95</v>
      </c>
      <c r="G348" s="10">
        <v>0.87</v>
      </c>
      <c r="H348" s="10">
        <v>2.31</v>
      </c>
      <c r="I348" s="10">
        <v>1.19</v>
      </c>
    </row>
    <row r="349" spans="1:9" x14ac:dyDescent="0.25">
      <c r="A349">
        <v>1688</v>
      </c>
      <c r="B349" s="10" t="s">
        <v>2593</v>
      </c>
      <c r="C349" s="10" t="s">
        <v>2696</v>
      </c>
      <c r="D349" s="10">
        <v>2569</v>
      </c>
      <c r="E349" s="10" t="s">
        <v>2982</v>
      </c>
      <c r="F349" s="10" t="s">
        <v>2510</v>
      </c>
      <c r="G349" s="10" t="s">
        <v>2941</v>
      </c>
      <c r="H349" s="10" t="s">
        <v>2324</v>
      </c>
      <c r="I349" s="10" t="s">
        <v>2707</v>
      </c>
    </row>
    <row r="350" spans="1:9" x14ac:dyDescent="0.25">
      <c r="A350">
        <v>1707</v>
      </c>
      <c r="B350" s="10" t="s">
        <v>2593</v>
      </c>
      <c r="C350" s="10" t="s">
        <v>2983</v>
      </c>
      <c r="D350" s="10">
        <v>2570</v>
      </c>
      <c r="E350" s="10" t="s">
        <v>2984</v>
      </c>
      <c r="F350" s="10" t="s">
        <v>2510</v>
      </c>
      <c r="G350" s="10" t="s">
        <v>2941</v>
      </c>
      <c r="H350" s="10" t="s">
        <v>2725</v>
      </c>
      <c r="I350" s="10" t="s">
        <v>2707</v>
      </c>
    </row>
    <row r="351" spans="1:9" x14ac:dyDescent="0.25">
      <c r="A351">
        <v>1689</v>
      </c>
      <c r="B351" s="10" t="s">
        <v>2593</v>
      </c>
      <c r="C351" s="10" t="s">
        <v>2696</v>
      </c>
      <c r="D351" s="10">
        <v>2571</v>
      </c>
      <c r="E351" s="10" t="s">
        <v>2985</v>
      </c>
      <c r="F351" s="10">
        <v>20.95</v>
      </c>
      <c r="G351" s="10">
        <v>0.87</v>
      </c>
      <c r="H351" s="10">
        <v>2.31</v>
      </c>
      <c r="I351" s="10">
        <v>1.19</v>
      </c>
    </row>
    <row r="352" spans="1:9" x14ac:dyDescent="0.25">
      <c r="A352">
        <v>1690</v>
      </c>
      <c r="B352" s="10" t="s">
        <v>2593</v>
      </c>
      <c r="C352" s="10" t="s">
        <v>2696</v>
      </c>
      <c r="D352" s="10">
        <v>2573</v>
      </c>
      <c r="E352" s="10" t="s">
        <v>2986</v>
      </c>
      <c r="F352" s="10" t="s">
        <v>2510</v>
      </c>
      <c r="G352" s="10" t="s">
        <v>2941</v>
      </c>
      <c r="H352" s="10" t="s">
        <v>2561</v>
      </c>
      <c r="I352" s="10" t="s">
        <v>2707</v>
      </c>
    </row>
    <row r="353" spans="1:9" x14ac:dyDescent="0.25">
      <c r="A353">
        <v>1691</v>
      </c>
      <c r="B353" s="10" t="s">
        <v>2593</v>
      </c>
      <c r="C353" s="10" t="s">
        <v>2696</v>
      </c>
      <c r="D353" s="10">
        <v>2577</v>
      </c>
      <c r="E353" s="10" t="s">
        <v>2987</v>
      </c>
      <c r="F353" s="10" t="s">
        <v>2747</v>
      </c>
      <c r="G353" s="10" t="s">
        <v>2467</v>
      </c>
      <c r="H353" s="10" t="s">
        <v>2988</v>
      </c>
      <c r="I353" s="10" t="s">
        <v>2319</v>
      </c>
    </row>
    <row r="354" spans="1:9" x14ac:dyDescent="0.25">
      <c r="A354">
        <v>1692</v>
      </c>
      <c r="B354" s="10" t="s">
        <v>2593</v>
      </c>
      <c r="C354" s="10" t="s">
        <v>2696</v>
      </c>
      <c r="D354" s="10">
        <v>2579</v>
      </c>
      <c r="E354" s="10" t="s">
        <v>2989</v>
      </c>
      <c r="F354" s="10" t="s">
        <v>2262</v>
      </c>
      <c r="G354" s="10" t="s">
        <v>2263</v>
      </c>
      <c r="H354" s="10" t="s">
        <v>2990</v>
      </c>
      <c r="I354" s="10" t="s">
        <v>2264</v>
      </c>
    </row>
    <row r="355" spans="1:9" x14ac:dyDescent="0.25">
      <c r="A355">
        <v>1693</v>
      </c>
      <c r="B355" s="10" t="s">
        <v>2593</v>
      </c>
      <c r="C355" s="10" t="s">
        <v>2696</v>
      </c>
      <c r="D355" s="10">
        <v>2581</v>
      </c>
      <c r="E355" s="10" t="s">
        <v>2991</v>
      </c>
      <c r="F355" s="10" t="s">
        <v>2243</v>
      </c>
      <c r="G355" s="10" t="s">
        <v>2654</v>
      </c>
      <c r="H355" s="10" t="s">
        <v>2530</v>
      </c>
      <c r="I355" s="10" t="s">
        <v>2310</v>
      </c>
    </row>
    <row r="356" spans="1:9" x14ac:dyDescent="0.25">
      <c r="A356">
        <v>1658</v>
      </c>
      <c r="B356" s="10" t="s">
        <v>2593</v>
      </c>
      <c r="C356" s="10" t="s">
        <v>2992</v>
      </c>
      <c r="D356" s="10">
        <v>2582</v>
      </c>
      <c r="E356" s="10" t="s">
        <v>2993</v>
      </c>
      <c r="F356" s="10" t="s">
        <v>2284</v>
      </c>
      <c r="G356" s="10" t="s">
        <v>2221</v>
      </c>
      <c r="H356" s="10" t="s">
        <v>2994</v>
      </c>
      <c r="I356" s="10" t="s">
        <v>2223</v>
      </c>
    </row>
    <row r="357" spans="1:9" x14ac:dyDescent="0.25">
      <c r="A357">
        <v>1659</v>
      </c>
      <c r="B357" s="10" t="s">
        <v>2593</v>
      </c>
      <c r="C357" s="10" t="s">
        <v>2992</v>
      </c>
      <c r="D357" s="10">
        <v>2584</v>
      </c>
      <c r="E357" s="10" t="s">
        <v>2995</v>
      </c>
      <c r="F357" s="10" t="s">
        <v>2528</v>
      </c>
      <c r="G357" s="10" t="s">
        <v>2866</v>
      </c>
      <c r="H357" s="10" t="s">
        <v>2996</v>
      </c>
      <c r="I357" s="10" t="s">
        <v>2868</v>
      </c>
    </row>
    <row r="358" spans="1:9" x14ac:dyDescent="0.25">
      <c r="A358">
        <v>1294</v>
      </c>
      <c r="B358" s="10" t="s">
        <v>2997</v>
      </c>
      <c r="C358" s="10" t="s">
        <v>2998</v>
      </c>
      <c r="D358" s="10">
        <v>2587</v>
      </c>
      <c r="E358" s="10" t="s">
        <v>2999</v>
      </c>
      <c r="F358" s="10" t="s">
        <v>2611</v>
      </c>
      <c r="G358" s="10" t="s">
        <v>2574</v>
      </c>
      <c r="H358" s="10" t="s">
        <v>3000</v>
      </c>
      <c r="I358" s="10" t="s">
        <v>2496</v>
      </c>
    </row>
    <row r="359" spans="1:9" x14ac:dyDescent="0.25">
      <c r="A359">
        <v>1660</v>
      </c>
      <c r="B359" s="10" t="s">
        <v>2593</v>
      </c>
      <c r="C359" s="10" t="s">
        <v>2992</v>
      </c>
      <c r="D359" s="10">
        <v>2587</v>
      </c>
      <c r="E359" s="10" t="s">
        <v>2999</v>
      </c>
      <c r="F359" s="10" t="s">
        <v>2611</v>
      </c>
      <c r="G359" s="10" t="s">
        <v>2574</v>
      </c>
      <c r="H359" s="10" t="s">
        <v>3000</v>
      </c>
      <c r="I359" s="10" t="s">
        <v>2496</v>
      </c>
    </row>
    <row r="360" spans="1:9" x14ac:dyDescent="0.25">
      <c r="A360">
        <v>1708</v>
      </c>
      <c r="B360" s="10" t="s">
        <v>2593</v>
      </c>
      <c r="C360" s="10" t="s">
        <v>2983</v>
      </c>
      <c r="D360" s="10">
        <v>2588</v>
      </c>
      <c r="E360" s="10" t="s">
        <v>3001</v>
      </c>
      <c r="F360" s="10" t="s">
        <v>2510</v>
      </c>
      <c r="G360" s="10" t="s">
        <v>2941</v>
      </c>
      <c r="H360" s="10" t="s">
        <v>2324</v>
      </c>
      <c r="I360" s="10" t="s">
        <v>2707</v>
      </c>
    </row>
    <row r="361" spans="1:9" x14ac:dyDescent="0.25">
      <c r="A361">
        <v>1295</v>
      </c>
      <c r="B361" s="10" t="s">
        <v>2997</v>
      </c>
      <c r="C361" s="10" t="s">
        <v>2998</v>
      </c>
      <c r="D361" s="10">
        <v>2589</v>
      </c>
      <c r="E361" s="10" t="s">
        <v>3002</v>
      </c>
      <c r="F361" s="10" t="s">
        <v>2611</v>
      </c>
      <c r="G361" s="10" t="s">
        <v>2574</v>
      </c>
      <c r="H361" s="10" t="s">
        <v>3000</v>
      </c>
      <c r="I361" s="10" t="s">
        <v>2496</v>
      </c>
    </row>
    <row r="362" spans="1:9" x14ac:dyDescent="0.25">
      <c r="A362">
        <v>1661</v>
      </c>
      <c r="B362" s="10" t="s">
        <v>2593</v>
      </c>
      <c r="C362" s="10" t="s">
        <v>2992</v>
      </c>
      <c r="D362" s="10">
        <v>2589</v>
      </c>
      <c r="E362" s="10" t="s">
        <v>3002</v>
      </c>
      <c r="F362" s="10" t="s">
        <v>2611</v>
      </c>
      <c r="G362" s="10" t="s">
        <v>2574</v>
      </c>
      <c r="H362" s="10" t="s">
        <v>3000</v>
      </c>
      <c r="I362" s="10" t="s">
        <v>2496</v>
      </c>
    </row>
    <row r="363" spans="1:9" x14ac:dyDescent="0.25">
      <c r="A363">
        <v>1709</v>
      </c>
      <c r="B363" s="10" t="s">
        <v>2593</v>
      </c>
      <c r="C363" s="10" t="s">
        <v>2983</v>
      </c>
      <c r="D363" s="10">
        <v>2590</v>
      </c>
      <c r="E363" s="10" t="s">
        <v>3003</v>
      </c>
      <c r="F363" s="10" t="s">
        <v>2510</v>
      </c>
      <c r="G363" s="10" t="s">
        <v>2941</v>
      </c>
      <c r="H363" s="10" t="s">
        <v>2324</v>
      </c>
      <c r="I363" s="10" t="s">
        <v>2707</v>
      </c>
    </row>
    <row r="364" spans="1:9" x14ac:dyDescent="0.25">
      <c r="A364">
        <v>1537</v>
      </c>
      <c r="B364" s="10" t="s">
        <v>2671</v>
      </c>
      <c r="C364" s="10" t="s">
        <v>2944</v>
      </c>
      <c r="D364" s="10">
        <v>2592</v>
      </c>
      <c r="E364" s="10" t="s">
        <v>3004</v>
      </c>
      <c r="F364" s="10" t="s">
        <v>3005</v>
      </c>
      <c r="G364" s="10" t="s">
        <v>3006</v>
      </c>
      <c r="H364" s="10" t="s">
        <v>3007</v>
      </c>
      <c r="I364" s="10" t="s">
        <v>2547</v>
      </c>
    </row>
    <row r="365" spans="1:9" x14ac:dyDescent="0.25">
      <c r="A365">
        <v>1437</v>
      </c>
      <c r="B365" s="10" t="s">
        <v>2944</v>
      </c>
      <c r="C365" s="10" t="s">
        <v>2945</v>
      </c>
      <c r="D365" s="10">
        <v>2594</v>
      </c>
      <c r="E365" s="10" t="s">
        <v>3008</v>
      </c>
      <c r="F365" s="10" t="s">
        <v>2947</v>
      </c>
      <c r="G365" s="10" t="s">
        <v>2948</v>
      </c>
      <c r="H365" s="10" t="s">
        <v>2949</v>
      </c>
      <c r="I365" s="10" t="s">
        <v>2329</v>
      </c>
    </row>
    <row r="366" spans="1:9" x14ac:dyDescent="0.25">
      <c r="A366">
        <v>1438</v>
      </c>
      <c r="B366" s="10" t="s">
        <v>2944</v>
      </c>
      <c r="C366" s="10" t="s">
        <v>2945</v>
      </c>
      <c r="D366" s="10">
        <v>2595</v>
      </c>
      <c r="E366" s="10" t="s">
        <v>3009</v>
      </c>
      <c r="F366" s="10" t="s">
        <v>2947</v>
      </c>
      <c r="G366" s="10" t="s">
        <v>2948</v>
      </c>
      <c r="H366" s="10" t="s">
        <v>2949</v>
      </c>
      <c r="I366" s="10" t="s">
        <v>2329</v>
      </c>
    </row>
    <row r="367" spans="1:9" x14ac:dyDescent="0.25">
      <c r="A367">
        <v>1694</v>
      </c>
      <c r="B367" s="10" t="s">
        <v>2593</v>
      </c>
      <c r="C367" s="10" t="s">
        <v>2696</v>
      </c>
      <c r="D367" s="10">
        <v>2596</v>
      </c>
      <c r="E367" s="10" t="s">
        <v>3010</v>
      </c>
      <c r="F367" s="10" t="s">
        <v>2210</v>
      </c>
      <c r="G367" s="10" t="s">
        <v>2706</v>
      </c>
      <c r="H367" s="10" t="s">
        <v>2660</v>
      </c>
      <c r="I367" s="10" t="s">
        <v>2707</v>
      </c>
    </row>
    <row r="368" spans="1:9" x14ac:dyDescent="0.25">
      <c r="A368">
        <v>1695</v>
      </c>
      <c r="B368" s="10" t="s">
        <v>2593</v>
      </c>
      <c r="C368" s="10" t="s">
        <v>2696</v>
      </c>
      <c r="D368" s="10">
        <v>2597</v>
      </c>
      <c r="E368" s="10" t="s">
        <v>3011</v>
      </c>
      <c r="F368" s="10" t="s">
        <v>2210</v>
      </c>
      <c r="G368" s="10" t="s">
        <v>2706</v>
      </c>
      <c r="H368" s="10" t="s">
        <v>2324</v>
      </c>
      <c r="I368" s="10" t="s">
        <v>2707</v>
      </c>
    </row>
    <row r="369" spans="1:9" x14ac:dyDescent="0.25">
      <c r="A369">
        <v>1696</v>
      </c>
      <c r="B369" s="10" t="s">
        <v>2593</v>
      </c>
      <c r="C369" s="10" t="s">
        <v>2696</v>
      </c>
      <c r="D369" s="10">
        <v>2598</v>
      </c>
      <c r="E369" s="10" t="s">
        <v>3012</v>
      </c>
      <c r="F369" s="10" t="s">
        <v>3013</v>
      </c>
      <c r="G369" s="10" t="s">
        <v>2116</v>
      </c>
      <c r="H369" s="10" t="s">
        <v>2324</v>
      </c>
      <c r="I369" s="10" t="s">
        <v>2118</v>
      </c>
    </row>
    <row r="370" spans="1:9" x14ac:dyDescent="0.25">
      <c r="A370">
        <v>1697</v>
      </c>
      <c r="B370" s="10" t="s">
        <v>2593</v>
      </c>
      <c r="C370" s="10" t="s">
        <v>2696</v>
      </c>
      <c r="D370" s="10">
        <v>2599</v>
      </c>
      <c r="E370" s="10" t="s">
        <v>3014</v>
      </c>
      <c r="F370" s="10" t="s">
        <v>2830</v>
      </c>
      <c r="G370" s="10" t="s">
        <v>2167</v>
      </c>
      <c r="H370" s="10" t="s">
        <v>3015</v>
      </c>
      <c r="I370" s="10" t="s">
        <v>3016</v>
      </c>
    </row>
    <row r="371" spans="1:9" x14ac:dyDescent="0.25">
      <c r="A371">
        <v>1398</v>
      </c>
      <c r="B371" s="10" t="s">
        <v>2944</v>
      </c>
      <c r="C371" s="10" t="s">
        <v>3017</v>
      </c>
      <c r="D371" s="10">
        <v>2601</v>
      </c>
      <c r="E371" s="10" t="s">
        <v>3018</v>
      </c>
      <c r="F371" s="10" t="s">
        <v>2470</v>
      </c>
      <c r="G371" s="10" t="s">
        <v>3019</v>
      </c>
      <c r="H371" s="10" t="s">
        <v>2707</v>
      </c>
      <c r="I371" s="10" t="s">
        <v>2707</v>
      </c>
    </row>
    <row r="372" spans="1:9" x14ac:dyDescent="0.25">
      <c r="A372">
        <v>1399</v>
      </c>
      <c r="B372" s="10" t="s">
        <v>2944</v>
      </c>
      <c r="C372" s="10" t="s">
        <v>3017</v>
      </c>
      <c r="D372" s="10">
        <v>2602</v>
      </c>
      <c r="E372" s="10" t="s">
        <v>3020</v>
      </c>
      <c r="F372" s="10" t="s">
        <v>2969</v>
      </c>
      <c r="G372" s="10" t="s">
        <v>2895</v>
      </c>
      <c r="H372" s="10" t="s">
        <v>3021</v>
      </c>
      <c r="I372" s="10" t="s">
        <v>2218</v>
      </c>
    </row>
    <row r="373" spans="1:9" x14ac:dyDescent="0.25">
      <c r="A373">
        <v>1400</v>
      </c>
      <c r="B373" s="10" t="s">
        <v>2944</v>
      </c>
      <c r="C373" s="10" t="s">
        <v>3017</v>
      </c>
      <c r="D373" s="10">
        <v>2603</v>
      </c>
      <c r="E373" s="10" t="s">
        <v>3022</v>
      </c>
      <c r="F373" s="10" t="s">
        <v>2257</v>
      </c>
      <c r="G373" s="10" t="s">
        <v>3023</v>
      </c>
      <c r="H373" s="10" t="s">
        <v>3024</v>
      </c>
      <c r="I373" s="10" t="s">
        <v>2462</v>
      </c>
    </row>
    <row r="374" spans="1:9" x14ac:dyDescent="0.25">
      <c r="A374">
        <v>215</v>
      </c>
      <c r="B374" s="10" t="s">
        <v>2518</v>
      </c>
      <c r="C374" s="10" t="s">
        <v>2709</v>
      </c>
      <c r="D374" s="10">
        <v>2604</v>
      </c>
      <c r="E374" s="10" t="s">
        <v>3025</v>
      </c>
      <c r="F374" s="10" t="s">
        <v>2870</v>
      </c>
      <c r="G374" s="10" t="s">
        <v>2871</v>
      </c>
      <c r="H374" s="10" t="s">
        <v>2213</v>
      </c>
      <c r="I374" s="10" t="s">
        <v>2213</v>
      </c>
    </row>
    <row r="375" spans="1:9" x14ac:dyDescent="0.25">
      <c r="A375">
        <v>1401</v>
      </c>
      <c r="B375" s="10" t="s">
        <v>2944</v>
      </c>
      <c r="C375" s="10" t="s">
        <v>3017</v>
      </c>
      <c r="D375" s="10">
        <v>2605</v>
      </c>
      <c r="E375" s="10" t="s">
        <v>3026</v>
      </c>
      <c r="F375" s="10" t="s">
        <v>2289</v>
      </c>
      <c r="G375" s="10" t="s">
        <v>2290</v>
      </c>
      <c r="H375" s="10" t="s">
        <v>3027</v>
      </c>
      <c r="I375" s="10" t="s">
        <v>3028</v>
      </c>
    </row>
    <row r="376" spans="1:9" x14ac:dyDescent="0.25">
      <c r="A376">
        <v>1402</v>
      </c>
      <c r="B376" s="10" t="s">
        <v>2944</v>
      </c>
      <c r="C376" s="10" t="s">
        <v>3017</v>
      </c>
      <c r="D376" s="10">
        <v>2606</v>
      </c>
      <c r="E376" s="10" t="s">
        <v>3029</v>
      </c>
      <c r="F376" s="10">
        <v>50.95</v>
      </c>
      <c r="G376" s="10">
        <v>16.98</v>
      </c>
      <c r="H376" s="10">
        <v>0.96</v>
      </c>
      <c r="I376" s="10">
        <v>19.29</v>
      </c>
    </row>
    <row r="377" spans="1:9" x14ac:dyDescent="0.25">
      <c r="A377">
        <v>1403</v>
      </c>
      <c r="B377" s="10" t="s">
        <v>2944</v>
      </c>
      <c r="C377" s="10" t="s">
        <v>3017</v>
      </c>
      <c r="D377" s="10">
        <v>2607</v>
      </c>
      <c r="E377" s="10" t="s">
        <v>3030</v>
      </c>
      <c r="F377" s="10">
        <v>16.5</v>
      </c>
      <c r="G377" s="10">
        <v>16.5</v>
      </c>
      <c r="H377" s="10">
        <v>0.94</v>
      </c>
      <c r="I377" s="10">
        <v>18.79</v>
      </c>
    </row>
    <row r="378" spans="1:9" x14ac:dyDescent="0.25">
      <c r="A378">
        <v>1404</v>
      </c>
      <c r="B378" s="10" t="s">
        <v>2944</v>
      </c>
      <c r="C378" s="10" t="s">
        <v>3017</v>
      </c>
      <c r="D378" s="10">
        <v>2608</v>
      </c>
      <c r="E378" s="10" t="s">
        <v>3031</v>
      </c>
      <c r="F378" s="10">
        <v>38.950000000000003</v>
      </c>
      <c r="G378" s="10">
        <v>38.950000000000003</v>
      </c>
      <c r="H378" s="10">
        <v>0.89</v>
      </c>
      <c r="I378" s="10">
        <v>44.29</v>
      </c>
    </row>
    <row r="379" spans="1:9" x14ac:dyDescent="0.25">
      <c r="A379">
        <v>1405</v>
      </c>
      <c r="B379" s="10" t="s">
        <v>2944</v>
      </c>
      <c r="C379" s="10" t="s">
        <v>3017</v>
      </c>
      <c r="D379" s="10">
        <v>2609</v>
      </c>
      <c r="E379" s="10" t="s">
        <v>3032</v>
      </c>
      <c r="F379" s="10">
        <v>76.5</v>
      </c>
      <c r="G379" s="10">
        <v>76.5</v>
      </c>
      <c r="H379" s="10">
        <v>0.87</v>
      </c>
      <c r="I379" s="10">
        <v>86.99</v>
      </c>
    </row>
    <row r="380" spans="1:9" x14ac:dyDescent="0.25">
      <c r="A380">
        <v>1406</v>
      </c>
      <c r="B380" s="10" t="s">
        <v>2944</v>
      </c>
      <c r="C380" s="10" t="s">
        <v>3017</v>
      </c>
      <c r="D380" s="10">
        <v>2610</v>
      </c>
      <c r="E380" s="10" t="s">
        <v>3033</v>
      </c>
      <c r="F380" s="10">
        <v>1633.95</v>
      </c>
      <c r="G380" s="10">
        <v>16.5</v>
      </c>
      <c r="H380" s="10">
        <v>0.94</v>
      </c>
      <c r="I380" s="10">
        <v>18.79</v>
      </c>
    </row>
    <row r="381" spans="1:9" x14ac:dyDescent="0.25">
      <c r="A381">
        <v>1412</v>
      </c>
      <c r="B381" s="10" t="s">
        <v>2944</v>
      </c>
      <c r="C381" s="10" t="s">
        <v>3034</v>
      </c>
      <c r="D381" s="10">
        <v>2611</v>
      </c>
      <c r="E381" s="10" t="s">
        <v>3035</v>
      </c>
      <c r="F381" s="10" t="s">
        <v>3036</v>
      </c>
      <c r="G381" s="10" t="s">
        <v>3037</v>
      </c>
      <c r="H381" s="10" t="s">
        <v>3038</v>
      </c>
      <c r="I381" s="10" t="s">
        <v>3039</v>
      </c>
    </row>
    <row r="382" spans="1:9" x14ac:dyDescent="0.25">
      <c r="A382">
        <v>1407</v>
      </c>
      <c r="B382" s="10" t="s">
        <v>2944</v>
      </c>
      <c r="C382" s="10" t="s">
        <v>3040</v>
      </c>
      <c r="D382" s="10">
        <v>2612</v>
      </c>
      <c r="E382" s="10" t="s">
        <v>3041</v>
      </c>
      <c r="F382" s="10" t="s">
        <v>2720</v>
      </c>
      <c r="G382" s="10" t="s">
        <v>2313</v>
      </c>
      <c r="H382" s="10" t="s">
        <v>3019</v>
      </c>
      <c r="I382" s="10" t="s">
        <v>2363</v>
      </c>
    </row>
    <row r="383" spans="1:9" x14ac:dyDescent="0.25">
      <c r="A383">
        <v>1408</v>
      </c>
      <c r="B383" s="10" t="s">
        <v>2944</v>
      </c>
      <c r="C383" s="10" t="s">
        <v>3040</v>
      </c>
      <c r="D383" s="10">
        <v>2613</v>
      </c>
      <c r="E383" s="10" t="s">
        <v>3042</v>
      </c>
      <c r="F383" s="10" t="s">
        <v>3043</v>
      </c>
      <c r="G383" s="10" t="s">
        <v>2322</v>
      </c>
      <c r="H383" s="10" t="s">
        <v>2850</v>
      </c>
      <c r="I383" s="10" t="s">
        <v>2850</v>
      </c>
    </row>
    <row r="384" spans="1:9" x14ac:dyDescent="0.25">
      <c r="A384">
        <v>1413</v>
      </c>
      <c r="B384" s="10" t="s">
        <v>2944</v>
      </c>
      <c r="C384" s="10" t="s">
        <v>3034</v>
      </c>
      <c r="D384" s="10">
        <v>2614</v>
      </c>
      <c r="E384" s="10" t="s">
        <v>3044</v>
      </c>
      <c r="F384" s="10" t="s">
        <v>3045</v>
      </c>
      <c r="G384" s="10" t="s">
        <v>2285</v>
      </c>
      <c r="H384" s="10" t="s">
        <v>2475</v>
      </c>
      <c r="I384" s="10" t="s">
        <v>2231</v>
      </c>
    </row>
    <row r="385" spans="1:9" x14ac:dyDescent="0.25">
      <c r="A385">
        <v>1409</v>
      </c>
      <c r="B385" s="10" t="s">
        <v>2944</v>
      </c>
      <c r="C385" s="10" t="s">
        <v>3040</v>
      </c>
      <c r="D385" s="10">
        <v>2615</v>
      </c>
      <c r="E385" s="10" t="s">
        <v>3046</v>
      </c>
      <c r="F385" s="10" t="s">
        <v>2338</v>
      </c>
      <c r="G385" s="10" t="s">
        <v>3047</v>
      </c>
      <c r="H385" s="10" t="s">
        <v>2281</v>
      </c>
      <c r="I385" s="10" t="s">
        <v>2218</v>
      </c>
    </row>
    <row r="386" spans="1:9" x14ac:dyDescent="0.25">
      <c r="A386">
        <v>1422</v>
      </c>
      <c r="B386" s="10" t="s">
        <v>2944</v>
      </c>
      <c r="C386" s="10" t="s">
        <v>3048</v>
      </c>
      <c r="D386" s="10">
        <v>2616</v>
      </c>
      <c r="E386" s="10" t="s">
        <v>3049</v>
      </c>
      <c r="F386" s="10" t="s">
        <v>3050</v>
      </c>
      <c r="G386" s="10" t="s">
        <v>3051</v>
      </c>
      <c r="H386" s="10" t="s">
        <v>3052</v>
      </c>
      <c r="I386" s="10" t="s">
        <v>3053</v>
      </c>
    </row>
    <row r="387" spans="1:9" x14ac:dyDescent="0.25">
      <c r="A387">
        <v>1416</v>
      </c>
      <c r="B387" s="10" t="s">
        <v>2944</v>
      </c>
      <c r="C387" s="10" t="s">
        <v>3054</v>
      </c>
      <c r="D387" s="10">
        <v>2617</v>
      </c>
      <c r="E387" s="10" t="s">
        <v>3055</v>
      </c>
      <c r="F387" s="10" t="s">
        <v>3056</v>
      </c>
      <c r="G387" s="10" t="s">
        <v>3057</v>
      </c>
      <c r="H387" s="10" t="s">
        <v>2707</v>
      </c>
      <c r="I387" s="10" t="s">
        <v>3058</v>
      </c>
    </row>
    <row r="388" spans="1:9" x14ac:dyDescent="0.25">
      <c r="A388">
        <v>1417</v>
      </c>
      <c r="B388" s="10" t="s">
        <v>2944</v>
      </c>
      <c r="C388" s="10" t="s">
        <v>3054</v>
      </c>
      <c r="D388" s="10">
        <v>2618</v>
      </c>
      <c r="E388" s="10" t="s">
        <v>3059</v>
      </c>
      <c r="F388" s="10" t="s">
        <v>2210</v>
      </c>
      <c r="G388" s="10" t="s">
        <v>2210</v>
      </c>
      <c r="H388" s="10" t="s">
        <v>2831</v>
      </c>
      <c r="I388" s="10" t="s">
        <v>3060</v>
      </c>
    </row>
    <row r="389" spans="1:9" x14ac:dyDescent="0.25">
      <c r="A389">
        <v>1418</v>
      </c>
      <c r="B389" s="10" t="s">
        <v>2944</v>
      </c>
      <c r="C389" s="10" t="s">
        <v>3054</v>
      </c>
      <c r="D389" s="10">
        <v>2619</v>
      </c>
      <c r="E389" s="10" t="s">
        <v>3061</v>
      </c>
      <c r="F389" s="10" t="s">
        <v>2744</v>
      </c>
      <c r="G389" s="10" t="s">
        <v>3062</v>
      </c>
      <c r="H389" s="10" t="s">
        <v>2741</v>
      </c>
      <c r="I389" s="10" t="s">
        <v>3063</v>
      </c>
    </row>
    <row r="390" spans="1:9" x14ac:dyDescent="0.25">
      <c r="A390">
        <v>1419</v>
      </c>
      <c r="B390" s="10" t="s">
        <v>2944</v>
      </c>
      <c r="C390" s="10" t="s">
        <v>3054</v>
      </c>
      <c r="D390" s="10">
        <v>2620</v>
      </c>
      <c r="E390" s="10" t="s">
        <v>3064</v>
      </c>
      <c r="F390" s="10" t="s">
        <v>3065</v>
      </c>
      <c r="G390" s="10" t="s">
        <v>3066</v>
      </c>
      <c r="H390" s="10" t="s">
        <v>2583</v>
      </c>
      <c r="I390" s="10" t="s">
        <v>2276</v>
      </c>
    </row>
    <row r="391" spans="1:9" x14ac:dyDescent="0.25">
      <c r="A391">
        <v>1410</v>
      </c>
      <c r="B391" s="10" t="s">
        <v>2944</v>
      </c>
      <c r="C391" s="10" t="s">
        <v>3040</v>
      </c>
      <c r="D391" s="10">
        <v>2621</v>
      </c>
      <c r="E391" s="10" t="s">
        <v>3067</v>
      </c>
      <c r="F391" s="10">
        <v>33.950000000000003</v>
      </c>
      <c r="G391" s="10">
        <v>4.24</v>
      </c>
      <c r="H391" s="10">
        <v>0.96</v>
      </c>
      <c r="I391" s="10">
        <v>4.79</v>
      </c>
    </row>
    <row r="392" spans="1:9" x14ac:dyDescent="0.25">
      <c r="A392">
        <v>1420</v>
      </c>
      <c r="B392" s="10" t="s">
        <v>2944</v>
      </c>
      <c r="C392" s="10" t="s">
        <v>3054</v>
      </c>
      <c r="D392" s="10">
        <v>2622</v>
      </c>
      <c r="E392" s="10" t="s">
        <v>3068</v>
      </c>
      <c r="F392" s="10" t="s">
        <v>2338</v>
      </c>
      <c r="G392" s="10" t="s">
        <v>3047</v>
      </c>
      <c r="H392" s="10" t="s">
        <v>2281</v>
      </c>
      <c r="I392" s="10" t="s">
        <v>2218</v>
      </c>
    </row>
    <row r="393" spans="1:9" x14ac:dyDescent="0.25">
      <c r="A393">
        <v>1391</v>
      </c>
      <c r="B393" s="10" t="s">
        <v>2944</v>
      </c>
      <c r="C393" s="10" t="s">
        <v>2978</v>
      </c>
      <c r="D393" s="10">
        <v>2623</v>
      </c>
      <c r="E393" s="10" t="s">
        <v>3069</v>
      </c>
      <c r="F393" s="10">
        <v>1544.95</v>
      </c>
      <c r="G393" s="10">
        <v>15.61</v>
      </c>
      <c r="H393" s="10">
        <v>0.88</v>
      </c>
      <c r="I393" s="10">
        <v>17.690000000000001</v>
      </c>
    </row>
    <row r="394" spans="1:9" x14ac:dyDescent="0.25">
      <c r="A394">
        <v>1439</v>
      </c>
      <c r="B394" s="10" t="s">
        <v>2944</v>
      </c>
      <c r="C394" s="10" t="s">
        <v>2945</v>
      </c>
      <c r="D394" s="10">
        <v>2624</v>
      </c>
      <c r="E394" s="10" t="s">
        <v>3070</v>
      </c>
      <c r="F394" s="10" t="s">
        <v>2947</v>
      </c>
      <c r="G394" s="10" t="s">
        <v>2948</v>
      </c>
      <c r="H394" s="10" t="s">
        <v>2949</v>
      </c>
      <c r="I394" s="10" t="s">
        <v>2329</v>
      </c>
    </row>
    <row r="395" spans="1:9" x14ac:dyDescent="0.25">
      <c r="A395">
        <v>1425</v>
      </c>
      <c r="B395" s="10" t="s">
        <v>2944</v>
      </c>
      <c r="C395" s="10" t="s">
        <v>3071</v>
      </c>
      <c r="D395" s="10">
        <v>2625</v>
      </c>
      <c r="E395" s="10" t="s">
        <v>3072</v>
      </c>
      <c r="F395" s="10" t="s">
        <v>2625</v>
      </c>
      <c r="G395" s="10" t="s">
        <v>2366</v>
      </c>
      <c r="H395" s="10" t="s">
        <v>2319</v>
      </c>
      <c r="I395" s="10" t="s">
        <v>2368</v>
      </c>
    </row>
    <row r="396" spans="1:9" x14ac:dyDescent="0.25">
      <c r="A396">
        <v>1392</v>
      </c>
      <c r="B396" s="10" t="s">
        <v>2944</v>
      </c>
      <c r="C396" s="10" t="s">
        <v>2978</v>
      </c>
      <c r="D396" s="10">
        <v>2626</v>
      </c>
      <c r="E396" s="10" t="s">
        <v>3018</v>
      </c>
      <c r="F396" s="10" t="s">
        <v>2446</v>
      </c>
      <c r="G396" s="10" t="s">
        <v>2973</v>
      </c>
      <c r="H396" s="10" t="s">
        <v>2425</v>
      </c>
      <c r="I396" s="10" t="s">
        <v>2425</v>
      </c>
    </row>
    <row r="397" spans="1:9" x14ac:dyDescent="0.25">
      <c r="A397">
        <v>1393</v>
      </c>
      <c r="B397" s="10" t="s">
        <v>2944</v>
      </c>
      <c r="C397" s="10" t="s">
        <v>2978</v>
      </c>
      <c r="D397" s="10">
        <v>2627</v>
      </c>
      <c r="E397" s="10" t="s">
        <v>3073</v>
      </c>
      <c r="F397" s="10">
        <v>74.75</v>
      </c>
      <c r="G397" s="10">
        <v>74.75</v>
      </c>
      <c r="H397" s="10">
        <v>0.85</v>
      </c>
      <c r="I397" s="10">
        <v>84.99</v>
      </c>
    </row>
    <row r="398" spans="1:9" x14ac:dyDescent="0.25">
      <c r="A398">
        <v>1394</v>
      </c>
      <c r="B398" s="10" t="s">
        <v>2944</v>
      </c>
      <c r="C398" s="10" t="s">
        <v>2978</v>
      </c>
      <c r="D398" s="10">
        <v>2628</v>
      </c>
      <c r="E398" s="10" t="s">
        <v>3020</v>
      </c>
      <c r="F398" s="10" t="s">
        <v>2257</v>
      </c>
      <c r="G398" s="10" t="s">
        <v>3074</v>
      </c>
      <c r="H398" s="10" t="s">
        <v>3075</v>
      </c>
      <c r="I398" s="10" t="s">
        <v>2269</v>
      </c>
    </row>
    <row r="399" spans="1:9" x14ac:dyDescent="0.25">
      <c r="A399">
        <v>1395</v>
      </c>
      <c r="B399" s="10" t="s">
        <v>2944</v>
      </c>
      <c r="C399" s="10" t="s">
        <v>2978</v>
      </c>
      <c r="D399" s="10">
        <v>2629</v>
      </c>
      <c r="E399" s="10" t="s">
        <v>3022</v>
      </c>
      <c r="F399" s="10" t="s">
        <v>2898</v>
      </c>
      <c r="G399" s="10" t="s">
        <v>3076</v>
      </c>
      <c r="H399" s="10" t="s">
        <v>2856</v>
      </c>
      <c r="I399" s="10" t="s">
        <v>2287</v>
      </c>
    </row>
    <row r="400" spans="1:9" x14ac:dyDescent="0.25">
      <c r="A400">
        <v>1396</v>
      </c>
      <c r="B400" s="10" t="s">
        <v>2944</v>
      </c>
      <c r="C400" s="10" t="s">
        <v>2978</v>
      </c>
      <c r="D400" s="10">
        <v>2630</v>
      </c>
      <c r="E400" s="10" t="s">
        <v>3077</v>
      </c>
      <c r="F400" s="10">
        <v>49.95</v>
      </c>
      <c r="G400" s="10">
        <v>8.33</v>
      </c>
      <c r="H400" s="10">
        <v>0.95</v>
      </c>
      <c r="I400" s="10">
        <v>9.49</v>
      </c>
    </row>
    <row r="401" spans="1:9" x14ac:dyDescent="0.25">
      <c r="A401">
        <v>1397</v>
      </c>
      <c r="B401" s="10" t="s">
        <v>2944</v>
      </c>
      <c r="C401" s="10" t="s">
        <v>2978</v>
      </c>
      <c r="D401" s="10">
        <v>2631</v>
      </c>
      <c r="E401" s="10" t="s">
        <v>3029</v>
      </c>
      <c r="F401" s="10">
        <v>47.5</v>
      </c>
      <c r="G401" s="10">
        <v>15.83</v>
      </c>
      <c r="H401" s="10">
        <v>0.9</v>
      </c>
      <c r="I401" s="10">
        <v>17.989999999999998</v>
      </c>
    </row>
    <row r="402" spans="1:9" x14ac:dyDescent="0.25">
      <c r="A402">
        <v>1378</v>
      </c>
      <c r="B402" s="10" t="s">
        <v>2944</v>
      </c>
      <c r="C402" s="10" t="s">
        <v>3078</v>
      </c>
      <c r="D402" s="10">
        <v>2632</v>
      </c>
      <c r="E402" s="10" t="s">
        <v>3018</v>
      </c>
      <c r="F402" s="10" t="s">
        <v>2659</v>
      </c>
      <c r="G402" s="10" t="s">
        <v>3021</v>
      </c>
      <c r="H402" s="10" t="s">
        <v>2420</v>
      </c>
      <c r="I402" s="10" t="s">
        <v>2420</v>
      </c>
    </row>
    <row r="403" spans="1:9" x14ac:dyDescent="0.25">
      <c r="A403">
        <v>1379</v>
      </c>
      <c r="B403" s="10" t="s">
        <v>2944</v>
      </c>
      <c r="C403" s="10" t="s">
        <v>3078</v>
      </c>
      <c r="D403" s="10">
        <v>2633</v>
      </c>
      <c r="E403" s="10" t="s">
        <v>3020</v>
      </c>
      <c r="F403" s="10" t="s">
        <v>2275</v>
      </c>
      <c r="G403" s="10" t="s">
        <v>2731</v>
      </c>
      <c r="H403" s="10" t="s">
        <v>3079</v>
      </c>
      <c r="I403" s="10" t="s">
        <v>2503</v>
      </c>
    </row>
    <row r="404" spans="1:9" x14ac:dyDescent="0.25">
      <c r="A404">
        <v>1380</v>
      </c>
      <c r="B404" s="10" t="s">
        <v>2944</v>
      </c>
      <c r="C404" s="10" t="s">
        <v>3078</v>
      </c>
      <c r="D404" s="10">
        <v>2634</v>
      </c>
      <c r="E404" s="10" t="s">
        <v>3080</v>
      </c>
      <c r="F404" s="10" t="s">
        <v>3081</v>
      </c>
      <c r="G404" s="10" t="s">
        <v>2656</v>
      </c>
      <c r="H404" s="10" t="s">
        <v>3019</v>
      </c>
      <c r="I404" s="10" t="s">
        <v>2363</v>
      </c>
    </row>
    <row r="405" spans="1:9" x14ac:dyDescent="0.25">
      <c r="A405">
        <v>1381</v>
      </c>
      <c r="B405" s="10" t="s">
        <v>2944</v>
      </c>
      <c r="C405" s="10" t="s">
        <v>3078</v>
      </c>
      <c r="D405" s="10">
        <v>2635</v>
      </c>
      <c r="E405" s="10" t="s">
        <v>3082</v>
      </c>
      <c r="F405" s="10">
        <v>49.95</v>
      </c>
      <c r="G405" s="10">
        <v>4.16</v>
      </c>
      <c r="H405" s="10">
        <v>0.94</v>
      </c>
      <c r="I405" s="10">
        <v>4.6900000000000004</v>
      </c>
    </row>
    <row r="406" spans="1:9" x14ac:dyDescent="0.25">
      <c r="A406">
        <v>1440</v>
      </c>
      <c r="B406" s="10" t="s">
        <v>2944</v>
      </c>
      <c r="C406" s="10" t="s">
        <v>2945</v>
      </c>
      <c r="D406" s="10">
        <v>2636</v>
      </c>
      <c r="E406" s="10" t="s">
        <v>3083</v>
      </c>
      <c r="F406" s="10" t="s">
        <v>2947</v>
      </c>
      <c r="G406" s="10" t="s">
        <v>2948</v>
      </c>
      <c r="H406" s="10" t="s">
        <v>2949</v>
      </c>
      <c r="I406" s="10" t="s">
        <v>2329</v>
      </c>
    </row>
    <row r="407" spans="1:9" x14ac:dyDescent="0.25">
      <c r="A407">
        <v>1382</v>
      </c>
      <c r="B407" s="10" t="s">
        <v>2944</v>
      </c>
      <c r="C407" s="10" t="s">
        <v>3078</v>
      </c>
      <c r="D407" s="10">
        <v>2637</v>
      </c>
      <c r="E407" s="10" t="s">
        <v>3084</v>
      </c>
      <c r="F407" s="10">
        <v>43.25</v>
      </c>
      <c r="G407" s="10">
        <v>7.21</v>
      </c>
      <c r="H407" s="10">
        <v>0.82</v>
      </c>
      <c r="I407" s="10">
        <v>8.19</v>
      </c>
    </row>
    <row r="408" spans="1:9" x14ac:dyDescent="0.25">
      <c r="A408">
        <v>1383</v>
      </c>
      <c r="B408" s="10" t="s">
        <v>2944</v>
      </c>
      <c r="C408" s="10" t="s">
        <v>3078</v>
      </c>
      <c r="D408" s="10">
        <v>2638</v>
      </c>
      <c r="E408" s="10" t="s">
        <v>3085</v>
      </c>
      <c r="F408" s="10">
        <v>42.95</v>
      </c>
      <c r="G408" s="10">
        <v>14.32</v>
      </c>
      <c r="H408" s="10">
        <v>0.81</v>
      </c>
      <c r="I408" s="10">
        <v>16.29</v>
      </c>
    </row>
    <row r="409" spans="1:9" x14ac:dyDescent="0.25">
      <c r="A409">
        <v>1384</v>
      </c>
      <c r="B409" s="10" t="s">
        <v>2944</v>
      </c>
      <c r="C409" s="10" t="s">
        <v>3078</v>
      </c>
      <c r="D409" s="10">
        <v>2639</v>
      </c>
      <c r="E409" s="10" t="s">
        <v>3030</v>
      </c>
      <c r="F409" s="10">
        <v>14.25</v>
      </c>
      <c r="G409" s="10">
        <v>14.25</v>
      </c>
      <c r="H409" s="10">
        <v>0.81</v>
      </c>
      <c r="I409" s="10">
        <v>16.190000000000001</v>
      </c>
    </row>
    <row r="410" spans="1:9" x14ac:dyDescent="0.25">
      <c r="A410">
        <v>1385</v>
      </c>
      <c r="B410" s="10" t="s">
        <v>2944</v>
      </c>
      <c r="C410" s="10" t="s">
        <v>3078</v>
      </c>
      <c r="D410" s="10">
        <v>2640</v>
      </c>
      <c r="E410" s="10" t="s">
        <v>3086</v>
      </c>
      <c r="F410" s="10">
        <v>33.950000000000003</v>
      </c>
      <c r="G410" s="10">
        <v>33.950000000000003</v>
      </c>
      <c r="H410" s="10">
        <v>0.77</v>
      </c>
      <c r="I410" s="10">
        <v>38.590000000000003</v>
      </c>
    </row>
    <row r="411" spans="1:9" x14ac:dyDescent="0.25">
      <c r="A411">
        <v>1386</v>
      </c>
      <c r="B411" s="10" t="s">
        <v>2944</v>
      </c>
      <c r="C411" s="10" t="s">
        <v>3078</v>
      </c>
      <c r="D411" s="10">
        <v>2641</v>
      </c>
      <c r="E411" s="10" t="s">
        <v>3087</v>
      </c>
      <c r="F411" s="10">
        <v>66.5</v>
      </c>
      <c r="G411" s="10">
        <v>66.5</v>
      </c>
      <c r="H411" s="10">
        <v>0.76</v>
      </c>
      <c r="I411" s="10">
        <v>75.59</v>
      </c>
    </row>
    <row r="412" spans="1:9" x14ac:dyDescent="0.25">
      <c r="A412">
        <v>1387</v>
      </c>
      <c r="B412" s="10" t="s">
        <v>2944</v>
      </c>
      <c r="C412" s="10" t="s">
        <v>3078</v>
      </c>
      <c r="D412" s="10">
        <v>2642</v>
      </c>
      <c r="E412" s="10" t="s">
        <v>3088</v>
      </c>
      <c r="F412" s="10">
        <v>1399.95</v>
      </c>
      <c r="G412" s="10">
        <v>14.14</v>
      </c>
      <c r="H412" s="10">
        <v>0.8</v>
      </c>
      <c r="I412" s="10">
        <v>15.99</v>
      </c>
    </row>
    <row r="413" spans="1:9" x14ac:dyDescent="0.25">
      <c r="A413">
        <v>1433</v>
      </c>
      <c r="B413" s="10" t="s">
        <v>2944</v>
      </c>
      <c r="C413" s="10" t="s">
        <v>3089</v>
      </c>
      <c r="D413" s="10">
        <v>2643</v>
      </c>
      <c r="E413" s="10" t="s">
        <v>3090</v>
      </c>
      <c r="F413" s="10" t="s">
        <v>2830</v>
      </c>
      <c r="G413" s="10" t="s">
        <v>2831</v>
      </c>
      <c r="H413" s="10" t="s">
        <v>2643</v>
      </c>
      <c r="I413" s="10" t="s">
        <v>2425</v>
      </c>
    </row>
    <row r="414" spans="1:9" x14ac:dyDescent="0.25">
      <c r="A414">
        <v>1434</v>
      </c>
      <c r="B414" s="10" t="s">
        <v>2944</v>
      </c>
      <c r="C414" s="10" t="s">
        <v>3089</v>
      </c>
      <c r="D414" s="10">
        <v>2644</v>
      </c>
      <c r="E414" s="10" t="s">
        <v>3091</v>
      </c>
      <c r="F414" s="10" t="s">
        <v>2284</v>
      </c>
      <c r="G414" s="10" t="s">
        <v>2372</v>
      </c>
      <c r="H414" s="10" t="s">
        <v>3092</v>
      </c>
      <c r="I414" s="10" t="s">
        <v>2329</v>
      </c>
    </row>
    <row r="415" spans="1:9" x14ac:dyDescent="0.25">
      <c r="A415">
        <v>1435</v>
      </c>
      <c r="B415" s="10" t="s">
        <v>2944</v>
      </c>
      <c r="C415" s="10" t="s">
        <v>3089</v>
      </c>
      <c r="D415" s="10">
        <v>2645</v>
      </c>
      <c r="E415" s="10" t="s">
        <v>3093</v>
      </c>
      <c r="F415" s="10" t="s">
        <v>2284</v>
      </c>
      <c r="G415" s="10" t="s">
        <v>2372</v>
      </c>
      <c r="H415" s="10" t="s">
        <v>3092</v>
      </c>
      <c r="I415" s="10" t="s">
        <v>2329</v>
      </c>
    </row>
    <row r="416" spans="1:9" x14ac:dyDescent="0.25">
      <c r="A416">
        <v>1441</v>
      </c>
      <c r="B416" s="10" t="s">
        <v>2944</v>
      </c>
      <c r="C416" s="10" t="s">
        <v>2945</v>
      </c>
      <c r="D416" s="10">
        <v>2649</v>
      </c>
      <c r="E416" s="10" t="s">
        <v>3094</v>
      </c>
      <c r="F416" s="10" t="s">
        <v>2947</v>
      </c>
      <c r="G416" s="10" t="s">
        <v>2948</v>
      </c>
      <c r="H416" s="10" t="s">
        <v>2949</v>
      </c>
      <c r="I416" s="10" t="s">
        <v>2329</v>
      </c>
    </row>
    <row r="417" spans="1:9" x14ac:dyDescent="0.25">
      <c r="A417">
        <v>1426</v>
      </c>
      <c r="B417" s="10" t="s">
        <v>2944</v>
      </c>
      <c r="C417" s="10" t="s">
        <v>3095</v>
      </c>
      <c r="D417" s="10">
        <v>2651</v>
      </c>
      <c r="E417" s="10" t="s">
        <v>3096</v>
      </c>
      <c r="F417" s="10" t="s">
        <v>2690</v>
      </c>
      <c r="G417" s="10" t="s">
        <v>2691</v>
      </c>
      <c r="H417" s="10" t="s">
        <v>2213</v>
      </c>
      <c r="I417" s="10" t="s">
        <v>2315</v>
      </c>
    </row>
    <row r="418" spans="1:9" x14ac:dyDescent="0.25">
      <c r="A418">
        <v>1427</v>
      </c>
      <c r="B418" s="10" t="s">
        <v>2944</v>
      </c>
      <c r="C418" s="10" t="s">
        <v>3095</v>
      </c>
      <c r="D418" s="10">
        <v>2652</v>
      </c>
      <c r="E418" s="10" t="s">
        <v>3097</v>
      </c>
      <c r="F418" s="10" t="s">
        <v>2690</v>
      </c>
      <c r="G418" s="10" t="s">
        <v>2691</v>
      </c>
      <c r="H418" s="10" t="s">
        <v>2213</v>
      </c>
      <c r="I418" s="10" t="s">
        <v>2315</v>
      </c>
    </row>
    <row r="419" spans="1:9" x14ac:dyDescent="0.25">
      <c r="A419">
        <v>1428</v>
      </c>
      <c r="B419" s="10" t="s">
        <v>2944</v>
      </c>
      <c r="C419" s="10" t="s">
        <v>3095</v>
      </c>
      <c r="D419" s="10">
        <v>2653</v>
      </c>
      <c r="E419" s="10" t="s">
        <v>3098</v>
      </c>
      <c r="F419" s="10" t="s">
        <v>2390</v>
      </c>
      <c r="G419" s="10" t="s">
        <v>2391</v>
      </c>
      <c r="H419" s="10" t="s">
        <v>2640</v>
      </c>
      <c r="I419" s="10" t="s">
        <v>2118</v>
      </c>
    </row>
    <row r="420" spans="1:9" x14ac:dyDescent="0.25">
      <c r="A420">
        <v>1429</v>
      </c>
      <c r="B420" s="10" t="s">
        <v>2944</v>
      </c>
      <c r="C420" s="10" t="s">
        <v>3095</v>
      </c>
      <c r="D420" s="10">
        <v>2654</v>
      </c>
      <c r="E420" s="10" t="s">
        <v>3099</v>
      </c>
      <c r="F420" s="10" t="s">
        <v>3081</v>
      </c>
      <c r="G420" s="10" t="s">
        <v>2656</v>
      </c>
      <c r="H420" s="10" t="s">
        <v>3100</v>
      </c>
      <c r="I420" s="10" t="s">
        <v>2363</v>
      </c>
    </row>
    <row r="421" spans="1:9" x14ac:dyDescent="0.25">
      <c r="A421">
        <v>1442</v>
      </c>
      <c r="B421" s="10" t="s">
        <v>2944</v>
      </c>
      <c r="C421" s="10" t="s">
        <v>2945</v>
      </c>
      <c r="D421" s="10">
        <v>2655</v>
      </c>
      <c r="E421" s="10" t="s">
        <v>3101</v>
      </c>
      <c r="F421" s="10" t="s">
        <v>2947</v>
      </c>
      <c r="G421" s="10" t="s">
        <v>2948</v>
      </c>
      <c r="H421" s="10" t="s">
        <v>2949</v>
      </c>
      <c r="I421" s="10" t="s">
        <v>2329</v>
      </c>
    </row>
    <row r="422" spans="1:9" x14ac:dyDescent="0.25">
      <c r="A422">
        <v>1443</v>
      </c>
      <c r="B422" s="10" t="s">
        <v>2944</v>
      </c>
      <c r="C422" s="10" t="s">
        <v>2945</v>
      </c>
      <c r="D422" s="10">
        <v>2656</v>
      </c>
      <c r="E422" s="10" t="s">
        <v>3102</v>
      </c>
      <c r="F422" s="10" t="s">
        <v>2947</v>
      </c>
      <c r="G422" s="10" t="s">
        <v>2948</v>
      </c>
      <c r="H422" s="10" t="s">
        <v>2949</v>
      </c>
      <c r="I422" s="10" t="s">
        <v>2329</v>
      </c>
    </row>
    <row r="423" spans="1:9" x14ac:dyDescent="0.25">
      <c r="A423">
        <v>1444</v>
      </c>
      <c r="B423" s="10" t="s">
        <v>2944</v>
      </c>
      <c r="C423" s="10" t="s">
        <v>2945</v>
      </c>
      <c r="D423" s="10">
        <v>2657</v>
      </c>
      <c r="E423" s="10" t="s">
        <v>3103</v>
      </c>
      <c r="F423" s="10" t="s">
        <v>2947</v>
      </c>
      <c r="G423" s="10" t="s">
        <v>2948</v>
      </c>
      <c r="H423" s="10" t="s">
        <v>2949</v>
      </c>
      <c r="I423" s="10" t="s">
        <v>2329</v>
      </c>
    </row>
    <row r="424" spans="1:9" x14ac:dyDescent="0.25">
      <c r="A424">
        <v>1445</v>
      </c>
      <c r="B424" s="10" t="s">
        <v>2944</v>
      </c>
      <c r="C424" s="10" t="s">
        <v>2945</v>
      </c>
      <c r="D424" s="10">
        <v>2659</v>
      </c>
      <c r="E424" s="10" t="s">
        <v>3104</v>
      </c>
      <c r="F424" s="10" t="s">
        <v>2947</v>
      </c>
      <c r="G424" s="10" t="s">
        <v>2948</v>
      </c>
      <c r="H424" s="10" t="s">
        <v>2949</v>
      </c>
      <c r="I424" s="10" t="s">
        <v>2329</v>
      </c>
    </row>
    <row r="425" spans="1:9" x14ac:dyDescent="0.25">
      <c r="A425">
        <v>1446</v>
      </c>
      <c r="B425" s="10" t="s">
        <v>2944</v>
      </c>
      <c r="C425" s="10" t="s">
        <v>2945</v>
      </c>
      <c r="D425" s="10">
        <v>2661</v>
      </c>
      <c r="E425" s="10" t="s">
        <v>3105</v>
      </c>
      <c r="F425" s="10" t="s">
        <v>2947</v>
      </c>
      <c r="G425" s="10" t="s">
        <v>2948</v>
      </c>
      <c r="H425" s="10" t="s">
        <v>2949</v>
      </c>
      <c r="I425" s="10" t="s">
        <v>2329</v>
      </c>
    </row>
    <row r="426" spans="1:9" x14ac:dyDescent="0.25">
      <c r="A426">
        <v>1461</v>
      </c>
      <c r="B426" s="10" t="s">
        <v>2944</v>
      </c>
      <c r="C426" s="10" t="s">
        <v>3106</v>
      </c>
      <c r="D426" s="10">
        <v>2662</v>
      </c>
      <c r="E426" s="10" t="s">
        <v>3107</v>
      </c>
      <c r="F426" s="10" t="s">
        <v>2830</v>
      </c>
      <c r="G426" s="10" t="s">
        <v>2831</v>
      </c>
      <c r="H426" s="10" t="s">
        <v>3108</v>
      </c>
      <c r="I426" s="10" t="s">
        <v>2425</v>
      </c>
    </row>
    <row r="427" spans="1:9" x14ac:dyDescent="0.25">
      <c r="A427">
        <v>1447</v>
      </c>
      <c r="B427" s="10" t="s">
        <v>2944</v>
      </c>
      <c r="C427" s="10" t="s">
        <v>2945</v>
      </c>
      <c r="D427" s="10">
        <v>2663</v>
      </c>
      <c r="E427" s="10" t="s">
        <v>3109</v>
      </c>
      <c r="F427" s="10" t="s">
        <v>3110</v>
      </c>
      <c r="G427" s="10" t="s">
        <v>2948</v>
      </c>
      <c r="H427" s="10" t="s">
        <v>2949</v>
      </c>
      <c r="I427" s="10" t="s">
        <v>2329</v>
      </c>
    </row>
    <row r="428" spans="1:9" x14ac:dyDescent="0.25">
      <c r="A428">
        <v>1448</v>
      </c>
      <c r="B428" s="10" t="s">
        <v>2944</v>
      </c>
      <c r="C428" s="10" t="s">
        <v>2945</v>
      </c>
      <c r="D428" s="10">
        <v>2664</v>
      </c>
      <c r="E428" s="10" t="s">
        <v>3111</v>
      </c>
      <c r="F428" s="10" t="s">
        <v>2947</v>
      </c>
      <c r="G428" s="10" t="s">
        <v>2948</v>
      </c>
      <c r="H428" s="10" t="s">
        <v>2949</v>
      </c>
      <c r="I428" s="10" t="s">
        <v>2329</v>
      </c>
    </row>
    <row r="429" spans="1:9" x14ac:dyDescent="0.25">
      <c r="A429">
        <v>1449</v>
      </c>
      <c r="B429" s="10" t="s">
        <v>2944</v>
      </c>
      <c r="C429" s="10" t="s">
        <v>2945</v>
      </c>
      <c r="D429" s="10">
        <v>2665</v>
      </c>
      <c r="E429" s="10" t="s">
        <v>3112</v>
      </c>
      <c r="F429" s="10" t="s">
        <v>3110</v>
      </c>
      <c r="G429" s="10" t="s">
        <v>2948</v>
      </c>
      <c r="H429" s="10" t="s">
        <v>2949</v>
      </c>
      <c r="I429" s="10" t="s">
        <v>2329</v>
      </c>
    </row>
    <row r="430" spans="1:9" x14ac:dyDescent="0.25">
      <c r="A430">
        <v>1450</v>
      </c>
      <c r="B430" s="10" t="s">
        <v>2944</v>
      </c>
      <c r="C430" s="10" t="s">
        <v>2945</v>
      </c>
      <c r="D430" s="10">
        <v>2666</v>
      </c>
      <c r="E430" s="10" t="s">
        <v>3113</v>
      </c>
      <c r="F430" s="10" t="s">
        <v>3110</v>
      </c>
      <c r="G430" s="10" t="s">
        <v>2948</v>
      </c>
      <c r="H430" s="10" t="s">
        <v>2949</v>
      </c>
      <c r="I430" s="10" t="s">
        <v>2329</v>
      </c>
    </row>
    <row r="431" spans="1:9" x14ac:dyDescent="0.25">
      <c r="A431">
        <v>1451</v>
      </c>
      <c r="B431" s="10" t="s">
        <v>2944</v>
      </c>
      <c r="C431" s="10" t="s">
        <v>2945</v>
      </c>
      <c r="D431" s="10">
        <v>2667</v>
      </c>
      <c r="E431" s="10" t="s">
        <v>3114</v>
      </c>
      <c r="F431" s="10" t="s">
        <v>2947</v>
      </c>
      <c r="G431" s="10" t="s">
        <v>2948</v>
      </c>
      <c r="H431" s="10" t="s">
        <v>2949</v>
      </c>
      <c r="I431" s="10" t="s">
        <v>2329</v>
      </c>
    </row>
    <row r="432" spans="1:9" x14ac:dyDescent="0.25">
      <c r="A432">
        <v>1452</v>
      </c>
      <c r="B432" s="10" t="s">
        <v>2944</v>
      </c>
      <c r="C432" s="10" t="s">
        <v>2945</v>
      </c>
      <c r="D432" s="10">
        <v>2668</v>
      </c>
      <c r="E432" s="10" t="s">
        <v>3115</v>
      </c>
      <c r="F432" s="10" t="s">
        <v>2947</v>
      </c>
      <c r="G432" s="10" t="s">
        <v>2948</v>
      </c>
      <c r="H432" s="10" t="s">
        <v>2949</v>
      </c>
      <c r="I432" s="10" t="s">
        <v>2329</v>
      </c>
    </row>
    <row r="433" spans="1:9" x14ac:dyDescent="0.25">
      <c r="A433">
        <v>1453</v>
      </c>
      <c r="B433" s="10" t="s">
        <v>2944</v>
      </c>
      <c r="C433" s="10" t="s">
        <v>2945</v>
      </c>
      <c r="D433" s="10">
        <v>2669</v>
      </c>
      <c r="E433" s="10" t="s">
        <v>3116</v>
      </c>
      <c r="F433" s="10" t="s">
        <v>2947</v>
      </c>
      <c r="G433" s="10" t="s">
        <v>2948</v>
      </c>
      <c r="H433" s="10" t="s">
        <v>2949</v>
      </c>
      <c r="I433" s="10" t="s">
        <v>2329</v>
      </c>
    </row>
    <row r="434" spans="1:9" x14ac:dyDescent="0.25">
      <c r="A434">
        <v>1538</v>
      </c>
      <c r="B434" s="10" t="s">
        <v>2671</v>
      </c>
      <c r="C434" s="10" t="s">
        <v>2944</v>
      </c>
      <c r="D434" s="10">
        <v>2670</v>
      </c>
      <c r="E434" s="10" t="s">
        <v>3117</v>
      </c>
      <c r="F434" s="10" t="s">
        <v>3118</v>
      </c>
      <c r="G434" s="10" t="s">
        <v>2707</v>
      </c>
      <c r="H434" s="10" t="s">
        <v>3108</v>
      </c>
      <c r="I434" s="10" t="s">
        <v>2425</v>
      </c>
    </row>
    <row r="435" spans="1:9" x14ac:dyDescent="0.25">
      <c r="A435">
        <v>1476</v>
      </c>
      <c r="B435" s="10" t="s">
        <v>2944</v>
      </c>
      <c r="C435" s="10" t="s">
        <v>3119</v>
      </c>
      <c r="D435" s="10">
        <v>2672</v>
      </c>
      <c r="E435" s="10" t="s">
        <v>3120</v>
      </c>
      <c r="F435" s="10" t="s">
        <v>3121</v>
      </c>
      <c r="G435" s="10" t="s">
        <v>3122</v>
      </c>
      <c r="H435" s="10" t="s">
        <v>3123</v>
      </c>
      <c r="I435" s="10" t="s">
        <v>2503</v>
      </c>
    </row>
    <row r="436" spans="1:9" x14ac:dyDescent="0.25">
      <c r="A436">
        <v>1477</v>
      </c>
      <c r="B436" s="10" t="s">
        <v>2944</v>
      </c>
      <c r="C436" s="10" t="s">
        <v>3119</v>
      </c>
      <c r="D436" s="10">
        <v>2674</v>
      </c>
      <c r="E436" s="10" t="s">
        <v>3124</v>
      </c>
      <c r="F436" s="10" t="s">
        <v>3121</v>
      </c>
      <c r="G436" s="10" t="s">
        <v>3122</v>
      </c>
      <c r="H436" s="10" t="s">
        <v>3123</v>
      </c>
      <c r="I436" s="10" t="s">
        <v>2503</v>
      </c>
    </row>
    <row r="437" spans="1:9" x14ac:dyDescent="0.25">
      <c r="A437">
        <v>1454</v>
      </c>
      <c r="B437" s="10" t="s">
        <v>2944</v>
      </c>
      <c r="C437" s="10" t="s">
        <v>2945</v>
      </c>
      <c r="D437" s="10">
        <v>2675</v>
      </c>
      <c r="E437" s="10" t="s">
        <v>3125</v>
      </c>
      <c r="F437" s="10" t="s">
        <v>2947</v>
      </c>
      <c r="G437" s="10" t="s">
        <v>2948</v>
      </c>
      <c r="H437" s="10" t="s">
        <v>2949</v>
      </c>
      <c r="I437" s="10" t="s">
        <v>2329</v>
      </c>
    </row>
    <row r="438" spans="1:9" x14ac:dyDescent="0.25">
      <c r="A438">
        <v>1462</v>
      </c>
      <c r="B438" s="10" t="s">
        <v>2944</v>
      </c>
      <c r="C438" s="10" t="s">
        <v>3106</v>
      </c>
      <c r="D438" s="10">
        <v>2677</v>
      </c>
      <c r="E438" s="10" t="s">
        <v>3126</v>
      </c>
      <c r="F438" s="10" t="s">
        <v>2947</v>
      </c>
      <c r="G438" s="10" t="s">
        <v>2948</v>
      </c>
      <c r="H438" s="10" t="s">
        <v>2949</v>
      </c>
      <c r="I438" s="10" t="s">
        <v>2329</v>
      </c>
    </row>
    <row r="439" spans="1:9" x14ac:dyDescent="0.25">
      <c r="A439">
        <v>1463</v>
      </c>
      <c r="B439" s="10" t="s">
        <v>2944</v>
      </c>
      <c r="C439" s="10" t="s">
        <v>3106</v>
      </c>
      <c r="D439" s="10">
        <v>2679</v>
      </c>
      <c r="E439" s="10" t="s">
        <v>3127</v>
      </c>
      <c r="F439" s="10" t="s">
        <v>2947</v>
      </c>
      <c r="G439" s="10" t="s">
        <v>2948</v>
      </c>
      <c r="H439" s="10" t="s">
        <v>2949</v>
      </c>
      <c r="I439" s="10" t="s">
        <v>2329</v>
      </c>
    </row>
    <row r="440" spans="1:9" x14ac:dyDescent="0.25">
      <c r="A440">
        <v>1478</v>
      </c>
      <c r="B440" s="10" t="s">
        <v>2944</v>
      </c>
      <c r="C440" s="10" t="s">
        <v>3119</v>
      </c>
      <c r="D440" s="10">
        <v>2680</v>
      </c>
      <c r="E440" s="10" t="s">
        <v>3128</v>
      </c>
      <c r="F440" s="10" t="s">
        <v>3121</v>
      </c>
      <c r="G440" s="10" t="s">
        <v>3122</v>
      </c>
      <c r="H440" s="10" t="s">
        <v>3123</v>
      </c>
      <c r="I440" s="10" t="s">
        <v>2503</v>
      </c>
    </row>
    <row r="441" spans="1:9" x14ac:dyDescent="0.25">
      <c r="A441">
        <v>1464</v>
      </c>
      <c r="B441" s="10" t="s">
        <v>2944</v>
      </c>
      <c r="C441" s="10" t="s">
        <v>3106</v>
      </c>
      <c r="D441" s="10">
        <v>2682</v>
      </c>
      <c r="E441" s="10" t="s">
        <v>3129</v>
      </c>
      <c r="F441" s="10" t="s">
        <v>2953</v>
      </c>
      <c r="G441" s="10" t="s">
        <v>2793</v>
      </c>
      <c r="H441" s="10" t="s">
        <v>3130</v>
      </c>
      <c r="I441" s="10" t="s">
        <v>3131</v>
      </c>
    </row>
    <row r="442" spans="1:9" x14ac:dyDescent="0.25">
      <c r="A442">
        <v>1539</v>
      </c>
      <c r="B442" s="10" t="s">
        <v>2671</v>
      </c>
      <c r="C442" s="10" t="s">
        <v>2944</v>
      </c>
      <c r="D442" s="10">
        <v>2683</v>
      </c>
      <c r="E442" s="10" t="s">
        <v>3132</v>
      </c>
      <c r="F442" s="10" t="s">
        <v>3133</v>
      </c>
      <c r="G442" s="10" t="s">
        <v>2831</v>
      </c>
      <c r="H442" s="10" t="s">
        <v>3108</v>
      </c>
      <c r="I442" s="10" t="s">
        <v>2425</v>
      </c>
    </row>
    <row r="443" spans="1:9" x14ac:dyDescent="0.25">
      <c r="A443">
        <v>1540</v>
      </c>
      <c r="B443" s="10" t="s">
        <v>2671</v>
      </c>
      <c r="C443" s="10" t="s">
        <v>2944</v>
      </c>
      <c r="D443" s="10">
        <v>2684</v>
      </c>
      <c r="E443" s="10" t="s">
        <v>3134</v>
      </c>
      <c r="F443" s="10" t="s">
        <v>3135</v>
      </c>
      <c r="G443" s="10" t="s">
        <v>3136</v>
      </c>
      <c r="H443" s="10" t="s">
        <v>3130</v>
      </c>
      <c r="I443" s="10" t="s">
        <v>3131</v>
      </c>
    </row>
    <row r="444" spans="1:9" x14ac:dyDescent="0.25">
      <c r="A444">
        <v>1465</v>
      </c>
      <c r="B444" s="10" t="s">
        <v>2944</v>
      </c>
      <c r="C444" s="10" t="s">
        <v>3106</v>
      </c>
      <c r="D444" s="10">
        <v>2685</v>
      </c>
      <c r="E444" s="10" t="s">
        <v>3137</v>
      </c>
      <c r="F444" s="10" t="s">
        <v>2960</v>
      </c>
      <c r="G444" s="10" t="s">
        <v>3138</v>
      </c>
      <c r="H444" s="10" t="s">
        <v>3139</v>
      </c>
      <c r="I444" s="10" t="s">
        <v>2315</v>
      </c>
    </row>
    <row r="445" spans="1:9" x14ac:dyDescent="0.25">
      <c r="A445">
        <v>1541</v>
      </c>
      <c r="B445" s="10" t="s">
        <v>2671</v>
      </c>
      <c r="C445" s="10" t="s">
        <v>2944</v>
      </c>
      <c r="D445" s="10">
        <v>2688</v>
      </c>
      <c r="E445" s="10" t="s">
        <v>3140</v>
      </c>
      <c r="F445" s="10" t="s">
        <v>3141</v>
      </c>
      <c r="G445" s="10" t="s">
        <v>2948</v>
      </c>
      <c r="H445" s="10" t="s">
        <v>2949</v>
      </c>
      <c r="I445" s="10" t="s">
        <v>2329</v>
      </c>
    </row>
    <row r="446" spans="1:9" x14ac:dyDescent="0.25">
      <c r="A446">
        <v>1388</v>
      </c>
      <c r="B446" s="10" t="s">
        <v>2944</v>
      </c>
      <c r="C446" s="10" t="s">
        <v>3142</v>
      </c>
      <c r="D446" s="10">
        <v>2691</v>
      </c>
      <c r="E446" s="10" t="s">
        <v>3143</v>
      </c>
      <c r="F446" s="10" t="s">
        <v>2485</v>
      </c>
      <c r="G446" s="10" t="s">
        <v>3144</v>
      </c>
      <c r="H446" s="10" t="s">
        <v>3145</v>
      </c>
      <c r="I446" s="10" t="s">
        <v>3146</v>
      </c>
    </row>
    <row r="447" spans="1:9" x14ac:dyDescent="0.25">
      <c r="A447">
        <v>1389</v>
      </c>
      <c r="B447" s="10" t="s">
        <v>2944</v>
      </c>
      <c r="C447" s="10" t="s">
        <v>3142</v>
      </c>
      <c r="D447" s="10">
        <v>2692</v>
      </c>
      <c r="E447" s="10" t="s">
        <v>3147</v>
      </c>
      <c r="F447" s="10" t="s">
        <v>3148</v>
      </c>
      <c r="G447" s="10" t="s">
        <v>3149</v>
      </c>
      <c r="H447" s="10" t="s">
        <v>3145</v>
      </c>
      <c r="I447" s="10" t="s">
        <v>3146</v>
      </c>
    </row>
    <row r="448" spans="1:9" x14ac:dyDescent="0.25">
      <c r="A448">
        <v>298</v>
      </c>
      <c r="B448" s="10" t="s">
        <v>2685</v>
      </c>
      <c r="C448" s="10" t="s">
        <v>3150</v>
      </c>
      <c r="D448" s="10">
        <v>2700</v>
      </c>
      <c r="E448" s="10" t="s">
        <v>3151</v>
      </c>
      <c r="F448" s="10" t="s">
        <v>2365</v>
      </c>
      <c r="G448" s="10" t="s">
        <v>2366</v>
      </c>
      <c r="H448" s="10" t="s">
        <v>2721</v>
      </c>
      <c r="I448" s="10" t="s">
        <v>2368</v>
      </c>
    </row>
    <row r="449" spans="1:9" x14ac:dyDescent="0.25">
      <c r="A449">
        <v>1466</v>
      </c>
      <c r="B449" s="10" t="s">
        <v>2944</v>
      </c>
      <c r="C449" s="10" t="s">
        <v>3106</v>
      </c>
      <c r="D449" s="10">
        <v>2702</v>
      </c>
      <c r="E449" s="10" t="s">
        <v>3152</v>
      </c>
      <c r="F449" s="10" t="s">
        <v>3153</v>
      </c>
      <c r="G449" s="10" t="s">
        <v>2831</v>
      </c>
      <c r="H449" s="10" t="s">
        <v>3108</v>
      </c>
      <c r="I449" s="10" t="s">
        <v>2425</v>
      </c>
    </row>
    <row r="450" spans="1:9" x14ac:dyDescent="0.25">
      <c r="A450">
        <v>293</v>
      </c>
      <c r="B450" s="10" t="s">
        <v>2685</v>
      </c>
      <c r="C450" s="10" t="s">
        <v>3154</v>
      </c>
      <c r="D450" s="10">
        <v>2703</v>
      </c>
      <c r="E450" s="10" t="s">
        <v>3155</v>
      </c>
      <c r="F450" s="10" t="s">
        <v>2690</v>
      </c>
      <c r="G450" s="10" t="s">
        <v>2691</v>
      </c>
      <c r="H450" s="10" t="s">
        <v>3024</v>
      </c>
      <c r="I450" s="10" t="s">
        <v>2315</v>
      </c>
    </row>
    <row r="451" spans="1:9" x14ac:dyDescent="0.25">
      <c r="A451">
        <v>299</v>
      </c>
      <c r="B451" s="10" t="s">
        <v>2685</v>
      </c>
      <c r="C451" s="10" t="s">
        <v>3150</v>
      </c>
      <c r="D451" s="10">
        <v>2704</v>
      </c>
      <c r="E451" s="10" t="s">
        <v>3156</v>
      </c>
      <c r="F451" s="10" t="s">
        <v>2365</v>
      </c>
      <c r="G451" s="10" t="s">
        <v>2366</v>
      </c>
      <c r="H451" s="10" t="s">
        <v>2721</v>
      </c>
      <c r="I451" s="10" t="s">
        <v>2368</v>
      </c>
    </row>
    <row r="452" spans="1:9" x14ac:dyDescent="0.25">
      <c r="A452">
        <v>294</v>
      </c>
      <c r="B452" s="10" t="s">
        <v>2685</v>
      </c>
      <c r="C452" s="10" t="s">
        <v>3154</v>
      </c>
      <c r="D452" s="10">
        <v>2705</v>
      </c>
      <c r="E452" s="10" t="s">
        <v>3157</v>
      </c>
      <c r="F452" s="10" t="s">
        <v>2690</v>
      </c>
      <c r="G452" s="10" t="s">
        <v>2691</v>
      </c>
      <c r="H452" s="10" t="s">
        <v>3024</v>
      </c>
      <c r="I452" s="10" t="s">
        <v>2315</v>
      </c>
    </row>
    <row r="453" spans="1:9" x14ac:dyDescent="0.25">
      <c r="A453">
        <v>1542</v>
      </c>
      <c r="B453" s="10" t="s">
        <v>2671</v>
      </c>
      <c r="C453" s="10" t="s">
        <v>2944</v>
      </c>
      <c r="D453" s="10">
        <v>2706</v>
      </c>
      <c r="E453" s="10" t="s">
        <v>3158</v>
      </c>
      <c r="F453" s="10" t="s">
        <v>3141</v>
      </c>
      <c r="G453" s="10" t="s">
        <v>2948</v>
      </c>
      <c r="H453" s="10" t="s">
        <v>2949</v>
      </c>
      <c r="I453" s="10" t="s">
        <v>2329</v>
      </c>
    </row>
    <row r="454" spans="1:9" x14ac:dyDescent="0.25">
      <c r="A454">
        <v>317</v>
      </c>
      <c r="B454" s="10" t="s">
        <v>2685</v>
      </c>
      <c r="C454" s="10" t="s">
        <v>3159</v>
      </c>
      <c r="D454" s="10">
        <v>2707</v>
      </c>
      <c r="E454" s="10" t="s">
        <v>3160</v>
      </c>
      <c r="F454" s="10" t="s">
        <v>2333</v>
      </c>
      <c r="G454" s="10" t="s">
        <v>2334</v>
      </c>
      <c r="H454" s="10" t="s">
        <v>2558</v>
      </c>
      <c r="I454" s="10" t="s">
        <v>2336</v>
      </c>
    </row>
    <row r="455" spans="1:9" x14ac:dyDescent="0.25">
      <c r="A455">
        <v>318</v>
      </c>
      <c r="B455" s="10" t="s">
        <v>2685</v>
      </c>
      <c r="C455" s="10" t="s">
        <v>3159</v>
      </c>
      <c r="D455" s="10">
        <v>2708</v>
      </c>
      <c r="E455" s="10" t="s">
        <v>3155</v>
      </c>
      <c r="F455" s="10" t="s">
        <v>2333</v>
      </c>
      <c r="G455" s="10" t="s">
        <v>2334</v>
      </c>
      <c r="H455" s="10" t="s">
        <v>2558</v>
      </c>
      <c r="I455" s="10" t="s">
        <v>2336</v>
      </c>
    </row>
    <row r="456" spans="1:9" x14ac:dyDescent="0.25">
      <c r="A456">
        <v>319</v>
      </c>
      <c r="B456" s="10" t="s">
        <v>2685</v>
      </c>
      <c r="C456" s="10" t="s">
        <v>3159</v>
      </c>
      <c r="D456" s="10">
        <v>2709</v>
      </c>
      <c r="E456" s="10" t="s">
        <v>3157</v>
      </c>
      <c r="F456" s="10" t="s">
        <v>2333</v>
      </c>
      <c r="G456" s="10" t="s">
        <v>2334</v>
      </c>
      <c r="H456" s="10" t="s">
        <v>2558</v>
      </c>
      <c r="I456" s="10" t="s">
        <v>2336</v>
      </c>
    </row>
    <row r="457" spans="1:9" x14ac:dyDescent="0.25">
      <c r="A457">
        <v>320</v>
      </c>
      <c r="B457" s="10" t="s">
        <v>2685</v>
      </c>
      <c r="C457" s="10" t="s">
        <v>3159</v>
      </c>
      <c r="D457" s="10">
        <v>2710</v>
      </c>
      <c r="E457" s="10" t="s">
        <v>3161</v>
      </c>
      <c r="F457" s="10" t="s">
        <v>2333</v>
      </c>
      <c r="G457" s="10" t="s">
        <v>2334</v>
      </c>
      <c r="H457" s="10" t="s">
        <v>2558</v>
      </c>
      <c r="I457" s="10" t="s">
        <v>2336</v>
      </c>
    </row>
    <row r="458" spans="1:9" x14ac:dyDescent="0.25">
      <c r="A458">
        <v>286</v>
      </c>
      <c r="B458" s="10" t="s">
        <v>2685</v>
      </c>
      <c r="C458" s="10" t="s">
        <v>3162</v>
      </c>
      <c r="D458" s="10">
        <v>2711</v>
      </c>
      <c r="E458" s="10" t="s">
        <v>3163</v>
      </c>
      <c r="F458" s="10">
        <v>18.5</v>
      </c>
      <c r="G458" s="10">
        <v>0.77</v>
      </c>
      <c r="H458" s="10">
        <v>1.65</v>
      </c>
      <c r="I458" s="10">
        <v>0.99</v>
      </c>
    </row>
    <row r="459" spans="1:9" x14ac:dyDescent="0.25">
      <c r="A459">
        <v>321</v>
      </c>
      <c r="B459" s="10" t="s">
        <v>2685</v>
      </c>
      <c r="C459" s="10" t="s">
        <v>3159</v>
      </c>
      <c r="D459" s="10">
        <v>2713</v>
      </c>
      <c r="E459" s="10" t="s">
        <v>3164</v>
      </c>
      <c r="F459" s="10" t="s">
        <v>2333</v>
      </c>
      <c r="G459" s="10" t="s">
        <v>2334</v>
      </c>
      <c r="H459" s="10" t="s">
        <v>2558</v>
      </c>
      <c r="I459" s="10" t="s">
        <v>2336</v>
      </c>
    </row>
    <row r="460" spans="1:9" x14ac:dyDescent="0.25">
      <c r="A460">
        <v>322</v>
      </c>
      <c r="B460" s="10" t="s">
        <v>2685</v>
      </c>
      <c r="C460" s="10" t="s">
        <v>3159</v>
      </c>
      <c r="D460" s="10">
        <v>2714</v>
      </c>
      <c r="E460" s="10" t="s">
        <v>3165</v>
      </c>
      <c r="F460" s="10" t="s">
        <v>2333</v>
      </c>
      <c r="G460" s="10" t="s">
        <v>2334</v>
      </c>
      <c r="H460" s="10" t="s">
        <v>2558</v>
      </c>
      <c r="I460" s="10" t="s">
        <v>2336</v>
      </c>
    </row>
    <row r="461" spans="1:9" x14ac:dyDescent="0.25">
      <c r="A461">
        <v>251</v>
      </c>
      <c r="B461" s="10" t="s">
        <v>2685</v>
      </c>
      <c r="C461" s="10" t="s">
        <v>3166</v>
      </c>
      <c r="D461" s="10">
        <v>2715</v>
      </c>
      <c r="E461" s="10" t="s">
        <v>3167</v>
      </c>
      <c r="F461" s="10">
        <v>19.95</v>
      </c>
      <c r="G461" s="10">
        <v>0.42</v>
      </c>
      <c r="H461" s="10">
        <v>0.89</v>
      </c>
      <c r="I461" s="10">
        <v>0.59</v>
      </c>
    </row>
    <row r="462" spans="1:9" x14ac:dyDescent="0.25">
      <c r="A462">
        <v>287</v>
      </c>
      <c r="B462" s="10" t="s">
        <v>2685</v>
      </c>
      <c r="C462" s="10" t="s">
        <v>3162</v>
      </c>
      <c r="D462" s="10">
        <v>2716</v>
      </c>
      <c r="E462" s="10" t="s">
        <v>3168</v>
      </c>
      <c r="F462" s="10">
        <v>18.5</v>
      </c>
      <c r="G462" s="10">
        <v>0.77</v>
      </c>
      <c r="H462" s="10">
        <v>1.65</v>
      </c>
      <c r="I462" s="10">
        <v>0.99</v>
      </c>
    </row>
    <row r="463" spans="1:9" x14ac:dyDescent="0.25">
      <c r="A463">
        <v>252</v>
      </c>
      <c r="B463" s="10" t="s">
        <v>2685</v>
      </c>
      <c r="C463" s="10" t="s">
        <v>3166</v>
      </c>
      <c r="D463" s="10">
        <v>2717</v>
      </c>
      <c r="E463" s="10" t="s">
        <v>3169</v>
      </c>
      <c r="F463" s="10">
        <v>19.95</v>
      </c>
      <c r="G463" s="10">
        <v>0.42</v>
      </c>
      <c r="H463" s="10">
        <v>0.89</v>
      </c>
      <c r="I463" s="10">
        <v>0.59</v>
      </c>
    </row>
    <row r="464" spans="1:9" x14ac:dyDescent="0.25">
      <c r="A464">
        <v>288</v>
      </c>
      <c r="B464" s="10" t="s">
        <v>2685</v>
      </c>
      <c r="C464" s="10" t="s">
        <v>3162</v>
      </c>
      <c r="D464" s="10">
        <v>2718</v>
      </c>
      <c r="E464" s="10" t="s">
        <v>3170</v>
      </c>
      <c r="F464" s="10">
        <v>18.5</v>
      </c>
      <c r="G464" s="10">
        <v>0.77</v>
      </c>
      <c r="H464" s="10">
        <v>1.65</v>
      </c>
      <c r="I464" s="10">
        <v>0.99</v>
      </c>
    </row>
    <row r="465" spans="1:9" x14ac:dyDescent="0.25">
      <c r="A465">
        <v>289</v>
      </c>
      <c r="B465" s="10" t="s">
        <v>2685</v>
      </c>
      <c r="C465" s="10" t="s">
        <v>3162</v>
      </c>
      <c r="D465" s="10">
        <v>2720</v>
      </c>
      <c r="E465" s="10" t="s">
        <v>3171</v>
      </c>
      <c r="F465" s="10">
        <v>18.5</v>
      </c>
      <c r="G465" s="10">
        <v>0.77</v>
      </c>
      <c r="H465" s="10">
        <v>1.65</v>
      </c>
      <c r="I465" s="10">
        <v>0.99</v>
      </c>
    </row>
    <row r="466" spans="1:9" x14ac:dyDescent="0.25">
      <c r="A466">
        <v>257</v>
      </c>
      <c r="B466" s="10" t="s">
        <v>2685</v>
      </c>
      <c r="C466" s="10" t="s">
        <v>3172</v>
      </c>
      <c r="D466" s="10">
        <v>2721</v>
      </c>
      <c r="E466" s="10" t="s">
        <v>3173</v>
      </c>
      <c r="F466" s="10">
        <v>18.5</v>
      </c>
      <c r="G466" s="10">
        <v>0.77</v>
      </c>
      <c r="H466" s="10">
        <v>1.65</v>
      </c>
      <c r="I466" s="10">
        <v>0.99</v>
      </c>
    </row>
    <row r="467" spans="1:9" x14ac:dyDescent="0.25">
      <c r="A467">
        <v>258</v>
      </c>
      <c r="B467" s="10" t="s">
        <v>2685</v>
      </c>
      <c r="C467" s="10" t="s">
        <v>3172</v>
      </c>
      <c r="D467" s="10">
        <v>2722</v>
      </c>
      <c r="E467" s="10" t="s">
        <v>3168</v>
      </c>
      <c r="F467" s="10">
        <v>18.5</v>
      </c>
      <c r="G467" s="10">
        <v>0.77</v>
      </c>
      <c r="H467" s="10">
        <v>1.65</v>
      </c>
      <c r="I467" s="10">
        <v>0.99</v>
      </c>
    </row>
    <row r="468" spans="1:9" x14ac:dyDescent="0.25">
      <c r="A468">
        <v>259</v>
      </c>
      <c r="B468" s="10" t="s">
        <v>2685</v>
      </c>
      <c r="C468" s="10" t="s">
        <v>3172</v>
      </c>
      <c r="D468" s="10">
        <v>2723</v>
      </c>
      <c r="E468" s="10" t="s">
        <v>3174</v>
      </c>
      <c r="F468" s="10">
        <v>18.5</v>
      </c>
      <c r="G468" s="10">
        <v>0.77</v>
      </c>
      <c r="H468" s="10">
        <v>1.65</v>
      </c>
      <c r="I468" s="10">
        <v>0.99</v>
      </c>
    </row>
    <row r="469" spans="1:9" x14ac:dyDescent="0.25">
      <c r="A469">
        <v>295</v>
      </c>
      <c r="B469" s="10" t="s">
        <v>2685</v>
      </c>
      <c r="C469" s="10" t="s">
        <v>3154</v>
      </c>
      <c r="D469" s="10">
        <v>2724</v>
      </c>
      <c r="E469" s="10" t="s">
        <v>3175</v>
      </c>
      <c r="F469" s="10" t="s">
        <v>2690</v>
      </c>
      <c r="G469" s="10" t="s">
        <v>2691</v>
      </c>
      <c r="H469" s="10" t="s">
        <v>3024</v>
      </c>
      <c r="I469" s="10" t="s">
        <v>2315</v>
      </c>
    </row>
    <row r="470" spans="1:9" x14ac:dyDescent="0.25">
      <c r="A470">
        <v>290</v>
      </c>
      <c r="B470" s="10" t="s">
        <v>2685</v>
      </c>
      <c r="C470" s="10" t="s">
        <v>3162</v>
      </c>
      <c r="D470" s="10">
        <v>2725</v>
      </c>
      <c r="E470" s="10" t="s">
        <v>3176</v>
      </c>
      <c r="F470" s="10">
        <v>20.95</v>
      </c>
      <c r="G470" s="10">
        <v>0.87</v>
      </c>
      <c r="H470" s="10">
        <v>1.98</v>
      </c>
      <c r="I470" s="10">
        <v>1.19</v>
      </c>
    </row>
    <row r="471" spans="1:9" x14ac:dyDescent="0.25">
      <c r="A471">
        <v>291</v>
      </c>
      <c r="B471" s="10" t="s">
        <v>2685</v>
      </c>
      <c r="C471" s="10" t="s">
        <v>3162</v>
      </c>
      <c r="D471" s="10">
        <v>2726</v>
      </c>
      <c r="E471" s="10" t="s">
        <v>3177</v>
      </c>
      <c r="F471" s="10">
        <v>18.5</v>
      </c>
      <c r="G471" s="10">
        <v>0.77</v>
      </c>
      <c r="H471" s="10">
        <v>1.65</v>
      </c>
      <c r="I471" s="10">
        <v>0.99</v>
      </c>
    </row>
    <row r="472" spans="1:9" x14ac:dyDescent="0.25">
      <c r="A472">
        <v>274</v>
      </c>
      <c r="B472" s="10" t="s">
        <v>2685</v>
      </c>
      <c r="C472" s="10" t="s">
        <v>3178</v>
      </c>
      <c r="D472" s="10">
        <v>2727</v>
      </c>
      <c r="E472" s="10" t="s">
        <v>3179</v>
      </c>
      <c r="F472" s="10" t="s">
        <v>2333</v>
      </c>
      <c r="G472" s="10" t="s">
        <v>2334</v>
      </c>
      <c r="H472" s="10" t="s">
        <v>3180</v>
      </c>
      <c r="I472" s="10" t="s">
        <v>2336</v>
      </c>
    </row>
    <row r="473" spans="1:9" x14ac:dyDescent="0.25">
      <c r="A473">
        <v>323</v>
      </c>
      <c r="B473" s="10" t="s">
        <v>2685</v>
      </c>
      <c r="C473" s="10" t="s">
        <v>3159</v>
      </c>
      <c r="D473" s="10">
        <v>2729</v>
      </c>
      <c r="E473" s="10" t="s">
        <v>3181</v>
      </c>
      <c r="F473" s="10" t="s">
        <v>2333</v>
      </c>
      <c r="G473" s="10" t="s">
        <v>2334</v>
      </c>
      <c r="H473" s="10" t="s">
        <v>2558</v>
      </c>
      <c r="I473" s="10" t="s">
        <v>2336</v>
      </c>
    </row>
    <row r="474" spans="1:9" x14ac:dyDescent="0.25">
      <c r="A474">
        <v>292</v>
      </c>
      <c r="B474" s="10" t="s">
        <v>2685</v>
      </c>
      <c r="C474" s="10" t="s">
        <v>3162</v>
      </c>
      <c r="D474" s="10">
        <v>2730</v>
      </c>
      <c r="E474" s="10" t="s">
        <v>3182</v>
      </c>
      <c r="F474" s="10">
        <v>18.5</v>
      </c>
      <c r="G474" s="10">
        <v>0.77</v>
      </c>
      <c r="H474" s="10">
        <v>1.65</v>
      </c>
      <c r="I474" s="10">
        <v>0.99</v>
      </c>
    </row>
    <row r="475" spans="1:9" x14ac:dyDescent="0.25">
      <c r="A475">
        <v>275</v>
      </c>
      <c r="B475" s="10" t="s">
        <v>2685</v>
      </c>
      <c r="C475" s="10" t="s">
        <v>3178</v>
      </c>
      <c r="D475" s="10">
        <v>2731</v>
      </c>
      <c r="E475" s="10" t="s">
        <v>3160</v>
      </c>
      <c r="F475" s="10" t="s">
        <v>2690</v>
      </c>
      <c r="G475" s="10" t="s">
        <v>2691</v>
      </c>
      <c r="H475" s="10" t="s">
        <v>3024</v>
      </c>
      <c r="I475" s="10" t="s">
        <v>2315</v>
      </c>
    </row>
    <row r="476" spans="1:9" x14ac:dyDescent="0.25">
      <c r="A476">
        <v>276</v>
      </c>
      <c r="B476" s="10" t="s">
        <v>2685</v>
      </c>
      <c r="C476" s="10" t="s">
        <v>3178</v>
      </c>
      <c r="D476" s="10">
        <v>2732</v>
      </c>
      <c r="E476" s="10" t="s">
        <v>3155</v>
      </c>
      <c r="F476" s="10" t="s">
        <v>2690</v>
      </c>
      <c r="G476" s="10" t="s">
        <v>2691</v>
      </c>
      <c r="H476" s="10" t="s">
        <v>3024</v>
      </c>
      <c r="I476" s="10" t="s">
        <v>2315</v>
      </c>
    </row>
    <row r="477" spans="1:9" x14ac:dyDescent="0.25">
      <c r="A477">
        <v>277</v>
      </c>
      <c r="B477" s="10" t="s">
        <v>2685</v>
      </c>
      <c r="C477" s="10" t="s">
        <v>3178</v>
      </c>
      <c r="D477" s="10">
        <v>2733</v>
      </c>
      <c r="E477" s="10" t="s">
        <v>3157</v>
      </c>
      <c r="F477" s="10" t="s">
        <v>2690</v>
      </c>
      <c r="G477" s="10" t="s">
        <v>2691</v>
      </c>
      <c r="H477" s="10" t="s">
        <v>3024</v>
      </c>
      <c r="I477" s="10" t="s">
        <v>2315</v>
      </c>
    </row>
    <row r="478" spans="1:9" x14ac:dyDescent="0.25">
      <c r="A478">
        <v>260</v>
      </c>
      <c r="B478" s="10" t="s">
        <v>2685</v>
      </c>
      <c r="C478" s="10" t="s">
        <v>3172</v>
      </c>
      <c r="D478" s="10">
        <v>2735</v>
      </c>
      <c r="E478" s="10" t="s">
        <v>3183</v>
      </c>
      <c r="F478" s="10">
        <v>21.35</v>
      </c>
      <c r="G478" s="10">
        <v>0.89</v>
      </c>
      <c r="H478" s="10">
        <v>1.98</v>
      </c>
      <c r="I478" s="10">
        <v>1.19</v>
      </c>
    </row>
    <row r="479" spans="1:9" x14ac:dyDescent="0.25">
      <c r="A479">
        <v>261</v>
      </c>
      <c r="B479" s="10" t="s">
        <v>2685</v>
      </c>
      <c r="C479" s="10" t="s">
        <v>3172</v>
      </c>
      <c r="D479" s="10">
        <v>2736</v>
      </c>
      <c r="E479" s="10" t="s">
        <v>3184</v>
      </c>
      <c r="F479" s="10">
        <v>19.649999999999999</v>
      </c>
      <c r="G479" s="10">
        <v>0.82</v>
      </c>
      <c r="H479" s="10">
        <v>1.82</v>
      </c>
      <c r="I479" s="10">
        <v>1.0900000000000001</v>
      </c>
    </row>
    <row r="480" spans="1:9" x14ac:dyDescent="0.25">
      <c r="A480">
        <v>262</v>
      </c>
      <c r="B480" s="10" t="s">
        <v>2685</v>
      </c>
      <c r="C480" s="10" t="s">
        <v>3172</v>
      </c>
      <c r="D480" s="10">
        <v>2737</v>
      </c>
      <c r="E480" s="10" t="s">
        <v>3185</v>
      </c>
      <c r="F480" s="10">
        <v>21.35</v>
      </c>
      <c r="G480" s="10">
        <v>0.89</v>
      </c>
      <c r="H480" s="10">
        <v>1.98</v>
      </c>
      <c r="I480" s="10">
        <v>1.19</v>
      </c>
    </row>
    <row r="481" spans="1:9" x14ac:dyDescent="0.25">
      <c r="A481">
        <v>263</v>
      </c>
      <c r="B481" s="10" t="s">
        <v>2685</v>
      </c>
      <c r="C481" s="10" t="s">
        <v>3172</v>
      </c>
      <c r="D481" s="10">
        <v>2738</v>
      </c>
      <c r="E481" s="10" t="s">
        <v>3186</v>
      </c>
      <c r="F481" s="10">
        <v>20.95</v>
      </c>
      <c r="G481" s="10">
        <v>0.87</v>
      </c>
      <c r="H481" s="10">
        <v>1.98</v>
      </c>
      <c r="I481" s="10">
        <v>1.19</v>
      </c>
    </row>
    <row r="482" spans="1:9" x14ac:dyDescent="0.25">
      <c r="A482">
        <v>296</v>
      </c>
      <c r="B482" s="10" t="s">
        <v>2685</v>
      </c>
      <c r="C482" s="10" t="s">
        <v>3154</v>
      </c>
      <c r="D482" s="10">
        <v>2739</v>
      </c>
      <c r="E482" s="10" t="s">
        <v>3164</v>
      </c>
      <c r="F482" s="10" t="s">
        <v>2690</v>
      </c>
      <c r="G482" s="10" t="s">
        <v>2691</v>
      </c>
      <c r="H482" s="10" t="s">
        <v>3024</v>
      </c>
      <c r="I482" s="10" t="s">
        <v>2315</v>
      </c>
    </row>
    <row r="483" spans="1:9" x14ac:dyDescent="0.25">
      <c r="A483">
        <v>341</v>
      </c>
      <c r="B483" s="10" t="s">
        <v>2685</v>
      </c>
      <c r="C483" s="10" t="s">
        <v>505</v>
      </c>
      <c r="D483" s="10">
        <v>2740</v>
      </c>
      <c r="E483" s="10" t="s">
        <v>3187</v>
      </c>
      <c r="F483" s="10" t="s">
        <v>2470</v>
      </c>
      <c r="G483" s="10" t="s">
        <v>2471</v>
      </c>
      <c r="H483" s="10" t="s">
        <v>2255</v>
      </c>
      <c r="I483" s="10" t="s">
        <v>2374</v>
      </c>
    </row>
    <row r="484" spans="1:9" x14ac:dyDescent="0.25">
      <c r="A484">
        <v>264</v>
      </c>
      <c r="B484" s="10" t="s">
        <v>2685</v>
      </c>
      <c r="C484" s="10" t="s">
        <v>3172</v>
      </c>
      <c r="D484" s="10">
        <v>2741</v>
      </c>
      <c r="E484" s="10" t="s">
        <v>3188</v>
      </c>
      <c r="F484" s="10">
        <v>18.5</v>
      </c>
      <c r="G484" s="10">
        <v>0.77</v>
      </c>
      <c r="H484" s="10">
        <v>1.65</v>
      </c>
      <c r="I484" s="10">
        <v>0.99</v>
      </c>
    </row>
    <row r="485" spans="1:9" x14ac:dyDescent="0.25">
      <c r="A485">
        <v>324</v>
      </c>
      <c r="B485" s="10" t="s">
        <v>2685</v>
      </c>
      <c r="C485" s="10" t="s">
        <v>3159</v>
      </c>
      <c r="D485" s="10">
        <v>2742</v>
      </c>
      <c r="E485" s="10" t="s">
        <v>3189</v>
      </c>
      <c r="F485" s="10" t="s">
        <v>2333</v>
      </c>
      <c r="G485" s="10" t="s">
        <v>2334</v>
      </c>
      <c r="H485" s="10" t="s">
        <v>2558</v>
      </c>
      <c r="I485" s="10" t="s">
        <v>2336</v>
      </c>
    </row>
    <row r="486" spans="1:9" x14ac:dyDescent="0.25">
      <c r="A486">
        <v>265</v>
      </c>
      <c r="B486" s="10" t="s">
        <v>2685</v>
      </c>
      <c r="C486" s="10" t="s">
        <v>3172</v>
      </c>
      <c r="D486" s="10">
        <v>2743</v>
      </c>
      <c r="E486" s="10" t="s">
        <v>3190</v>
      </c>
      <c r="F486" s="10">
        <v>20.95</v>
      </c>
      <c r="G486" s="10">
        <v>0.87</v>
      </c>
      <c r="H486" s="10">
        <v>1.98</v>
      </c>
      <c r="I486" s="10">
        <v>1.19</v>
      </c>
    </row>
    <row r="487" spans="1:9" x14ac:dyDescent="0.25">
      <c r="A487">
        <v>266</v>
      </c>
      <c r="B487" s="10" t="s">
        <v>2685</v>
      </c>
      <c r="C487" s="10" t="s">
        <v>3172</v>
      </c>
      <c r="D487" s="10">
        <v>2744</v>
      </c>
      <c r="E487" s="10" t="s">
        <v>3191</v>
      </c>
      <c r="F487" s="10">
        <v>20.95</v>
      </c>
      <c r="G487" s="10">
        <v>0.87</v>
      </c>
      <c r="H487" s="10">
        <v>1.98</v>
      </c>
      <c r="I487" s="10">
        <v>1.19</v>
      </c>
    </row>
    <row r="488" spans="1:9" x14ac:dyDescent="0.25">
      <c r="A488">
        <v>267</v>
      </c>
      <c r="B488" s="10" t="s">
        <v>2685</v>
      </c>
      <c r="C488" s="10" t="s">
        <v>3172</v>
      </c>
      <c r="D488" s="10">
        <v>2745</v>
      </c>
      <c r="E488" s="10" t="s">
        <v>3177</v>
      </c>
      <c r="F488" s="10">
        <v>18.5</v>
      </c>
      <c r="G488" s="10">
        <v>0.77</v>
      </c>
      <c r="H488" s="10">
        <v>1.65</v>
      </c>
      <c r="I488" s="10">
        <v>0.99</v>
      </c>
    </row>
    <row r="489" spans="1:9" x14ac:dyDescent="0.25">
      <c r="A489">
        <v>268</v>
      </c>
      <c r="B489" s="10" t="s">
        <v>2685</v>
      </c>
      <c r="C489" s="10" t="s">
        <v>3172</v>
      </c>
      <c r="D489" s="10">
        <v>2746</v>
      </c>
      <c r="E489" s="10" t="s">
        <v>3182</v>
      </c>
      <c r="F489" s="10">
        <v>18.5</v>
      </c>
      <c r="G489" s="10">
        <v>0.77</v>
      </c>
      <c r="H489" s="10">
        <v>1.65</v>
      </c>
      <c r="I489" s="10">
        <v>0.99</v>
      </c>
    </row>
    <row r="490" spans="1:9" x14ac:dyDescent="0.25">
      <c r="A490">
        <v>278</v>
      </c>
      <c r="B490" s="10" t="s">
        <v>2685</v>
      </c>
      <c r="C490" s="10" t="s">
        <v>3178</v>
      </c>
      <c r="D490" s="10">
        <v>2747</v>
      </c>
      <c r="E490" s="10" t="s">
        <v>3175</v>
      </c>
      <c r="F490" s="10" t="s">
        <v>2690</v>
      </c>
      <c r="G490" s="10" t="s">
        <v>2691</v>
      </c>
      <c r="H490" s="10" t="s">
        <v>3024</v>
      </c>
      <c r="I490" s="10" t="s">
        <v>2315</v>
      </c>
    </row>
    <row r="491" spans="1:9" x14ac:dyDescent="0.25">
      <c r="A491">
        <v>279</v>
      </c>
      <c r="B491" s="10" t="s">
        <v>2685</v>
      </c>
      <c r="C491" s="10" t="s">
        <v>3178</v>
      </c>
      <c r="D491" s="10">
        <v>2748</v>
      </c>
      <c r="E491" s="10" t="s">
        <v>3192</v>
      </c>
      <c r="F491" s="10" t="s">
        <v>3193</v>
      </c>
      <c r="G491" s="10" t="s">
        <v>2860</v>
      </c>
      <c r="H491" s="10" t="s">
        <v>2418</v>
      </c>
      <c r="I491" s="10" t="s">
        <v>2477</v>
      </c>
    </row>
    <row r="492" spans="1:9" x14ac:dyDescent="0.25">
      <c r="A492">
        <v>280</v>
      </c>
      <c r="B492" s="10" t="s">
        <v>2685</v>
      </c>
      <c r="C492" s="10" t="s">
        <v>3178</v>
      </c>
      <c r="D492" s="10">
        <v>2749</v>
      </c>
      <c r="E492" s="10" t="s">
        <v>3194</v>
      </c>
      <c r="F492" s="10" t="s">
        <v>2690</v>
      </c>
      <c r="G492" s="10" t="s">
        <v>2691</v>
      </c>
      <c r="H492" s="10" t="s">
        <v>3024</v>
      </c>
      <c r="I492" s="10" t="s">
        <v>2315</v>
      </c>
    </row>
    <row r="493" spans="1:9" x14ac:dyDescent="0.25">
      <c r="A493">
        <v>281</v>
      </c>
      <c r="B493" s="10" t="s">
        <v>2685</v>
      </c>
      <c r="C493" s="10" t="s">
        <v>3178</v>
      </c>
      <c r="D493" s="10">
        <v>2750</v>
      </c>
      <c r="E493" s="10" t="s">
        <v>3165</v>
      </c>
      <c r="F493" s="10" t="s">
        <v>2690</v>
      </c>
      <c r="G493" s="10" t="s">
        <v>2691</v>
      </c>
      <c r="H493" s="10" t="s">
        <v>3024</v>
      </c>
      <c r="I493" s="10" t="s">
        <v>2315</v>
      </c>
    </row>
    <row r="494" spans="1:9" x14ac:dyDescent="0.25">
      <c r="A494">
        <v>253</v>
      </c>
      <c r="B494" s="10" t="s">
        <v>2685</v>
      </c>
      <c r="C494" s="10" t="s">
        <v>3166</v>
      </c>
      <c r="D494" s="10">
        <v>2751</v>
      </c>
      <c r="E494" s="10" t="s">
        <v>3195</v>
      </c>
      <c r="F494" s="10">
        <v>19.95</v>
      </c>
      <c r="G494" s="10">
        <v>0.42</v>
      </c>
      <c r="H494" s="10">
        <v>0.89</v>
      </c>
      <c r="I494" s="10">
        <v>0.59</v>
      </c>
    </row>
    <row r="495" spans="1:9" x14ac:dyDescent="0.25">
      <c r="A495">
        <v>254</v>
      </c>
      <c r="B495" s="10" t="s">
        <v>2685</v>
      </c>
      <c r="C495" s="10" t="s">
        <v>3166</v>
      </c>
      <c r="D495" s="10">
        <v>2752</v>
      </c>
      <c r="E495" s="10" t="s">
        <v>3196</v>
      </c>
      <c r="F495" s="10">
        <v>19.95</v>
      </c>
      <c r="G495" s="10">
        <v>0.42</v>
      </c>
      <c r="H495" s="10">
        <v>0.89</v>
      </c>
      <c r="I495" s="10">
        <v>0.59</v>
      </c>
    </row>
    <row r="496" spans="1:9" x14ac:dyDescent="0.25">
      <c r="A496">
        <v>255</v>
      </c>
      <c r="B496" s="10" t="s">
        <v>2685</v>
      </c>
      <c r="C496" s="10" t="s">
        <v>3166</v>
      </c>
      <c r="D496" s="10">
        <v>2755</v>
      </c>
      <c r="E496" s="10" t="s">
        <v>3197</v>
      </c>
      <c r="F496" s="10">
        <v>19.95</v>
      </c>
      <c r="G496" s="10">
        <v>0.42</v>
      </c>
      <c r="H496" s="10">
        <v>0.89</v>
      </c>
      <c r="I496" s="10">
        <v>0.59</v>
      </c>
    </row>
    <row r="497" spans="1:9" x14ac:dyDescent="0.25">
      <c r="A497">
        <v>282</v>
      </c>
      <c r="B497" s="10" t="s">
        <v>2685</v>
      </c>
      <c r="C497" s="10" t="s">
        <v>3178</v>
      </c>
      <c r="D497" s="10">
        <v>2756</v>
      </c>
      <c r="E497" s="10" t="s">
        <v>3198</v>
      </c>
      <c r="F497" s="10" t="s">
        <v>2284</v>
      </c>
      <c r="G497" s="10" t="s">
        <v>2221</v>
      </c>
      <c r="H497" s="10" t="s">
        <v>2921</v>
      </c>
      <c r="I497" s="10" t="s">
        <v>3199</v>
      </c>
    </row>
    <row r="498" spans="1:9" x14ac:dyDescent="0.25">
      <c r="A498">
        <v>269</v>
      </c>
      <c r="B498" s="10" t="s">
        <v>2685</v>
      </c>
      <c r="C498" s="10" t="s">
        <v>3172</v>
      </c>
      <c r="D498" s="10">
        <v>2760</v>
      </c>
      <c r="E498" s="10" t="s">
        <v>3200</v>
      </c>
      <c r="F498" s="10">
        <v>20.95</v>
      </c>
      <c r="G498" s="10">
        <v>0.87</v>
      </c>
      <c r="H498" s="10">
        <v>1.98</v>
      </c>
      <c r="I498" s="10">
        <v>1.19</v>
      </c>
    </row>
    <row r="499" spans="1:9" x14ac:dyDescent="0.25">
      <c r="A499">
        <v>270</v>
      </c>
      <c r="B499" s="10" t="s">
        <v>2685</v>
      </c>
      <c r="C499" s="10" t="s">
        <v>3172</v>
      </c>
      <c r="D499" s="10">
        <v>2761</v>
      </c>
      <c r="E499" s="10" t="s">
        <v>3201</v>
      </c>
      <c r="F499" s="10">
        <v>18.5</v>
      </c>
      <c r="G499" s="10">
        <v>0.77</v>
      </c>
      <c r="H499" s="10">
        <v>1.65</v>
      </c>
      <c r="I499" s="10">
        <v>0.99</v>
      </c>
    </row>
    <row r="500" spans="1:9" x14ac:dyDescent="0.25">
      <c r="A500">
        <v>271</v>
      </c>
      <c r="B500" s="10" t="s">
        <v>2685</v>
      </c>
      <c r="C500" s="10" t="s">
        <v>3172</v>
      </c>
      <c r="D500" s="10">
        <v>2762</v>
      </c>
      <c r="E500" s="10" t="s">
        <v>3202</v>
      </c>
      <c r="F500" s="10">
        <v>18.5</v>
      </c>
      <c r="G500" s="10">
        <v>0.77</v>
      </c>
      <c r="H500" s="10">
        <v>1.65</v>
      </c>
      <c r="I500" s="10">
        <v>0.99</v>
      </c>
    </row>
    <row r="501" spans="1:9" x14ac:dyDescent="0.25">
      <c r="A501">
        <v>300</v>
      </c>
      <c r="B501" s="10" t="s">
        <v>2685</v>
      </c>
      <c r="C501" s="10" t="s">
        <v>3150</v>
      </c>
      <c r="D501" s="10">
        <v>2763</v>
      </c>
      <c r="E501" s="10" t="s">
        <v>3203</v>
      </c>
      <c r="F501" s="10" t="s">
        <v>3204</v>
      </c>
      <c r="G501" s="10" t="s">
        <v>2334</v>
      </c>
      <c r="H501" s="10" t="s">
        <v>2558</v>
      </c>
      <c r="I501" s="10" t="s">
        <v>2336</v>
      </c>
    </row>
    <row r="502" spans="1:9" x14ac:dyDescent="0.25">
      <c r="A502">
        <v>301</v>
      </c>
      <c r="B502" s="10" t="s">
        <v>2685</v>
      </c>
      <c r="C502" s="10" t="s">
        <v>3150</v>
      </c>
      <c r="D502" s="10">
        <v>2765</v>
      </c>
      <c r="E502" s="10" t="s">
        <v>3205</v>
      </c>
      <c r="F502" s="10" t="s">
        <v>3204</v>
      </c>
      <c r="G502" s="10" t="s">
        <v>2334</v>
      </c>
      <c r="H502" s="10" t="s">
        <v>2558</v>
      </c>
      <c r="I502" s="10" t="s">
        <v>2336</v>
      </c>
    </row>
    <row r="503" spans="1:9" x14ac:dyDescent="0.25">
      <c r="A503">
        <v>342</v>
      </c>
      <c r="B503" s="10" t="s">
        <v>2685</v>
      </c>
      <c r="C503" s="10" t="s">
        <v>505</v>
      </c>
      <c r="D503" s="10">
        <v>2766</v>
      </c>
      <c r="E503" s="10" t="s">
        <v>3206</v>
      </c>
      <c r="F503" s="10" t="s">
        <v>3207</v>
      </c>
      <c r="G503" s="10" t="s">
        <v>2973</v>
      </c>
      <c r="H503" s="10" t="s">
        <v>3208</v>
      </c>
      <c r="I503" s="10" t="s">
        <v>2425</v>
      </c>
    </row>
    <row r="504" spans="1:9" x14ac:dyDescent="0.25">
      <c r="A504">
        <v>302</v>
      </c>
      <c r="B504" s="10" t="s">
        <v>2685</v>
      </c>
      <c r="C504" s="10" t="s">
        <v>3150</v>
      </c>
      <c r="D504" s="10">
        <v>2767</v>
      </c>
      <c r="E504" s="10" t="s">
        <v>3209</v>
      </c>
      <c r="F504" s="10" t="s">
        <v>3204</v>
      </c>
      <c r="G504" s="10" t="s">
        <v>2334</v>
      </c>
      <c r="H504" s="10" t="s">
        <v>2558</v>
      </c>
      <c r="I504" s="10" t="s">
        <v>2336</v>
      </c>
    </row>
    <row r="505" spans="1:9" x14ac:dyDescent="0.25">
      <c r="A505">
        <v>297</v>
      </c>
      <c r="B505" s="10" t="s">
        <v>2685</v>
      </c>
      <c r="C505" s="10" t="s">
        <v>3154</v>
      </c>
      <c r="D505" s="10">
        <v>2769</v>
      </c>
      <c r="E505" s="10" t="s">
        <v>3165</v>
      </c>
      <c r="F505" s="10" t="s">
        <v>2690</v>
      </c>
      <c r="G505" s="10" t="s">
        <v>2691</v>
      </c>
      <c r="H505" s="10" t="s">
        <v>3024</v>
      </c>
      <c r="I505" s="10" t="s">
        <v>2315</v>
      </c>
    </row>
    <row r="506" spans="1:9" x14ac:dyDescent="0.25">
      <c r="A506">
        <v>283</v>
      </c>
      <c r="B506" s="10" t="s">
        <v>2685</v>
      </c>
      <c r="C506" s="10" t="s">
        <v>3178</v>
      </c>
      <c r="D506" s="10">
        <v>2770</v>
      </c>
      <c r="E506" s="10" t="s">
        <v>3210</v>
      </c>
      <c r="F506" s="10" t="s">
        <v>2607</v>
      </c>
      <c r="G506" s="10" t="s">
        <v>2608</v>
      </c>
      <c r="H506" s="10" t="s">
        <v>3211</v>
      </c>
      <c r="I506" s="10" t="s">
        <v>2383</v>
      </c>
    </row>
    <row r="507" spans="1:9" x14ac:dyDescent="0.25">
      <c r="A507">
        <v>343</v>
      </c>
      <c r="B507" s="10" t="s">
        <v>2685</v>
      </c>
      <c r="C507" s="10" t="s">
        <v>505</v>
      </c>
      <c r="D507" s="10">
        <v>2776</v>
      </c>
      <c r="E507" s="10" t="s">
        <v>3212</v>
      </c>
      <c r="F507" s="10" t="s">
        <v>3193</v>
      </c>
      <c r="G507" s="10" t="s">
        <v>3021</v>
      </c>
      <c r="H507" s="10" t="s">
        <v>3213</v>
      </c>
      <c r="I507" s="10" t="s">
        <v>2324</v>
      </c>
    </row>
    <row r="508" spans="1:9" x14ac:dyDescent="0.25">
      <c r="A508">
        <v>1518</v>
      </c>
      <c r="B508" s="10" t="s">
        <v>2671</v>
      </c>
      <c r="C508" s="10" t="s">
        <v>2685</v>
      </c>
      <c r="D508" s="10">
        <v>2777</v>
      </c>
      <c r="E508" s="10" t="s">
        <v>3214</v>
      </c>
      <c r="F508" s="10" t="s">
        <v>3215</v>
      </c>
      <c r="G508" s="10" t="s">
        <v>2850</v>
      </c>
      <c r="H508" s="10" t="s">
        <v>2948</v>
      </c>
      <c r="I508" s="10" t="s">
        <v>2310</v>
      </c>
    </row>
    <row r="509" spans="1:9" x14ac:dyDescent="0.25">
      <c r="A509">
        <v>344</v>
      </c>
      <c r="B509" s="10" t="s">
        <v>2685</v>
      </c>
      <c r="C509" s="10" t="s">
        <v>505</v>
      </c>
      <c r="D509" s="10">
        <v>2778</v>
      </c>
      <c r="E509" s="10" t="s">
        <v>3216</v>
      </c>
      <c r="F509" s="10" t="s">
        <v>2580</v>
      </c>
      <c r="G509" s="10" t="s">
        <v>2669</v>
      </c>
      <c r="H509" s="10" t="s">
        <v>2263</v>
      </c>
      <c r="I509" s="10" t="s">
        <v>2246</v>
      </c>
    </row>
    <row r="510" spans="1:9" x14ac:dyDescent="0.25">
      <c r="A510">
        <v>345</v>
      </c>
      <c r="B510" s="10" t="s">
        <v>2685</v>
      </c>
      <c r="C510" s="10" t="s">
        <v>505</v>
      </c>
      <c r="D510" s="10">
        <v>2779</v>
      </c>
      <c r="E510" s="10" t="s">
        <v>3217</v>
      </c>
      <c r="F510" s="10" t="s">
        <v>3207</v>
      </c>
      <c r="G510" s="10" t="s">
        <v>2973</v>
      </c>
      <c r="H510" s="10" t="s">
        <v>3208</v>
      </c>
      <c r="I510" s="10" t="s">
        <v>2425</v>
      </c>
    </row>
    <row r="511" spans="1:9" x14ac:dyDescent="0.25">
      <c r="A511">
        <v>256</v>
      </c>
      <c r="B511" s="10" t="s">
        <v>2685</v>
      </c>
      <c r="C511" s="10" t="s">
        <v>3166</v>
      </c>
      <c r="D511" s="10">
        <v>2780</v>
      </c>
      <c r="E511" s="10" t="s">
        <v>3218</v>
      </c>
      <c r="F511" s="10" t="s">
        <v>3219</v>
      </c>
      <c r="G511" s="10">
        <v>0.49</v>
      </c>
      <c r="H511" s="10">
        <v>2.21</v>
      </c>
      <c r="I511" s="10">
        <v>0.69</v>
      </c>
    </row>
    <row r="512" spans="1:9" x14ac:dyDescent="0.25">
      <c r="A512">
        <v>346</v>
      </c>
      <c r="B512" s="10" t="s">
        <v>2685</v>
      </c>
      <c r="C512" s="10" t="s">
        <v>505</v>
      </c>
      <c r="D512" s="10">
        <v>2781</v>
      </c>
      <c r="E512" s="10" t="s">
        <v>3220</v>
      </c>
      <c r="F512" s="10" t="s">
        <v>3221</v>
      </c>
      <c r="G512" s="10" t="s">
        <v>3222</v>
      </c>
      <c r="H512" s="10" t="s">
        <v>2391</v>
      </c>
      <c r="I512" s="10" t="s">
        <v>2324</v>
      </c>
    </row>
    <row r="513" spans="1:9" x14ac:dyDescent="0.25">
      <c r="A513">
        <v>284</v>
      </c>
      <c r="B513" s="10" t="s">
        <v>2685</v>
      </c>
      <c r="C513" s="10" t="s">
        <v>3178</v>
      </c>
      <c r="D513" s="10">
        <v>2782</v>
      </c>
      <c r="E513" s="10" t="s">
        <v>3223</v>
      </c>
      <c r="F513" s="10" t="s">
        <v>2284</v>
      </c>
      <c r="G513" s="10" t="s">
        <v>2221</v>
      </c>
      <c r="H513" s="10" t="s">
        <v>2921</v>
      </c>
      <c r="I513" s="10" t="s">
        <v>3199</v>
      </c>
    </row>
    <row r="514" spans="1:9" x14ac:dyDescent="0.25">
      <c r="A514">
        <v>272</v>
      </c>
      <c r="B514" s="10" t="s">
        <v>2685</v>
      </c>
      <c r="C514" s="10" t="s">
        <v>3172</v>
      </c>
      <c r="D514" s="10">
        <v>2783</v>
      </c>
      <c r="E514" s="10" t="s">
        <v>3224</v>
      </c>
      <c r="F514" s="10">
        <v>21.35</v>
      </c>
      <c r="G514" s="10">
        <v>0.89</v>
      </c>
      <c r="H514" s="10">
        <v>1.98</v>
      </c>
      <c r="I514" s="10">
        <v>1.19</v>
      </c>
    </row>
    <row r="515" spans="1:9" x14ac:dyDescent="0.25">
      <c r="A515">
        <v>354</v>
      </c>
      <c r="B515" s="10" t="s">
        <v>2685</v>
      </c>
      <c r="C515" s="10" t="s">
        <v>3225</v>
      </c>
      <c r="D515" s="10">
        <v>2784</v>
      </c>
      <c r="E515" s="10" t="s">
        <v>3226</v>
      </c>
      <c r="F515" s="10" t="s">
        <v>2215</v>
      </c>
      <c r="G515" s="10" t="s">
        <v>3027</v>
      </c>
      <c r="H515" s="10" t="s">
        <v>3208</v>
      </c>
      <c r="I515" s="10" t="s">
        <v>2850</v>
      </c>
    </row>
    <row r="516" spans="1:9" x14ac:dyDescent="0.25">
      <c r="A516">
        <v>347</v>
      </c>
      <c r="B516" s="10" t="s">
        <v>2685</v>
      </c>
      <c r="C516" s="10" t="s">
        <v>505</v>
      </c>
      <c r="D516" s="10">
        <v>2785</v>
      </c>
      <c r="E516" s="10" t="s">
        <v>3227</v>
      </c>
      <c r="F516" s="10" t="s">
        <v>3228</v>
      </c>
      <c r="G516" s="10" t="s">
        <v>2856</v>
      </c>
      <c r="H516" s="10" t="s">
        <v>2530</v>
      </c>
      <c r="I516" s="10" t="s">
        <v>2707</v>
      </c>
    </row>
    <row r="517" spans="1:9" x14ac:dyDescent="0.25">
      <c r="A517">
        <v>348</v>
      </c>
      <c r="B517" s="10" t="s">
        <v>2685</v>
      </c>
      <c r="C517" s="10" t="s">
        <v>505</v>
      </c>
      <c r="D517" s="10">
        <v>2786</v>
      </c>
      <c r="E517" s="10" t="s">
        <v>3229</v>
      </c>
      <c r="F517" s="10" t="s">
        <v>3228</v>
      </c>
      <c r="G517" s="10" t="s">
        <v>2856</v>
      </c>
      <c r="H517" s="10" t="s">
        <v>2530</v>
      </c>
      <c r="I517" s="10" t="s">
        <v>2707</v>
      </c>
    </row>
    <row r="518" spans="1:9" x14ac:dyDescent="0.25">
      <c r="A518">
        <v>349</v>
      </c>
      <c r="B518" s="10" t="s">
        <v>2685</v>
      </c>
      <c r="C518" s="10" t="s">
        <v>505</v>
      </c>
      <c r="D518" s="10">
        <v>2787</v>
      </c>
      <c r="E518" s="10" t="s">
        <v>3230</v>
      </c>
      <c r="F518" s="10" t="s">
        <v>2580</v>
      </c>
      <c r="G518" s="10" t="s">
        <v>2308</v>
      </c>
      <c r="H518" s="10" t="s">
        <v>2948</v>
      </c>
      <c r="I518" s="10" t="s">
        <v>2310</v>
      </c>
    </row>
    <row r="519" spans="1:9" x14ac:dyDescent="0.25">
      <c r="A519">
        <v>350</v>
      </c>
      <c r="B519" s="10" t="s">
        <v>2685</v>
      </c>
      <c r="C519" s="10" t="s">
        <v>505</v>
      </c>
      <c r="D519" s="10">
        <v>2788</v>
      </c>
      <c r="E519" s="10" t="s">
        <v>3231</v>
      </c>
      <c r="F519" s="10" t="s">
        <v>3221</v>
      </c>
      <c r="G519" s="10" t="s">
        <v>3222</v>
      </c>
      <c r="H519" s="10" t="s">
        <v>3213</v>
      </c>
      <c r="I519" s="10" t="s">
        <v>2324</v>
      </c>
    </row>
    <row r="520" spans="1:9" x14ac:dyDescent="0.25">
      <c r="A520">
        <v>351</v>
      </c>
      <c r="B520" s="10" t="s">
        <v>2685</v>
      </c>
      <c r="C520" s="10" t="s">
        <v>505</v>
      </c>
      <c r="D520" s="10">
        <v>2791</v>
      </c>
      <c r="E520" s="10" t="s">
        <v>3232</v>
      </c>
      <c r="F520" s="10" t="s">
        <v>3233</v>
      </c>
      <c r="G520" s="10" t="s">
        <v>3234</v>
      </c>
      <c r="H520" s="10" t="s">
        <v>2267</v>
      </c>
      <c r="I520" s="10" t="s">
        <v>3016</v>
      </c>
    </row>
    <row r="521" spans="1:9" x14ac:dyDescent="0.25">
      <c r="A521">
        <v>352</v>
      </c>
      <c r="B521" s="10" t="s">
        <v>2685</v>
      </c>
      <c r="C521" s="10" t="s">
        <v>505</v>
      </c>
      <c r="D521" s="10">
        <v>2792</v>
      </c>
      <c r="E521" s="10" t="s">
        <v>3235</v>
      </c>
      <c r="F521" s="10" t="s">
        <v>2762</v>
      </c>
      <c r="G521" s="10" t="s">
        <v>2423</v>
      </c>
      <c r="H521" s="10" t="s">
        <v>2834</v>
      </c>
      <c r="I521" s="10" t="s">
        <v>2425</v>
      </c>
    </row>
    <row r="522" spans="1:9" x14ac:dyDescent="0.25">
      <c r="A522">
        <v>273</v>
      </c>
      <c r="B522" s="10" t="s">
        <v>2685</v>
      </c>
      <c r="C522" s="10" t="s">
        <v>3172</v>
      </c>
      <c r="D522" s="10">
        <v>2795</v>
      </c>
      <c r="E522" s="10" t="s">
        <v>3236</v>
      </c>
      <c r="F522" s="10">
        <v>22.5</v>
      </c>
      <c r="G522" s="10">
        <v>0.94</v>
      </c>
      <c r="H522" s="10">
        <v>2.15</v>
      </c>
      <c r="I522" s="10">
        <v>1.29</v>
      </c>
    </row>
    <row r="523" spans="1:9" x14ac:dyDescent="0.25">
      <c r="A523">
        <v>285</v>
      </c>
      <c r="B523" s="10" t="s">
        <v>2685</v>
      </c>
      <c r="C523" s="10" t="s">
        <v>3178</v>
      </c>
      <c r="D523" s="10">
        <v>2796</v>
      </c>
      <c r="E523" s="10" t="s">
        <v>3237</v>
      </c>
      <c r="F523" s="10" t="s">
        <v>2901</v>
      </c>
      <c r="G523" s="10" t="s">
        <v>3238</v>
      </c>
      <c r="H523" s="10" t="s">
        <v>2423</v>
      </c>
      <c r="I523" s="10" t="s">
        <v>2213</v>
      </c>
    </row>
    <row r="524" spans="1:9" x14ac:dyDescent="0.25">
      <c r="A524">
        <v>353</v>
      </c>
      <c r="B524" s="10" t="s">
        <v>2685</v>
      </c>
      <c r="C524" s="10" t="s">
        <v>505</v>
      </c>
      <c r="D524" s="10">
        <v>2799</v>
      </c>
      <c r="E524" s="10" t="s">
        <v>3239</v>
      </c>
      <c r="F524" s="10" t="s">
        <v>2333</v>
      </c>
      <c r="G524" s="10" t="s">
        <v>3240</v>
      </c>
      <c r="H524" s="10" t="s">
        <v>2603</v>
      </c>
      <c r="I524" s="10" t="s">
        <v>2263</v>
      </c>
    </row>
    <row r="525" spans="1:9" x14ac:dyDescent="0.25">
      <c r="A525">
        <v>303</v>
      </c>
      <c r="B525" s="10" t="s">
        <v>2685</v>
      </c>
      <c r="C525" s="10" t="s">
        <v>3150</v>
      </c>
      <c r="D525" s="10">
        <v>2800</v>
      </c>
      <c r="E525" s="10" t="s">
        <v>3175</v>
      </c>
      <c r="F525" s="10" t="s">
        <v>3221</v>
      </c>
      <c r="G525" s="10" t="s">
        <v>2501</v>
      </c>
      <c r="H525" s="10" t="s">
        <v>2529</v>
      </c>
      <c r="I525" s="10" t="s">
        <v>2503</v>
      </c>
    </row>
    <row r="526" spans="1:9" x14ac:dyDescent="0.25">
      <c r="A526">
        <v>304</v>
      </c>
      <c r="B526" s="10" t="s">
        <v>2685</v>
      </c>
      <c r="C526" s="10" t="s">
        <v>3150</v>
      </c>
      <c r="D526" s="10">
        <v>2802</v>
      </c>
      <c r="E526" s="10" t="s">
        <v>3241</v>
      </c>
      <c r="F526" s="10" t="s">
        <v>2333</v>
      </c>
      <c r="G526" s="10" t="s">
        <v>2334</v>
      </c>
      <c r="H526" s="10" t="s">
        <v>2558</v>
      </c>
      <c r="I526" s="10" t="s">
        <v>2336</v>
      </c>
    </row>
    <row r="527" spans="1:9" x14ac:dyDescent="0.25">
      <c r="A527">
        <v>1109</v>
      </c>
      <c r="B527" s="10" t="s">
        <v>3242</v>
      </c>
      <c r="C527" s="10" t="s">
        <v>3243</v>
      </c>
      <c r="D527" s="10">
        <v>2803</v>
      </c>
      <c r="E527" s="10" t="s">
        <v>3244</v>
      </c>
      <c r="F527" s="10" t="s">
        <v>2446</v>
      </c>
      <c r="G527" s="10" t="s">
        <v>2447</v>
      </c>
      <c r="H527" s="10" t="s">
        <v>3245</v>
      </c>
      <c r="I527" s="10" t="s">
        <v>2449</v>
      </c>
    </row>
    <row r="528" spans="1:9" x14ac:dyDescent="0.25">
      <c r="A528">
        <v>305</v>
      </c>
      <c r="B528" s="10" t="s">
        <v>2685</v>
      </c>
      <c r="C528" s="10" t="s">
        <v>3150</v>
      </c>
      <c r="D528" s="10">
        <v>2804</v>
      </c>
      <c r="E528" s="10" t="s">
        <v>3181</v>
      </c>
      <c r="F528" s="10" t="s">
        <v>3221</v>
      </c>
      <c r="G528" s="10" t="s">
        <v>2501</v>
      </c>
      <c r="H528" s="10" t="s">
        <v>2529</v>
      </c>
      <c r="I528" s="10" t="s">
        <v>2503</v>
      </c>
    </row>
    <row r="529" spans="1:9" x14ac:dyDescent="0.25">
      <c r="A529">
        <v>306</v>
      </c>
      <c r="B529" s="10" t="s">
        <v>2685</v>
      </c>
      <c r="C529" s="10" t="s">
        <v>3150</v>
      </c>
      <c r="D529" s="10">
        <v>2806</v>
      </c>
      <c r="E529" s="10" t="s">
        <v>3246</v>
      </c>
      <c r="F529" s="10" t="s">
        <v>2767</v>
      </c>
      <c r="G529" s="10" t="s">
        <v>3208</v>
      </c>
      <c r="H529" s="10" t="s">
        <v>3015</v>
      </c>
      <c r="I529" s="10" t="s">
        <v>2449</v>
      </c>
    </row>
    <row r="530" spans="1:9" x14ac:dyDescent="0.25">
      <c r="A530">
        <v>307</v>
      </c>
      <c r="B530" s="10" t="s">
        <v>2685</v>
      </c>
      <c r="C530" s="10" t="s">
        <v>3150</v>
      </c>
      <c r="D530" s="10">
        <v>2807</v>
      </c>
      <c r="E530" s="10" t="s">
        <v>3247</v>
      </c>
      <c r="F530" s="10" t="s">
        <v>2767</v>
      </c>
      <c r="G530" s="10" t="s">
        <v>3208</v>
      </c>
      <c r="H530" s="10" t="s">
        <v>3015</v>
      </c>
      <c r="I530" s="10" t="s">
        <v>2449</v>
      </c>
    </row>
    <row r="531" spans="1:9" x14ac:dyDescent="0.25">
      <c r="A531">
        <v>308</v>
      </c>
      <c r="B531" s="10" t="s">
        <v>2685</v>
      </c>
      <c r="C531" s="10" t="s">
        <v>3150</v>
      </c>
      <c r="D531" s="10">
        <v>2808</v>
      </c>
      <c r="E531" s="10" t="s">
        <v>3248</v>
      </c>
      <c r="F531" s="10" t="s">
        <v>2767</v>
      </c>
      <c r="G531" s="10" t="s">
        <v>3208</v>
      </c>
      <c r="H531" s="10" t="s">
        <v>3015</v>
      </c>
      <c r="I531" s="10" t="s">
        <v>2449</v>
      </c>
    </row>
    <row r="532" spans="1:9" x14ac:dyDescent="0.25">
      <c r="A532">
        <v>309</v>
      </c>
      <c r="B532" s="10" t="s">
        <v>2685</v>
      </c>
      <c r="C532" s="10" t="s">
        <v>3150</v>
      </c>
      <c r="D532" s="10">
        <v>2809</v>
      </c>
      <c r="E532" s="10" t="s">
        <v>3249</v>
      </c>
      <c r="F532" s="10" t="s">
        <v>2767</v>
      </c>
      <c r="G532" s="10" t="s">
        <v>3208</v>
      </c>
      <c r="H532" s="10" t="s">
        <v>3015</v>
      </c>
      <c r="I532" s="10" t="s">
        <v>2449</v>
      </c>
    </row>
    <row r="533" spans="1:9" x14ac:dyDescent="0.25">
      <c r="A533">
        <v>355</v>
      </c>
      <c r="B533" s="10" t="s">
        <v>2685</v>
      </c>
      <c r="C533" s="10" t="s">
        <v>3225</v>
      </c>
      <c r="D533" s="10">
        <v>2818</v>
      </c>
      <c r="E533" s="10" t="s">
        <v>3250</v>
      </c>
      <c r="F533" s="10" t="s">
        <v>3251</v>
      </c>
      <c r="G533" s="10" t="s">
        <v>3252</v>
      </c>
      <c r="H533" s="10" t="s">
        <v>3253</v>
      </c>
      <c r="I533" s="10" t="s">
        <v>2269</v>
      </c>
    </row>
    <row r="534" spans="1:9" x14ac:dyDescent="0.25">
      <c r="A534">
        <v>310</v>
      </c>
      <c r="B534" s="10" t="s">
        <v>2685</v>
      </c>
      <c r="C534" s="10" t="s">
        <v>3150</v>
      </c>
      <c r="D534" s="10">
        <v>2820</v>
      </c>
      <c r="E534" s="10" t="s">
        <v>3254</v>
      </c>
      <c r="F534" s="10" t="s">
        <v>2767</v>
      </c>
      <c r="G534" s="10" t="s">
        <v>3208</v>
      </c>
      <c r="H534" s="10" t="s">
        <v>3015</v>
      </c>
      <c r="I534" s="10" t="s">
        <v>2449</v>
      </c>
    </row>
    <row r="535" spans="1:9" x14ac:dyDescent="0.25">
      <c r="A535">
        <v>1110</v>
      </c>
      <c r="B535" s="10" t="s">
        <v>3242</v>
      </c>
      <c r="C535" s="10" t="s">
        <v>3243</v>
      </c>
      <c r="D535" s="10">
        <v>2821</v>
      </c>
      <c r="E535" s="10" t="s">
        <v>3255</v>
      </c>
      <c r="F535" s="10" t="s">
        <v>2380</v>
      </c>
      <c r="G535" s="10" t="s">
        <v>2381</v>
      </c>
      <c r="H535" s="10" t="s">
        <v>3256</v>
      </c>
      <c r="I535" s="10" t="s">
        <v>2383</v>
      </c>
    </row>
    <row r="536" spans="1:9" x14ac:dyDescent="0.25">
      <c r="A536">
        <v>1111</v>
      </c>
      <c r="B536" s="10" t="s">
        <v>3242</v>
      </c>
      <c r="C536" s="10" t="s">
        <v>3243</v>
      </c>
      <c r="D536" s="10">
        <v>2822</v>
      </c>
      <c r="E536" s="10" t="s">
        <v>3257</v>
      </c>
      <c r="F536" s="10" t="s">
        <v>2380</v>
      </c>
      <c r="G536" s="10" t="s">
        <v>2381</v>
      </c>
      <c r="H536" s="10" t="s">
        <v>3256</v>
      </c>
      <c r="I536" s="10" t="s">
        <v>2383</v>
      </c>
    </row>
    <row r="537" spans="1:9" x14ac:dyDescent="0.25">
      <c r="A537">
        <v>627</v>
      </c>
      <c r="B537" s="10" t="s">
        <v>3258</v>
      </c>
      <c r="C537" s="10" t="s">
        <v>3259</v>
      </c>
      <c r="D537" s="10">
        <v>2823</v>
      </c>
      <c r="E537" s="10" t="s">
        <v>3260</v>
      </c>
      <c r="F537" s="10" t="s">
        <v>3261</v>
      </c>
      <c r="G537" s="10" t="s">
        <v>2805</v>
      </c>
      <c r="H537" s="10" t="s">
        <v>3262</v>
      </c>
      <c r="I537" s="10" t="s">
        <v>2374</v>
      </c>
    </row>
    <row r="538" spans="1:9" x14ac:dyDescent="0.25">
      <c r="A538">
        <v>311</v>
      </c>
      <c r="B538" s="10" t="s">
        <v>2685</v>
      </c>
      <c r="C538" s="10" t="s">
        <v>3150</v>
      </c>
      <c r="D538" s="10">
        <v>2824</v>
      </c>
      <c r="E538" s="10" t="s">
        <v>3263</v>
      </c>
      <c r="F538" s="10" t="s">
        <v>2333</v>
      </c>
      <c r="G538" s="10" t="s">
        <v>2334</v>
      </c>
      <c r="H538" s="10" t="s">
        <v>2558</v>
      </c>
      <c r="I538" s="10" t="s">
        <v>2336</v>
      </c>
    </row>
    <row r="539" spans="1:9" x14ac:dyDescent="0.25">
      <c r="A539">
        <v>1112</v>
      </c>
      <c r="B539" s="10" t="s">
        <v>3242</v>
      </c>
      <c r="C539" s="10" t="s">
        <v>3243</v>
      </c>
      <c r="D539" s="10">
        <v>2825</v>
      </c>
      <c r="E539" s="10" t="s">
        <v>3264</v>
      </c>
      <c r="F539" s="10" t="s">
        <v>2446</v>
      </c>
      <c r="G539" s="10" t="s">
        <v>2447</v>
      </c>
      <c r="H539" s="10" t="s">
        <v>3245</v>
      </c>
      <c r="I539" s="10" t="s">
        <v>2449</v>
      </c>
    </row>
    <row r="540" spans="1:9" x14ac:dyDescent="0.25">
      <c r="A540">
        <v>1113</v>
      </c>
      <c r="B540" s="10" t="s">
        <v>3242</v>
      </c>
      <c r="C540" s="10" t="s">
        <v>3243</v>
      </c>
      <c r="D540" s="10">
        <v>2826</v>
      </c>
      <c r="E540" s="10" t="s">
        <v>3265</v>
      </c>
      <c r="F540" s="10" t="s">
        <v>2446</v>
      </c>
      <c r="G540" s="10" t="s">
        <v>2447</v>
      </c>
      <c r="H540" s="10" t="s">
        <v>3245</v>
      </c>
      <c r="I540" s="10" t="s">
        <v>2449</v>
      </c>
    </row>
    <row r="541" spans="1:9" x14ac:dyDescent="0.25">
      <c r="A541">
        <v>312</v>
      </c>
      <c r="B541" s="10" t="s">
        <v>2685</v>
      </c>
      <c r="C541" s="10" t="s">
        <v>3150</v>
      </c>
      <c r="D541" s="10">
        <v>2828</v>
      </c>
      <c r="E541" s="10" t="s">
        <v>3266</v>
      </c>
      <c r="F541" s="10" t="s">
        <v>2767</v>
      </c>
      <c r="G541" s="10" t="s">
        <v>3208</v>
      </c>
      <c r="H541" s="10" t="s">
        <v>3015</v>
      </c>
      <c r="I541" s="10" t="s">
        <v>2449</v>
      </c>
    </row>
    <row r="542" spans="1:9" x14ac:dyDescent="0.25">
      <c r="A542">
        <v>1411</v>
      </c>
      <c r="B542" s="10" t="s">
        <v>2944</v>
      </c>
      <c r="C542" s="10" t="s">
        <v>3040</v>
      </c>
      <c r="D542" s="10">
        <v>2829</v>
      </c>
      <c r="E542" s="10" t="s">
        <v>3267</v>
      </c>
      <c r="F542" s="10" t="s">
        <v>3268</v>
      </c>
      <c r="G542" s="10" t="s">
        <v>3269</v>
      </c>
      <c r="H542" s="10" t="s">
        <v>3270</v>
      </c>
      <c r="I542" s="10" t="s">
        <v>2258</v>
      </c>
    </row>
    <row r="543" spans="1:9" x14ac:dyDescent="0.25">
      <c r="A543">
        <v>1114</v>
      </c>
      <c r="B543" s="10" t="s">
        <v>3242</v>
      </c>
      <c r="C543" s="10" t="s">
        <v>3243</v>
      </c>
      <c r="D543" s="10">
        <v>2832</v>
      </c>
      <c r="E543" s="10" t="s">
        <v>3271</v>
      </c>
      <c r="F543" s="10" t="s">
        <v>2874</v>
      </c>
      <c r="G543" s="10" t="s">
        <v>2391</v>
      </c>
      <c r="H543" s="10" t="s">
        <v>3272</v>
      </c>
      <c r="I543" s="10" t="s">
        <v>2118</v>
      </c>
    </row>
    <row r="544" spans="1:9" x14ac:dyDescent="0.25">
      <c r="A544">
        <v>1115</v>
      </c>
      <c r="B544" s="10" t="s">
        <v>3242</v>
      </c>
      <c r="C544" s="10" t="s">
        <v>3243</v>
      </c>
      <c r="D544" s="10">
        <v>2833</v>
      </c>
      <c r="E544" s="10" t="s">
        <v>3273</v>
      </c>
      <c r="F544" s="10" t="s">
        <v>3274</v>
      </c>
      <c r="G544" s="10" t="s">
        <v>3253</v>
      </c>
      <c r="H544" s="10" t="s">
        <v>2329</v>
      </c>
      <c r="I544" s="10" t="s">
        <v>2631</v>
      </c>
    </row>
    <row r="545" spans="1:9" x14ac:dyDescent="0.25">
      <c r="A545">
        <v>1423</v>
      </c>
      <c r="B545" s="10" t="s">
        <v>2944</v>
      </c>
      <c r="C545" s="10" t="s">
        <v>3048</v>
      </c>
      <c r="D545" s="10">
        <v>2834</v>
      </c>
      <c r="E545" s="10" t="s">
        <v>3275</v>
      </c>
      <c r="F545" s="10" t="s">
        <v>3276</v>
      </c>
      <c r="G545" s="10" t="s">
        <v>2911</v>
      </c>
      <c r="H545" s="10" t="s">
        <v>2731</v>
      </c>
      <c r="I545" s="10" t="s">
        <v>2812</v>
      </c>
    </row>
    <row r="546" spans="1:9" x14ac:dyDescent="0.25">
      <c r="A546">
        <v>1424</v>
      </c>
      <c r="B546" s="10" t="s">
        <v>2944</v>
      </c>
      <c r="C546" s="10" t="s">
        <v>3048</v>
      </c>
      <c r="D546" s="10">
        <v>2835</v>
      </c>
      <c r="E546" s="10" t="s">
        <v>3064</v>
      </c>
      <c r="F546" s="10" t="s">
        <v>3277</v>
      </c>
      <c r="G546" s="10" t="s">
        <v>3278</v>
      </c>
      <c r="H546" s="10" t="s">
        <v>3279</v>
      </c>
      <c r="I546" s="10" t="s">
        <v>2128</v>
      </c>
    </row>
    <row r="547" spans="1:9" x14ac:dyDescent="0.25">
      <c r="A547">
        <v>1455</v>
      </c>
      <c r="B547" s="10" t="s">
        <v>2944</v>
      </c>
      <c r="C547" s="10" t="s">
        <v>2945</v>
      </c>
      <c r="D547" s="10">
        <v>2836</v>
      </c>
      <c r="E547" s="10" t="s">
        <v>3280</v>
      </c>
      <c r="F547" s="10" t="s">
        <v>2947</v>
      </c>
      <c r="G547" s="10" t="s">
        <v>2948</v>
      </c>
      <c r="H547" s="10" t="s">
        <v>2949</v>
      </c>
      <c r="I547" s="10" t="s">
        <v>2329</v>
      </c>
    </row>
    <row r="548" spans="1:9" x14ac:dyDescent="0.25">
      <c r="A548">
        <v>1456</v>
      </c>
      <c r="B548" s="10" t="s">
        <v>2944</v>
      </c>
      <c r="C548" s="10" t="s">
        <v>2945</v>
      </c>
      <c r="D548" s="10">
        <v>2837</v>
      </c>
      <c r="E548" s="10" t="s">
        <v>3281</v>
      </c>
      <c r="F548" s="10" t="s">
        <v>2947</v>
      </c>
      <c r="G548" s="10" t="s">
        <v>2948</v>
      </c>
      <c r="H548" s="10" t="s">
        <v>2949</v>
      </c>
      <c r="I548" s="10" t="s">
        <v>2329</v>
      </c>
    </row>
    <row r="549" spans="1:9" x14ac:dyDescent="0.25">
      <c r="A549">
        <v>1468</v>
      </c>
      <c r="B549" s="10" t="s">
        <v>2944</v>
      </c>
      <c r="C549" s="10" t="s">
        <v>3282</v>
      </c>
      <c r="D549" s="10">
        <v>2838</v>
      </c>
      <c r="E549" s="10" t="s">
        <v>3283</v>
      </c>
      <c r="F549" s="10" t="s">
        <v>2947</v>
      </c>
      <c r="G549" s="10" t="s">
        <v>2948</v>
      </c>
      <c r="H549" s="10" t="s">
        <v>2949</v>
      </c>
      <c r="I549" s="10" t="s">
        <v>2329</v>
      </c>
    </row>
    <row r="550" spans="1:9" x14ac:dyDescent="0.25">
      <c r="A550">
        <v>1116</v>
      </c>
      <c r="B550" s="10" t="s">
        <v>3242</v>
      </c>
      <c r="C550" s="10" t="s">
        <v>3243</v>
      </c>
      <c r="D550" s="10">
        <v>2839</v>
      </c>
      <c r="E550" s="10" t="s">
        <v>3284</v>
      </c>
      <c r="F550" s="10" t="s">
        <v>2485</v>
      </c>
      <c r="G550" s="10" t="s">
        <v>2486</v>
      </c>
      <c r="H550" s="10" t="s">
        <v>3285</v>
      </c>
      <c r="I550" s="10" t="s">
        <v>2319</v>
      </c>
    </row>
    <row r="551" spans="1:9" x14ac:dyDescent="0.25">
      <c r="A551">
        <v>1117</v>
      </c>
      <c r="B551" s="10" t="s">
        <v>3242</v>
      </c>
      <c r="C551" s="10" t="s">
        <v>3243</v>
      </c>
      <c r="D551" s="10">
        <v>2840</v>
      </c>
      <c r="E551" s="10" t="s">
        <v>3286</v>
      </c>
      <c r="F551" s="10" t="s">
        <v>3287</v>
      </c>
      <c r="G551" s="10" t="s">
        <v>3288</v>
      </c>
      <c r="H551" s="10" t="s">
        <v>3252</v>
      </c>
      <c r="I551" s="10" t="s">
        <v>2319</v>
      </c>
    </row>
    <row r="552" spans="1:9" x14ac:dyDescent="0.25">
      <c r="A552">
        <v>1118</v>
      </c>
      <c r="B552" s="10" t="s">
        <v>3242</v>
      </c>
      <c r="C552" s="10" t="s">
        <v>3243</v>
      </c>
      <c r="D552" s="10">
        <v>2841</v>
      </c>
      <c r="E552" s="10" t="s">
        <v>3289</v>
      </c>
      <c r="F552" s="10" t="s">
        <v>3287</v>
      </c>
      <c r="G552" s="10" t="s">
        <v>3288</v>
      </c>
      <c r="H552" s="10" t="s">
        <v>3252</v>
      </c>
      <c r="I552" s="10" t="s">
        <v>2319</v>
      </c>
    </row>
    <row r="553" spans="1:9" x14ac:dyDescent="0.25">
      <c r="A553">
        <v>1119</v>
      </c>
      <c r="B553" s="10" t="s">
        <v>3242</v>
      </c>
      <c r="C553" s="10" t="s">
        <v>3243</v>
      </c>
      <c r="D553" s="10">
        <v>2842</v>
      </c>
      <c r="E553" s="10" t="s">
        <v>3290</v>
      </c>
      <c r="F553" s="10" t="s">
        <v>3287</v>
      </c>
      <c r="G553" s="10" t="s">
        <v>3288</v>
      </c>
      <c r="H553" s="10" t="s">
        <v>3252</v>
      </c>
      <c r="I553" s="10" t="s">
        <v>2319</v>
      </c>
    </row>
    <row r="554" spans="1:9" x14ac:dyDescent="0.25">
      <c r="A554">
        <v>1371</v>
      </c>
      <c r="B554" s="10" t="s">
        <v>2514</v>
      </c>
      <c r="C554" s="10" t="s">
        <v>3291</v>
      </c>
      <c r="D554" s="10">
        <v>2843</v>
      </c>
      <c r="E554" s="10" t="s">
        <v>3292</v>
      </c>
      <c r="F554" s="10" t="s">
        <v>3060</v>
      </c>
      <c r="G554" s="10" t="s">
        <v>2475</v>
      </c>
      <c r="H554" s="10" t="s">
        <v>3293</v>
      </c>
      <c r="I554" s="10" t="s">
        <v>2477</v>
      </c>
    </row>
    <row r="555" spans="1:9" x14ac:dyDescent="0.25">
      <c r="A555">
        <v>1372</v>
      </c>
      <c r="B555" s="10" t="s">
        <v>2514</v>
      </c>
      <c r="C555" s="10" t="s">
        <v>3291</v>
      </c>
      <c r="D555" s="10">
        <v>2844</v>
      </c>
      <c r="E555" s="10" t="s">
        <v>3294</v>
      </c>
      <c r="F555" s="10" t="s">
        <v>2598</v>
      </c>
      <c r="G555" s="10" t="s">
        <v>2368</v>
      </c>
      <c r="H555" s="10" t="s">
        <v>3295</v>
      </c>
      <c r="I555" s="10" t="s">
        <v>2218</v>
      </c>
    </row>
    <row r="556" spans="1:9" x14ac:dyDescent="0.25">
      <c r="A556">
        <v>1369</v>
      </c>
      <c r="B556" s="10" t="s">
        <v>2514</v>
      </c>
      <c r="C556" s="10" t="s">
        <v>3296</v>
      </c>
      <c r="D556" s="10">
        <v>2845</v>
      </c>
      <c r="E556" s="10" t="s">
        <v>3297</v>
      </c>
      <c r="F556" s="10" t="s">
        <v>2210</v>
      </c>
      <c r="G556" s="10" t="s">
        <v>2706</v>
      </c>
      <c r="H556" s="10" t="s">
        <v>3298</v>
      </c>
      <c r="I556" s="10" t="s">
        <v>2707</v>
      </c>
    </row>
    <row r="557" spans="1:9" x14ac:dyDescent="0.25">
      <c r="A557">
        <v>1373</v>
      </c>
      <c r="B557" s="10" t="s">
        <v>2514</v>
      </c>
      <c r="C557" s="10" t="s">
        <v>3291</v>
      </c>
      <c r="D557" s="10">
        <v>2846</v>
      </c>
      <c r="E557" s="10" t="s">
        <v>3299</v>
      </c>
      <c r="F557" s="10" t="s">
        <v>2220</v>
      </c>
      <c r="G557" s="10" t="s">
        <v>2475</v>
      </c>
      <c r="H557" s="10" t="s">
        <v>3293</v>
      </c>
      <c r="I557" s="10" t="s">
        <v>2477</v>
      </c>
    </row>
    <row r="558" spans="1:9" x14ac:dyDescent="0.25">
      <c r="A558">
        <v>1374</v>
      </c>
      <c r="B558" s="10" t="s">
        <v>2514</v>
      </c>
      <c r="C558" s="10" t="s">
        <v>3291</v>
      </c>
      <c r="D558" s="10">
        <v>2847</v>
      </c>
      <c r="E558" s="10" t="s">
        <v>3300</v>
      </c>
      <c r="F558" s="10" t="s">
        <v>2830</v>
      </c>
      <c r="G558" s="10" t="s">
        <v>3074</v>
      </c>
      <c r="H558" s="10" t="s">
        <v>3301</v>
      </c>
      <c r="I558" s="10" t="s">
        <v>2213</v>
      </c>
    </row>
    <row r="559" spans="1:9" x14ac:dyDescent="0.25">
      <c r="A559">
        <v>1375</v>
      </c>
      <c r="B559" s="10" t="s">
        <v>2514</v>
      </c>
      <c r="C559" s="10" t="s">
        <v>3291</v>
      </c>
      <c r="D559" s="10">
        <v>2848</v>
      </c>
      <c r="E559" s="10" t="s">
        <v>3302</v>
      </c>
      <c r="F559" s="10" t="s">
        <v>3303</v>
      </c>
      <c r="G559" s="10" t="s">
        <v>3304</v>
      </c>
      <c r="H559" s="10" t="s">
        <v>3305</v>
      </c>
      <c r="I559" s="10" t="s">
        <v>2241</v>
      </c>
    </row>
    <row r="560" spans="1:9" x14ac:dyDescent="0.25">
      <c r="A560">
        <v>1376</v>
      </c>
      <c r="B560" s="10" t="s">
        <v>2514</v>
      </c>
      <c r="C560" s="10" t="s">
        <v>3291</v>
      </c>
      <c r="D560" s="10">
        <v>2849</v>
      </c>
      <c r="E560" s="10" t="s">
        <v>3306</v>
      </c>
      <c r="F560" s="10" t="s">
        <v>2598</v>
      </c>
      <c r="G560" s="10" t="s">
        <v>2368</v>
      </c>
      <c r="H560" s="10" t="s">
        <v>3295</v>
      </c>
      <c r="I560" s="10" t="s">
        <v>2218</v>
      </c>
    </row>
    <row r="561" spans="1:9" x14ac:dyDescent="0.25">
      <c r="A561">
        <v>1377</v>
      </c>
      <c r="B561" s="10" t="s">
        <v>2514</v>
      </c>
      <c r="C561" s="10" t="s">
        <v>3291</v>
      </c>
      <c r="D561" s="10">
        <v>2850</v>
      </c>
      <c r="E561" s="10" t="s">
        <v>3307</v>
      </c>
      <c r="F561" s="10" t="s">
        <v>3308</v>
      </c>
      <c r="G561" s="10" t="s">
        <v>2166</v>
      </c>
      <c r="H561" s="10" t="s">
        <v>2611</v>
      </c>
      <c r="I561" s="10" t="s">
        <v>2167</v>
      </c>
    </row>
    <row r="562" spans="1:9" x14ac:dyDescent="0.25">
      <c r="A562">
        <v>1356</v>
      </c>
      <c r="B562" s="10" t="s">
        <v>2514</v>
      </c>
      <c r="C562" s="10" t="s">
        <v>3309</v>
      </c>
      <c r="D562" s="10">
        <v>2851</v>
      </c>
      <c r="E562" s="10" t="s">
        <v>3310</v>
      </c>
      <c r="F562" s="10" t="s">
        <v>2199</v>
      </c>
      <c r="G562" s="10" t="s">
        <v>2684</v>
      </c>
      <c r="H562" s="10" t="s">
        <v>2860</v>
      </c>
      <c r="I562" s="10" t="s">
        <v>2420</v>
      </c>
    </row>
    <row r="563" spans="1:9" x14ac:dyDescent="0.25">
      <c r="A563">
        <v>1357</v>
      </c>
      <c r="B563" s="10" t="s">
        <v>2514</v>
      </c>
      <c r="C563" s="10" t="s">
        <v>3309</v>
      </c>
      <c r="D563" s="10">
        <v>2852</v>
      </c>
      <c r="E563" s="10" t="s">
        <v>3311</v>
      </c>
      <c r="F563" s="10" t="s">
        <v>2360</v>
      </c>
      <c r="G563" s="10" t="s">
        <v>2361</v>
      </c>
      <c r="H563" s="10" t="s">
        <v>2324</v>
      </c>
      <c r="I563" s="10" t="s">
        <v>2363</v>
      </c>
    </row>
    <row r="564" spans="1:9" x14ac:dyDescent="0.25">
      <c r="A564">
        <v>1358</v>
      </c>
      <c r="B564" s="10" t="s">
        <v>2514</v>
      </c>
      <c r="C564" s="10" t="s">
        <v>3309</v>
      </c>
      <c r="D564" s="10">
        <v>2853</v>
      </c>
      <c r="E564" s="10" t="s">
        <v>3312</v>
      </c>
      <c r="F564" s="10" t="s">
        <v>2400</v>
      </c>
      <c r="G564" s="10" t="s">
        <v>2123</v>
      </c>
      <c r="H564" s="10" t="s">
        <v>2748</v>
      </c>
      <c r="I564" s="10" t="s">
        <v>2698</v>
      </c>
    </row>
    <row r="565" spans="1:9" x14ac:dyDescent="0.25">
      <c r="A565">
        <v>1370</v>
      </c>
      <c r="B565" s="10" t="s">
        <v>2514</v>
      </c>
      <c r="C565" s="10" t="s">
        <v>3296</v>
      </c>
      <c r="D565" s="10">
        <v>2854</v>
      </c>
      <c r="E565" s="10" t="s">
        <v>3313</v>
      </c>
      <c r="F565" s="10" t="s">
        <v>2580</v>
      </c>
      <c r="G565" s="10" t="s">
        <v>2308</v>
      </c>
      <c r="H565" s="10" t="s">
        <v>3314</v>
      </c>
      <c r="I565" s="10" t="s">
        <v>2310</v>
      </c>
    </row>
    <row r="566" spans="1:9" x14ac:dyDescent="0.25">
      <c r="A566">
        <v>1650</v>
      </c>
      <c r="B566" s="10" t="s">
        <v>3315</v>
      </c>
      <c r="C566" s="10" t="s">
        <v>3316</v>
      </c>
      <c r="D566" s="10">
        <v>2856</v>
      </c>
      <c r="E566" s="10" t="s">
        <v>3317</v>
      </c>
      <c r="F566" s="10" t="s">
        <v>2507</v>
      </c>
      <c r="G566" s="10" t="s">
        <v>2630</v>
      </c>
      <c r="H566" s="10" t="s">
        <v>3318</v>
      </c>
      <c r="I566" s="10" t="s">
        <v>3319</v>
      </c>
    </row>
    <row r="567" spans="1:9" x14ac:dyDescent="0.25">
      <c r="A567">
        <v>1359</v>
      </c>
      <c r="B567" s="10" t="s">
        <v>2514</v>
      </c>
      <c r="C567" s="10" t="s">
        <v>3309</v>
      </c>
      <c r="D567" s="10">
        <v>2857</v>
      </c>
      <c r="E567" s="10" t="s">
        <v>3320</v>
      </c>
      <c r="F567" s="10" t="s">
        <v>2307</v>
      </c>
      <c r="G567" s="10" t="s">
        <v>2308</v>
      </c>
      <c r="H567" s="10" t="s">
        <v>2377</v>
      </c>
      <c r="I567" s="10" t="s">
        <v>2310</v>
      </c>
    </row>
    <row r="568" spans="1:9" x14ac:dyDescent="0.25">
      <c r="A568">
        <v>1360</v>
      </c>
      <c r="B568" s="10" t="s">
        <v>2514</v>
      </c>
      <c r="C568" s="10" t="s">
        <v>3309</v>
      </c>
      <c r="D568" s="10">
        <v>2858</v>
      </c>
      <c r="E568" s="10" t="s">
        <v>3321</v>
      </c>
      <c r="F568" s="10" t="s">
        <v>3057</v>
      </c>
      <c r="G568" s="10" t="s">
        <v>2374</v>
      </c>
      <c r="H568" s="10" t="s">
        <v>3322</v>
      </c>
      <c r="I568" s="10" t="s">
        <v>2118</v>
      </c>
    </row>
    <row r="569" spans="1:9" x14ac:dyDescent="0.25">
      <c r="A569">
        <v>1536</v>
      </c>
      <c r="B569" s="10" t="s">
        <v>2671</v>
      </c>
      <c r="C569" s="10" t="s">
        <v>2514</v>
      </c>
      <c r="D569" s="10">
        <v>2860</v>
      </c>
      <c r="E569" s="10" t="s">
        <v>3323</v>
      </c>
      <c r="F569" s="10" t="s">
        <v>3324</v>
      </c>
      <c r="G569" s="10" t="s">
        <v>2263</v>
      </c>
      <c r="H569" s="10" t="s">
        <v>3325</v>
      </c>
      <c r="I569" s="10" t="s">
        <v>2264</v>
      </c>
    </row>
    <row r="570" spans="1:9" x14ac:dyDescent="0.25">
      <c r="A570">
        <v>1361</v>
      </c>
      <c r="B570" s="10" t="s">
        <v>2514</v>
      </c>
      <c r="C570" s="10" t="s">
        <v>3309</v>
      </c>
      <c r="D570" s="10">
        <v>2861</v>
      </c>
      <c r="E570" s="10" t="s">
        <v>3326</v>
      </c>
      <c r="F570" s="10" t="s">
        <v>3327</v>
      </c>
      <c r="G570" s="10" t="s">
        <v>2725</v>
      </c>
      <c r="H570" s="10" t="s">
        <v>3328</v>
      </c>
      <c r="I570" s="10" t="s">
        <v>2304</v>
      </c>
    </row>
    <row r="571" spans="1:9" x14ac:dyDescent="0.25">
      <c r="A571">
        <v>1362</v>
      </c>
      <c r="B571" s="10" t="s">
        <v>2514</v>
      </c>
      <c r="C571" s="10" t="s">
        <v>3309</v>
      </c>
      <c r="D571" s="10">
        <v>2862</v>
      </c>
      <c r="E571" s="10" t="s">
        <v>3329</v>
      </c>
      <c r="F571" s="10" t="s">
        <v>3330</v>
      </c>
      <c r="G571" s="10" t="s">
        <v>3331</v>
      </c>
      <c r="H571" s="10" t="s">
        <v>2116</v>
      </c>
      <c r="I571" s="10" t="s">
        <v>2336</v>
      </c>
    </row>
    <row r="572" spans="1:9" x14ac:dyDescent="0.25">
      <c r="A572">
        <v>1366</v>
      </c>
      <c r="B572" s="10" t="s">
        <v>2514</v>
      </c>
      <c r="C572" s="10" t="s">
        <v>3332</v>
      </c>
      <c r="D572" s="10">
        <v>2863</v>
      </c>
      <c r="E572" s="10" t="s">
        <v>3333</v>
      </c>
      <c r="F572" s="10" t="s">
        <v>3334</v>
      </c>
      <c r="G572" s="10" t="s">
        <v>2410</v>
      </c>
      <c r="H572" s="10" t="s">
        <v>3335</v>
      </c>
      <c r="I572" s="10" t="s">
        <v>3336</v>
      </c>
    </row>
    <row r="573" spans="1:9" x14ac:dyDescent="0.25">
      <c r="A573">
        <v>1363</v>
      </c>
      <c r="B573" s="10" t="s">
        <v>2514</v>
      </c>
      <c r="C573" s="10" t="s">
        <v>3309</v>
      </c>
      <c r="D573" s="10">
        <v>2865</v>
      </c>
      <c r="E573" s="10" t="s">
        <v>3337</v>
      </c>
      <c r="F573" s="10" t="s">
        <v>2493</v>
      </c>
      <c r="G573" s="10" t="s">
        <v>2494</v>
      </c>
      <c r="H573" s="10" t="s">
        <v>2395</v>
      </c>
      <c r="I573" s="10" t="s">
        <v>2496</v>
      </c>
    </row>
    <row r="574" spans="1:9" x14ac:dyDescent="0.25">
      <c r="A574">
        <v>1364</v>
      </c>
      <c r="B574" s="10" t="s">
        <v>2514</v>
      </c>
      <c r="C574" s="10" t="s">
        <v>3309</v>
      </c>
      <c r="D574" s="10">
        <v>2866</v>
      </c>
      <c r="E574" s="10" t="s">
        <v>3338</v>
      </c>
      <c r="F574" s="10" t="s">
        <v>2371</v>
      </c>
      <c r="G574" s="10" t="s">
        <v>2372</v>
      </c>
      <c r="H574" s="10" t="s">
        <v>2319</v>
      </c>
      <c r="I574" s="10" t="s">
        <v>2374</v>
      </c>
    </row>
    <row r="575" spans="1:9" x14ac:dyDescent="0.25">
      <c r="A575">
        <v>1714</v>
      </c>
      <c r="B575" s="10" t="s">
        <v>2593</v>
      </c>
      <c r="C575" s="10" t="s">
        <v>3339</v>
      </c>
      <c r="D575" s="10">
        <v>2868</v>
      </c>
      <c r="E575" s="10" t="s">
        <v>3340</v>
      </c>
      <c r="F575" s="10" t="s">
        <v>2493</v>
      </c>
      <c r="G575" s="10" t="s">
        <v>2494</v>
      </c>
      <c r="H575" s="10" t="s">
        <v>2395</v>
      </c>
      <c r="I575" s="10" t="s">
        <v>2496</v>
      </c>
    </row>
    <row r="576" spans="1:9" x14ac:dyDescent="0.25">
      <c r="A576">
        <v>1715</v>
      </c>
      <c r="B576" s="10" t="s">
        <v>2593</v>
      </c>
      <c r="C576" s="10" t="s">
        <v>3339</v>
      </c>
      <c r="D576" s="10">
        <v>2870</v>
      </c>
      <c r="E576" s="10" t="s">
        <v>3341</v>
      </c>
      <c r="F576" s="10" t="s">
        <v>2598</v>
      </c>
      <c r="G576" s="10" t="s">
        <v>2368</v>
      </c>
      <c r="H576" s="10" t="s">
        <v>2313</v>
      </c>
      <c r="I576" s="10" t="s">
        <v>2218</v>
      </c>
    </row>
    <row r="577" spans="1:9" x14ac:dyDescent="0.25">
      <c r="A577">
        <v>1367</v>
      </c>
      <c r="B577" s="10" t="s">
        <v>2514</v>
      </c>
      <c r="C577" s="10" t="s">
        <v>3332</v>
      </c>
      <c r="D577" s="10">
        <v>2871</v>
      </c>
      <c r="E577" s="10" t="s">
        <v>3342</v>
      </c>
      <c r="F577" s="10" t="s">
        <v>2828</v>
      </c>
      <c r="G577" s="10" t="s">
        <v>3343</v>
      </c>
      <c r="H577" s="10" t="s">
        <v>3344</v>
      </c>
      <c r="I577" s="10" t="s">
        <v>2350</v>
      </c>
    </row>
    <row r="578" spans="1:9" x14ac:dyDescent="0.25">
      <c r="A578">
        <v>1716</v>
      </c>
      <c r="B578" s="10" t="s">
        <v>2593</v>
      </c>
      <c r="C578" s="10" t="s">
        <v>3339</v>
      </c>
      <c r="D578" s="10">
        <v>2872</v>
      </c>
      <c r="E578" s="10" t="s">
        <v>3345</v>
      </c>
      <c r="F578" s="10" t="s">
        <v>3274</v>
      </c>
      <c r="G578" s="10" t="s">
        <v>3253</v>
      </c>
      <c r="H578" s="10" t="s">
        <v>2329</v>
      </c>
      <c r="I578" s="10" t="s">
        <v>2631</v>
      </c>
    </row>
    <row r="579" spans="1:9" x14ac:dyDescent="0.25">
      <c r="A579">
        <v>1717</v>
      </c>
      <c r="B579" s="10" t="s">
        <v>2593</v>
      </c>
      <c r="C579" s="10" t="s">
        <v>3339</v>
      </c>
      <c r="D579" s="10">
        <v>2873</v>
      </c>
      <c r="E579" s="10" t="s">
        <v>3346</v>
      </c>
      <c r="F579" s="10" t="s">
        <v>2690</v>
      </c>
      <c r="G579" s="10" t="s">
        <v>2691</v>
      </c>
      <c r="H579" s="10" t="s">
        <v>3347</v>
      </c>
      <c r="I579" s="10" t="s">
        <v>2315</v>
      </c>
    </row>
    <row r="580" spans="1:9" x14ac:dyDescent="0.25">
      <c r="A580">
        <v>1368</v>
      </c>
      <c r="B580" s="10" t="s">
        <v>2514</v>
      </c>
      <c r="C580" s="10" t="s">
        <v>3332</v>
      </c>
      <c r="D580" s="10">
        <v>2874</v>
      </c>
      <c r="E580" s="10" t="s">
        <v>3348</v>
      </c>
      <c r="F580" s="10" t="s">
        <v>2344</v>
      </c>
      <c r="G580" s="10" t="s">
        <v>2263</v>
      </c>
      <c r="H580" s="10" t="s">
        <v>3325</v>
      </c>
      <c r="I580" s="10" t="s">
        <v>2264</v>
      </c>
    </row>
    <row r="581" spans="1:9" x14ac:dyDescent="0.25">
      <c r="A581">
        <v>1718</v>
      </c>
      <c r="B581" s="10" t="s">
        <v>2593</v>
      </c>
      <c r="C581" s="10" t="s">
        <v>3339</v>
      </c>
      <c r="D581" s="10">
        <v>2876</v>
      </c>
      <c r="E581" s="10" t="s">
        <v>3349</v>
      </c>
      <c r="F581" s="10" t="s">
        <v>3350</v>
      </c>
      <c r="G581" s="10" t="s">
        <v>3351</v>
      </c>
      <c r="H581" s="10" t="s">
        <v>3352</v>
      </c>
      <c r="I581" s="10" t="s">
        <v>3353</v>
      </c>
    </row>
    <row r="582" spans="1:9" x14ac:dyDescent="0.25">
      <c r="A582">
        <v>773</v>
      </c>
      <c r="B582" s="10" t="s">
        <v>2633</v>
      </c>
      <c r="C582" s="10" t="s">
        <v>3354</v>
      </c>
      <c r="D582" s="10">
        <v>2877</v>
      </c>
      <c r="E582" s="10" t="s">
        <v>3355</v>
      </c>
      <c r="F582" s="10" t="s">
        <v>3221</v>
      </c>
      <c r="G582" s="10" t="s">
        <v>3222</v>
      </c>
      <c r="H582" s="10" t="s">
        <v>2229</v>
      </c>
      <c r="I582" s="10" t="s">
        <v>2324</v>
      </c>
    </row>
    <row r="583" spans="1:9" x14ac:dyDescent="0.25">
      <c r="A583">
        <v>774</v>
      </c>
      <c r="B583" s="10" t="s">
        <v>2633</v>
      </c>
      <c r="C583" s="10" t="s">
        <v>3354</v>
      </c>
      <c r="D583" s="10">
        <v>2878</v>
      </c>
      <c r="E583" s="10" t="s">
        <v>3356</v>
      </c>
      <c r="F583" s="10" t="s">
        <v>3221</v>
      </c>
      <c r="G583" s="10" t="s">
        <v>3222</v>
      </c>
      <c r="H583" s="10" t="s">
        <v>2229</v>
      </c>
      <c r="I583" s="10" t="s">
        <v>2324</v>
      </c>
    </row>
    <row r="584" spans="1:9" x14ac:dyDescent="0.25">
      <c r="A584">
        <v>136</v>
      </c>
      <c r="B584" s="10" t="s">
        <v>2518</v>
      </c>
      <c r="C584" s="10" t="s">
        <v>3357</v>
      </c>
      <c r="D584" s="10">
        <v>2879</v>
      </c>
      <c r="E584" s="10" t="s">
        <v>3358</v>
      </c>
      <c r="F584" s="10" t="s">
        <v>3359</v>
      </c>
      <c r="G584" s="10" t="s">
        <v>3360</v>
      </c>
      <c r="H584" s="10" t="s">
        <v>2420</v>
      </c>
      <c r="I584" s="10" t="s">
        <v>2420</v>
      </c>
    </row>
    <row r="585" spans="1:9" x14ac:dyDescent="0.25">
      <c r="A585">
        <v>137</v>
      </c>
      <c r="B585" s="10" t="s">
        <v>2518</v>
      </c>
      <c r="C585" s="10" t="s">
        <v>3357</v>
      </c>
      <c r="D585" s="10">
        <v>2880</v>
      </c>
      <c r="E585" s="10" t="s">
        <v>3361</v>
      </c>
      <c r="F585" s="10" t="s">
        <v>2360</v>
      </c>
      <c r="G585" s="10" t="s">
        <v>2361</v>
      </c>
      <c r="H585" s="10" t="s">
        <v>2363</v>
      </c>
      <c r="I585" s="10" t="s">
        <v>2363</v>
      </c>
    </row>
    <row r="586" spans="1:9" x14ac:dyDescent="0.25">
      <c r="A586">
        <v>794</v>
      </c>
      <c r="B586" s="10" t="s">
        <v>2633</v>
      </c>
      <c r="C586" s="10" t="s">
        <v>3362</v>
      </c>
      <c r="D586" s="10">
        <v>2882</v>
      </c>
      <c r="E586" s="10" t="s">
        <v>3363</v>
      </c>
      <c r="F586" s="10" t="s">
        <v>3364</v>
      </c>
      <c r="G586" s="10" t="s">
        <v>2273</v>
      </c>
      <c r="H586" s="10" t="s">
        <v>2339</v>
      </c>
      <c r="I586" s="10" t="s">
        <v>2241</v>
      </c>
    </row>
    <row r="587" spans="1:9" x14ac:dyDescent="0.25">
      <c r="A587">
        <v>1720</v>
      </c>
      <c r="B587" s="10" t="s">
        <v>3365</v>
      </c>
      <c r="C587" s="10" t="s">
        <v>3366</v>
      </c>
      <c r="D587" s="10">
        <v>2883</v>
      </c>
      <c r="E587" s="10" t="s">
        <v>3367</v>
      </c>
      <c r="F587" s="10" t="s">
        <v>3368</v>
      </c>
      <c r="G587" s="10" t="s">
        <v>3369</v>
      </c>
      <c r="H587" s="10" t="s">
        <v>3370</v>
      </c>
      <c r="I587" s="10" t="s">
        <v>3016</v>
      </c>
    </row>
    <row r="588" spans="1:9" x14ac:dyDescent="0.25">
      <c r="A588">
        <v>795</v>
      </c>
      <c r="B588" s="10" t="s">
        <v>2633</v>
      </c>
      <c r="C588" s="10" t="s">
        <v>3362</v>
      </c>
      <c r="D588" s="10">
        <v>2885</v>
      </c>
      <c r="E588" s="10" t="s">
        <v>3371</v>
      </c>
      <c r="F588" s="10" t="s">
        <v>2215</v>
      </c>
      <c r="G588" s="10" t="s">
        <v>2537</v>
      </c>
      <c r="H588" s="10" t="s">
        <v>2339</v>
      </c>
      <c r="I588" s="10" t="s">
        <v>2241</v>
      </c>
    </row>
    <row r="589" spans="1:9" x14ac:dyDescent="0.25">
      <c r="A589">
        <v>796</v>
      </c>
      <c r="B589" s="10" t="s">
        <v>2633</v>
      </c>
      <c r="C589" s="10" t="s">
        <v>3362</v>
      </c>
      <c r="D589" s="10">
        <v>2886</v>
      </c>
      <c r="E589" s="10" t="s">
        <v>3372</v>
      </c>
      <c r="F589" s="10" t="s">
        <v>2215</v>
      </c>
      <c r="G589" s="10" t="s">
        <v>2537</v>
      </c>
      <c r="H589" s="10" t="s">
        <v>2339</v>
      </c>
      <c r="I589" s="10" t="s">
        <v>2241</v>
      </c>
    </row>
    <row r="590" spans="1:9" x14ac:dyDescent="0.25">
      <c r="A590">
        <v>797</v>
      </c>
      <c r="B590" s="10" t="s">
        <v>2633</v>
      </c>
      <c r="C590" s="10" t="s">
        <v>3362</v>
      </c>
      <c r="D590" s="10">
        <v>2887</v>
      </c>
      <c r="E590" s="10" t="s">
        <v>3373</v>
      </c>
      <c r="F590" s="10" t="s">
        <v>2215</v>
      </c>
      <c r="G590" s="10" t="s">
        <v>2537</v>
      </c>
      <c r="H590" s="10" t="s">
        <v>2339</v>
      </c>
      <c r="I590" s="10" t="s">
        <v>2241</v>
      </c>
    </row>
    <row r="591" spans="1:9" x14ac:dyDescent="0.25">
      <c r="A591">
        <v>798</v>
      </c>
      <c r="B591" s="10" t="s">
        <v>2633</v>
      </c>
      <c r="C591" s="10" t="s">
        <v>3362</v>
      </c>
      <c r="D591" s="10">
        <v>2888</v>
      </c>
      <c r="E591" s="10" t="s">
        <v>3374</v>
      </c>
      <c r="F591" s="10" t="s">
        <v>2215</v>
      </c>
      <c r="G591" s="10" t="s">
        <v>2537</v>
      </c>
      <c r="H591" s="10" t="s">
        <v>2339</v>
      </c>
      <c r="I591" s="10" t="s">
        <v>2241</v>
      </c>
    </row>
    <row r="592" spans="1:9" x14ac:dyDescent="0.25">
      <c r="A592">
        <v>790</v>
      </c>
      <c r="B592" s="10" t="s">
        <v>2633</v>
      </c>
      <c r="C592" s="10" t="s">
        <v>3375</v>
      </c>
      <c r="D592" s="10">
        <v>2889</v>
      </c>
      <c r="E592" s="10" t="s">
        <v>3376</v>
      </c>
      <c r="F592" s="10" t="s">
        <v>2220</v>
      </c>
      <c r="G592" s="10" t="s">
        <v>2475</v>
      </c>
      <c r="H592" s="10" t="s">
        <v>2315</v>
      </c>
      <c r="I592" s="10" t="s">
        <v>2477</v>
      </c>
    </row>
    <row r="593" spans="1:9" x14ac:dyDescent="0.25">
      <c r="A593">
        <v>791</v>
      </c>
      <c r="B593" s="10" t="s">
        <v>2633</v>
      </c>
      <c r="C593" s="10" t="s">
        <v>3375</v>
      </c>
      <c r="D593" s="10">
        <v>2890</v>
      </c>
      <c r="E593" s="10" t="s">
        <v>3377</v>
      </c>
      <c r="F593" s="10" t="s">
        <v>2220</v>
      </c>
      <c r="G593" s="10" t="s">
        <v>2475</v>
      </c>
      <c r="H593" s="10" t="s">
        <v>2315</v>
      </c>
      <c r="I593" s="10" t="s">
        <v>2477</v>
      </c>
    </row>
    <row r="594" spans="1:9" x14ac:dyDescent="0.25">
      <c r="A594">
        <v>792</v>
      </c>
      <c r="B594" s="10" t="s">
        <v>2633</v>
      </c>
      <c r="C594" s="10" t="s">
        <v>3375</v>
      </c>
      <c r="D594" s="10">
        <v>2891</v>
      </c>
      <c r="E594" s="10" t="s">
        <v>3378</v>
      </c>
      <c r="F594" s="10" t="s">
        <v>2220</v>
      </c>
      <c r="G594" s="10" t="s">
        <v>2475</v>
      </c>
      <c r="H594" s="10" t="s">
        <v>2315</v>
      </c>
      <c r="I594" s="10" t="s">
        <v>2477</v>
      </c>
    </row>
    <row r="595" spans="1:9" x14ac:dyDescent="0.25">
      <c r="A595">
        <v>793</v>
      </c>
      <c r="B595" s="10" t="s">
        <v>2633</v>
      </c>
      <c r="C595" s="10" t="s">
        <v>3375</v>
      </c>
      <c r="D595" s="10">
        <v>2892</v>
      </c>
      <c r="E595" s="10" t="s">
        <v>3379</v>
      </c>
      <c r="F595" s="10" t="s">
        <v>2220</v>
      </c>
      <c r="G595" s="10" t="s">
        <v>2475</v>
      </c>
      <c r="H595" s="10" t="s">
        <v>2315</v>
      </c>
      <c r="I595" s="10" t="s">
        <v>2477</v>
      </c>
    </row>
    <row r="596" spans="1:9" x14ac:dyDescent="0.25">
      <c r="A596">
        <v>1321</v>
      </c>
      <c r="B596" s="10" t="s">
        <v>3380</v>
      </c>
      <c r="C596" s="10" t="s">
        <v>3381</v>
      </c>
      <c r="D596" s="10">
        <v>2893</v>
      </c>
      <c r="E596" s="10" t="s">
        <v>3382</v>
      </c>
      <c r="F596" s="10">
        <v>12.95</v>
      </c>
      <c r="G596" s="10">
        <v>0.65</v>
      </c>
      <c r="H596" s="10">
        <v>2.02</v>
      </c>
      <c r="I596" s="10">
        <v>0.89</v>
      </c>
    </row>
    <row r="597" spans="1:9" x14ac:dyDescent="0.25">
      <c r="A597">
        <v>799</v>
      </c>
      <c r="B597" s="10" t="s">
        <v>2633</v>
      </c>
      <c r="C597" s="10" t="s">
        <v>3362</v>
      </c>
      <c r="D597" s="10">
        <v>2894</v>
      </c>
      <c r="E597" s="10" t="s">
        <v>3383</v>
      </c>
      <c r="F597" s="10" t="s">
        <v>3384</v>
      </c>
      <c r="G597" s="10" t="s">
        <v>2447</v>
      </c>
      <c r="H597" s="10" t="s">
        <v>3015</v>
      </c>
      <c r="I597" s="10" t="s">
        <v>2449</v>
      </c>
    </row>
    <row r="598" spans="1:9" x14ac:dyDescent="0.25">
      <c r="A598">
        <v>1365</v>
      </c>
      <c r="B598" s="10" t="s">
        <v>2514</v>
      </c>
      <c r="C598" s="10" t="s">
        <v>3309</v>
      </c>
      <c r="D598" s="10">
        <v>2895</v>
      </c>
      <c r="E598" s="10" t="s">
        <v>3385</v>
      </c>
      <c r="F598" s="10" t="s">
        <v>3327</v>
      </c>
      <c r="G598" s="10" t="s">
        <v>2725</v>
      </c>
      <c r="H598" s="10" t="s">
        <v>2368</v>
      </c>
      <c r="I598" s="10" t="s">
        <v>2304</v>
      </c>
    </row>
    <row r="599" spans="1:9" x14ac:dyDescent="0.25">
      <c r="A599">
        <v>692</v>
      </c>
      <c r="B599" s="10" t="s">
        <v>3386</v>
      </c>
      <c r="C599" s="10" t="s">
        <v>3387</v>
      </c>
      <c r="D599" s="10">
        <v>2896</v>
      </c>
      <c r="E599" s="10" t="s">
        <v>3388</v>
      </c>
      <c r="F599" s="10" t="s">
        <v>2898</v>
      </c>
      <c r="G599" s="10" t="s">
        <v>3389</v>
      </c>
      <c r="H599" s="10" t="s">
        <v>3353</v>
      </c>
      <c r="I599" s="10" t="s">
        <v>3390</v>
      </c>
    </row>
    <row r="600" spans="1:9" x14ac:dyDescent="0.25">
      <c r="A600">
        <v>1322</v>
      </c>
      <c r="B600" s="10" t="s">
        <v>3380</v>
      </c>
      <c r="C600" s="10" t="s">
        <v>3381</v>
      </c>
      <c r="D600" s="10">
        <v>2897</v>
      </c>
      <c r="E600" s="10" t="s">
        <v>3391</v>
      </c>
      <c r="F600" s="10" t="s">
        <v>3153</v>
      </c>
      <c r="G600" s="10" t="s">
        <v>2831</v>
      </c>
      <c r="H600" s="10" t="s">
        <v>2665</v>
      </c>
      <c r="I600" s="10" t="s">
        <v>2425</v>
      </c>
    </row>
    <row r="601" spans="1:9" x14ac:dyDescent="0.25">
      <c r="A601">
        <v>128</v>
      </c>
      <c r="B601" s="10" t="s">
        <v>2518</v>
      </c>
      <c r="C601" s="10" t="s">
        <v>3392</v>
      </c>
      <c r="D601" s="10">
        <v>2899</v>
      </c>
      <c r="E601" s="10" t="s">
        <v>3393</v>
      </c>
      <c r="F601" s="10" t="s">
        <v>3153</v>
      </c>
      <c r="G601" s="10" t="s">
        <v>2831</v>
      </c>
      <c r="H601" s="10" t="s">
        <v>2425</v>
      </c>
      <c r="I601" s="10" t="s">
        <v>2425</v>
      </c>
    </row>
    <row r="602" spans="1:9" x14ac:dyDescent="0.25">
      <c r="A602">
        <v>129</v>
      </c>
      <c r="B602" s="10" t="s">
        <v>2518</v>
      </c>
      <c r="C602" s="10" t="s">
        <v>3392</v>
      </c>
      <c r="D602" s="10">
        <v>2900</v>
      </c>
      <c r="E602" s="10" t="s">
        <v>3394</v>
      </c>
      <c r="F602" s="10" t="s">
        <v>3395</v>
      </c>
      <c r="G602" s="10" t="s">
        <v>2829</v>
      </c>
      <c r="H602" s="10" t="s">
        <v>2329</v>
      </c>
      <c r="I602" s="10" t="s">
        <v>2329</v>
      </c>
    </row>
    <row r="603" spans="1:9" x14ac:dyDescent="0.25">
      <c r="A603">
        <v>130</v>
      </c>
      <c r="B603" s="10" t="s">
        <v>2518</v>
      </c>
      <c r="C603" s="10" t="s">
        <v>3392</v>
      </c>
      <c r="D603" s="10">
        <v>2901</v>
      </c>
      <c r="E603" s="10" t="s">
        <v>3396</v>
      </c>
      <c r="F603" s="10" t="s">
        <v>3153</v>
      </c>
      <c r="G603" s="10" t="s">
        <v>2831</v>
      </c>
      <c r="H603" s="10" t="s">
        <v>2425</v>
      </c>
      <c r="I603" s="10" t="s">
        <v>2425</v>
      </c>
    </row>
    <row r="604" spans="1:9" x14ac:dyDescent="0.25">
      <c r="A604">
        <v>131</v>
      </c>
      <c r="B604" s="10" t="s">
        <v>2518</v>
      </c>
      <c r="C604" s="10" t="s">
        <v>3392</v>
      </c>
      <c r="D604" s="10">
        <v>2902</v>
      </c>
      <c r="E604" s="10" t="s">
        <v>3397</v>
      </c>
      <c r="F604" s="10" t="s">
        <v>3153</v>
      </c>
      <c r="G604" s="10" t="s">
        <v>2831</v>
      </c>
      <c r="H604" s="10" t="s">
        <v>2425</v>
      </c>
      <c r="I604" s="10" t="s">
        <v>2425</v>
      </c>
    </row>
    <row r="605" spans="1:9" x14ac:dyDescent="0.25">
      <c r="A605">
        <v>132</v>
      </c>
      <c r="B605" s="10" t="s">
        <v>2518</v>
      </c>
      <c r="C605" s="10" t="s">
        <v>3392</v>
      </c>
      <c r="D605" s="10">
        <v>2903</v>
      </c>
      <c r="E605" s="10" t="s">
        <v>3398</v>
      </c>
      <c r="F605" s="10" t="s">
        <v>3153</v>
      </c>
      <c r="G605" s="10" t="s">
        <v>2831</v>
      </c>
      <c r="H605" s="10" t="s">
        <v>2425</v>
      </c>
      <c r="I605" s="10" t="s">
        <v>2425</v>
      </c>
    </row>
    <row r="606" spans="1:9" x14ac:dyDescent="0.25">
      <c r="A606">
        <v>133</v>
      </c>
      <c r="B606" s="10" t="s">
        <v>2518</v>
      </c>
      <c r="C606" s="10" t="s">
        <v>3392</v>
      </c>
      <c r="D606" s="10">
        <v>2904</v>
      </c>
      <c r="E606" s="10" t="s">
        <v>3399</v>
      </c>
      <c r="F606" s="10" t="s">
        <v>3153</v>
      </c>
      <c r="G606" s="10" t="s">
        <v>2831</v>
      </c>
      <c r="H606" s="10" t="s">
        <v>2425</v>
      </c>
      <c r="I606" s="10" t="s">
        <v>2425</v>
      </c>
    </row>
    <row r="607" spans="1:9" x14ac:dyDescent="0.25">
      <c r="A607">
        <v>775</v>
      </c>
      <c r="B607" s="10" t="s">
        <v>2633</v>
      </c>
      <c r="C607" s="10" t="s">
        <v>3354</v>
      </c>
      <c r="D607" s="10">
        <v>2905</v>
      </c>
      <c r="E607" s="10" t="s">
        <v>3400</v>
      </c>
      <c r="F607" s="10" t="s">
        <v>3401</v>
      </c>
      <c r="G607" s="10" t="s">
        <v>3402</v>
      </c>
      <c r="H607" s="10" t="s">
        <v>3403</v>
      </c>
      <c r="I607" s="10" t="s">
        <v>2868</v>
      </c>
    </row>
    <row r="608" spans="1:9" x14ac:dyDescent="0.25">
      <c r="A608">
        <v>140</v>
      </c>
      <c r="B608" s="10" t="s">
        <v>2518</v>
      </c>
      <c r="C608" s="10" t="s">
        <v>3404</v>
      </c>
      <c r="D608" s="10">
        <v>2906</v>
      </c>
      <c r="E608" s="10" t="s">
        <v>3361</v>
      </c>
      <c r="F608" s="10" t="s">
        <v>3405</v>
      </c>
      <c r="G608" s="10" t="s">
        <v>3180</v>
      </c>
      <c r="H608" s="10" t="s">
        <v>2263</v>
      </c>
      <c r="I608" s="10" t="s">
        <v>2263</v>
      </c>
    </row>
    <row r="609" spans="1:9" x14ac:dyDescent="0.25">
      <c r="A609">
        <v>141</v>
      </c>
      <c r="B609" s="10" t="s">
        <v>2518</v>
      </c>
      <c r="C609" s="10" t="s">
        <v>3404</v>
      </c>
      <c r="D609" s="10">
        <v>2907</v>
      </c>
      <c r="E609" s="10" t="s">
        <v>3406</v>
      </c>
      <c r="F609" s="10" t="s">
        <v>2199</v>
      </c>
      <c r="G609" s="10" t="s">
        <v>2684</v>
      </c>
      <c r="H609" s="10" t="s">
        <v>2420</v>
      </c>
      <c r="I609" s="10" t="s">
        <v>2420</v>
      </c>
    </row>
    <row r="610" spans="1:9" x14ac:dyDescent="0.25">
      <c r="A610">
        <v>138</v>
      </c>
      <c r="B610" s="10" t="s">
        <v>2518</v>
      </c>
      <c r="C610" s="10" t="s">
        <v>3407</v>
      </c>
      <c r="D610" s="10">
        <v>2915</v>
      </c>
      <c r="E610" s="10" t="s">
        <v>3361</v>
      </c>
      <c r="F610" s="10" t="s">
        <v>3405</v>
      </c>
      <c r="G610" s="10" t="s">
        <v>3180</v>
      </c>
      <c r="H610" s="10" t="s">
        <v>2263</v>
      </c>
      <c r="I610" s="10" t="s">
        <v>2263</v>
      </c>
    </row>
    <row r="611" spans="1:9" x14ac:dyDescent="0.25">
      <c r="A611">
        <v>139</v>
      </c>
      <c r="B611" s="10" t="s">
        <v>2518</v>
      </c>
      <c r="C611" s="10" t="s">
        <v>3407</v>
      </c>
      <c r="D611" s="10">
        <v>2916</v>
      </c>
      <c r="E611" s="10" t="s">
        <v>3406</v>
      </c>
      <c r="F611" s="10" t="s">
        <v>3153</v>
      </c>
      <c r="G611" s="10" t="s">
        <v>2831</v>
      </c>
      <c r="H611" s="10" t="s">
        <v>2425</v>
      </c>
      <c r="I611" s="10" t="s">
        <v>2425</v>
      </c>
    </row>
    <row r="612" spans="1:9" x14ac:dyDescent="0.25">
      <c r="A612">
        <v>1323</v>
      </c>
      <c r="B612" s="10" t="s">
        <v>3380</v>
      </c>
      <c r="C612" s="10" t="s">
        <v>3381</v>
      </c>
      <c r="D612" s="10">
        <v>2917</v>
      </c>
      <c r="E612" s="10" t="s">
        <v>3408</v>
      </c>
      <c r="F612" s="10">
        <v>14.5</v>
      </c>
      <c r="G612" s="10">
        <v>0.73</v>
      </c>
      <c r="H612" s="10">
        <v>2.5099999999999998</v>
      </c>
      <c r="I612" s="10">
        <v>0.99</v>
      </c>
    </row>
    <row r="613" spans="1:9" x14ac:dyDescent="0.25">
      <c r="A613">
        <v>1324</v>
      </c>
      <c r="B613" s="10" t="s">
        <v>3380</v>
      </c>
      <c r="C613" s="10" t="s">
        <v>3381</v>
      </c>
      <c r="D613" s="10">
        <v>2918</v>
      </c>
      <c r="E613" s="10" t="s">
        <v>3409</v>
      </c>
      <c r="F613" s="10">
        <v>12.95</v>
      </c>
      <c r="G613" s="10">
        <v>0.65</v>
      </c>
      <c r="H613" s="10">
        <v>2.02</v>
      </c>
      <c r="I613" s="10">
        <v>0.89</v>
      </c>
    </row>
    <row r="614" spans="1:9" x14ac:dyDescent="0.25">
      <c r="A614">
        <v>1325</v>
      </c>
      <c r="B614" s="10" t="s">
        <v>3380</v>
      </c>
      <c r="C614" s="10" t="s">
        <v>3381</v>
      </c>
      <c r="D614" s="10">
        <v>2919</v>
      </c>
      <c r="E614" s="10" t="s">
        <v>3410</v>
      </c>
      <c r="F614" s="10">
        <v>12.95</v>
      </c>
      <c r="G614" s="10">
        <v>0.65</v>
      </c>
      <c r="H614" s="10">
        <v>2.02</v>
      </c>
      <c r="I614" s="10">
        <v>0.89</v>
      </c>
    </row>
    <row r="615" spans="1:9" x14ac:dyDescent="0.25">
      <c r="A615">
        <v>1326</v>
      </c>
      <c r="B615" s="10" t="s">
        <v>3380</v>
      </c>
      <c r="C615" s="10" t="s">
        <v>3381</v>
      </c>
      <c r="D615" s="10">
        <v>2920</v>
      </c>
      <c r="E615" s="10" t="s">
        <v>3411</v>
      </c>
      <c r="F615" s="10">
        <v>12.95</v>
      </c>
      <c r="G615" s="10">
        <v>0.65</v>
      </c>
      <c r="H615" s="10">
        <v>2.02</v>
      </c>
      <c r="I615" s="10">
        <v>0.89</v>
      </c>
    </row>
    <row r="616" spans="1:9" x14ac:dyDescent="0.25">
      <c r="A616">
        <v>1327</v>
      </c>
      <c r="B616" s="10" t="s">
        <v>3380</v>
      </c>
      <c r="C616" s="10" t="s">
        <v>3381</v>
      </c>
      <c r="D616" s="10">
        <v>2921</v>
      </c>
      <c r="E616" s="10" t="s">
        <v>3412</v>
      </c>
      <c r="F616" s="10">
        <v>12.95</v>
      </c>
      <c r="G616" s="10">
        <v>0.65</v>
      </c>
      <c r="H616" s="10">
        <v>2.02</v>
      </c>
      <c r="I616" s="10">
        <v>0.89</v>
      </c>
    </row>
    <row r="617" spans="1:9" x14ac:dyDescent="0.25">
      <c r="A617">
        <v>1328</v>
      </c>
      <c r="B617" s="10" t="s">
        <v>3380</v>
      </c>
      <c r="C617" s="10" t="s">
        <v>3381</v>
      </c>
      <c r="D617" s="10">
        <v>2922</v>
      </c>
      <c r="E617" s="10" t="s">
        <v>3413</v>
      </c>
      <c r="F617" s="10">
        <v>12.95</v>
      </c>
      <c r="G617" s="10">
        <v>0.65</v>
      </c>
      <c r="H617" s="10">
        <v>2.02</v>
      </c>
      <c r="I617" s="10">
        <v>0.89</v>
      </c>
    </row>
    <row r="618" spans="1:9" x14ac:dyDescent="0.25">
      <c r="A618">
        <v>1329</v>
      </c>
      <c r="B618" s="10" t="s">
        <v>3380</v>
      </c>
      <c r="C618" s="10" t="s">
        <v>3381</v>
      </c>
      <c r="D618" s="10">
        <v>2923</v>
      </c>
      <c r="E618" s="10" t="s">
        <v>3414</v>
      </c>
      <c r="F618" s="10">
        <v>12.95</v>
      </c>
      <c r="G618" s="10">
        <v>0.65</v>
      </c>
      <c r="H618" s="10">
        <v>2.02</v>
      </c>
      <c r="I618" s="10">
        <v>0.89</v>
      </c>
    </row>
    <row r="619" spans="1:9" x14ac:dyDescent="0.25">
      <c r="A619">
        <v>1330</v>
      </c>
      <c r="B619" s="10" t="s">
        <v>3380</v>
      </c>
      <c r="C619" s="10" t="s">
        <v>3381</v>
      </c>
      <c r="D619" s="10">
        <v>2924</v>
      </c>
      <c r="E619" s="10" t="s">
        <v>3415</v>
      </c>
      <c r="F619" s="10">
        <v>12.95</v>
      </c>
      <c r="G619" s="10">
        <v>0.65</v>
      </c>
      <c r="H619" s="10">
        <v>2.02</v>
      </c>
      <c r="I619" s="10">
        <v>0.89</v>
      </c>
    </row>
    <row r="620" spans="1:9" x14ac:dyDescent="0.25">
      <c r="A620">
        <v>1331</v>
      </c>
      <c r="B620" s="10" t="s">
        <v>3380</v>
      </c>
      <c r="C620" s="10" t="s">
        <v>3381</v>
      </c>
      <c r="D620" s="10">
        <v>2925</v>
      </c>
      <c r="E620" s="10" t="s">
        <v>3416</v>
      </c>
      <c r="F620" s="10">
        <v>12.95</v>
      </c>
      <c r="G620" s="10">
        <v>0.65</v>
      </c>
      <c r="H620" s="10">
        <v>2.02</v>
      </c>
      <c r="I620" s="10">
        <v>0.89</v>
      </c>
    </row>
    <row r="621" spans="1:9" x14ac:dyDescent="0.25">
      <c r="A621">
        <v>1332</v>
      </c>
      <c r="B621" s="10" t="s">
        <v>3380</v>
      </c>
      <c r="C621" s="10" t="s">
        <v>3381</v>
      </c>
      <c r="D621" s="10">
        <v>2926</v>
      </c>
      <c r="E621" s="10" t="s">
        <v>3417</v>
      </c>
      <c r="F621" s="10">
        <v>12.95</v>
      </c>
      <c r="G621" s="10">
        <v>0.65</v>
      </c>
      <c r="H621" s="10">
        <v>2.02</v>
      </c>
      <c r="I621" s="10">
        <v>0.89</v>
      </c>
    </row>
    <row r="622" spans="1:9" x14ac:dyDescent="0.25">
      <c r="A622">
        <v>1333</v>
      </c>
      <c r="B622" s="10" t="s">
        <v>3380</v>
      </c>
      <c r="C622" s="10" t="s">
        <v>3381</v>
      </c>
      <c r="D622" s="10">
        <v>2927</v>
      </c>
      <c r="E622" s="10" t="s">
        <v>3418</v>
      </c>
      <c r="F622" s="10">
        <v>12.95</v>
      </c>
      <c r="G622" s="10">
        <v>0.65</v>
      </c>
      <c r="H622" s="10">
        <v>2.02</v>
      </c>
      <c r="I622" s="10">
        <v>0.89</v>
      </c>
    </row>
    <row r="623" spans="1:9" x14ac:dyDescent="0.25">
      <c r="A623">
        <v>1334</v>
      </c>
      <c r="B623" s="10" t="s">
        <v>3380</v>
      </c>
      <c r="C623" s="10" t="s">
        <v>3381</v>
      </c>
      <c r="D623" s="10">
        <v>2928</v>
      </c>
      <c r="E623" s="10" t="s">
        <v>3419</v>
      </c>
      <c r="F623" s="10">
        <v>12.95</v>
      </c>
      <c r="G623" s="10">
        <v>0.65</v>
      </c>
      <c r="H623" s="10">
        <v>2.02</v>
      </c>
      <c r="I623" s="10">
        <v>0.89</v>
      </c>
    </row>
    <row r="624" spans="1:9" x14ac:dyDescent="0.25">
      <c r="A624">
        <v>1335</v>
      </c>
      <c r="B624" s="10" t="s">
        <v>3380</v>
      </c>
      <c r="C624" s="10" t="s">
        <v>3381</v>
      </c>
      <c r="D624" s="10">
        <v>2929</v>
      </c>
      <c r="E624" s="10" t="s">
        <v>3420</v>
      </c>
      <c r="F624" s="10">
        <v>14.5</v>
      </c>
      <c r="G624" s="10">
        <v>0.73</v>
      </c>
      <c r="H624" s="10">
        <v>2.5099999999999998</v>
      </c>
      <c r="I624" s="10">
        <v>0.99</v>
      </c>
    </row>
    <row r="625" spans="1:9" x14ac:dyDescent="0.25">
      <c r="A625">
        <v>1336</v>
      </c>
      <c r="B625" s="10" t="s">
        <v>3380</v>
      </c>
      <c r="C625" s="10" t="s">
        <v>3381</v>
      </c>
      <c r="D625" s="10">
        <v>2930</v>
      </c>
      <c r="E625" s="10" t="s">
        <v>3421</v>
      </c>
      <c r="F625" s="10">
        <v>12.95</v>
      </c>
      <c r="G625" s="10">
        <v>0.65</v>
      </c>
      <c r="H625" s="10">
        <v>2.02</v>
      </c>
      <c r="I625" s="10">
        <v>0.89</v>
      </c>
    </row>
    <row r="626" spans="1:9" x14ac:dyDescent="0.25">
      <c r="A626">
        <v>1337</v>
      </c>
      <c r="B626" s="10" t="s">
        <v>3380</v>
      </c>
      <c r="C626" s="10" t="s">
        <v>3381</v>
      </c>
      <c r="D626" s="10">
        <v>2931</v>
      </c>
      <c r="E626" s="10" t="s">
        <v>3422</v>
      </c>
      <c r="F626" s="10" t="s">
        <v>2485</v>
      </c>
      <c r="G626" s="10" t="s">
        <v>3423</v>
      </c>
      <c r="H626" s="10" t="s">
        <v>2310</v>
      </c>
      <c r="I626" s="10" t="s">
        <v>2310</v>
      </c>
    </row>
    <row r="627" spans="1:9" x14ac:dyDescent="0.25">
      <c r="A627">
        <v>1338</v>
      </c>
      <c r="B627" s="10" t="s">
        <v>3380</v>
      </c>
      <c r="C627" s="10" t="s">
        <v>3381</v>
      </c>
      <c r="D627" s="10">
        <v>2932</v>
      </c>
      <c r="E627" s="10" t="s">
        <v>3424</v>
      </c>
      <c r="F627" s="10" t="s">
        <v>2485</v>
      </c>
      <c r="G627" s="10" t="s">
        <v>3423</v>
      </c>
      <c r="H627" s="10" t="s">
        <v>2310</v>
      </c>
      <c r="I627" s="10" t="s">
        <v>2310</v>
      </c>
    </row>
    <row r="628" spans="1:9" x14ac:dyDescent="0.25">
      <c r="A628">
        <v>1339</v>
      </c>
      <c r="B628" s="10" t="s">
        <v>3380</v>
      </c>
      <c r="C628" s="10" t="s">
        <v>3381</v>
      </c>
      <c r="D628" s="10">
        <v>2933</v>
      </c>
      <c r="E628" s="10" t="s">
        <v>3425</v>
      </c>
      <c r="F628" s="10" t="s">
        <v>2485</v>
      </c>
      <c r="G628" s="10" t="s">
        <v>3423</v>
      </c>
      <c r="H628" s="10" t="s">
        <v>2310</v>
      </c>
      <c r="I628" s="10" t="s">
        <v>2310</v>
      </c>
    </row>
    <row r="629" spans="1:9" x14ac:dyDescent="0.25">
      <c r="A629">
        <v>1340</v>
      </c>
      <c r="B629" s="10" t="s">
        <v>3380</v>
      </c>
      <c r="C629" s="10" t="s">
        <v>3381</v>
      </c>
      <c r="D629" s="10">
        <v>2934</v>
      </c>
      <c r="E629" s="10" t="s">
        <v>3426</v>
      </c>
      <c r="F629" s="10" t="s">
        <v>2485</v>
      </c>
      <c r="G629" s="10" t="s">
        <v>3423</v>
      </c>
      <c r="H629" s="10" t="s">
        <v>2310</v>
      </c>
      <c r="I629" s="10" t="s">
        <v>2310</v>
      </c>
    </row>
    <row r="630" spans="1:9" x14ac:dyDescent="0.25">
      <c r="A630">
        <v>1599</v>
      </c>
      <c r="B630" s="10" t="s">
        <v>2618</v>
      </c>
      <c r="C630" s="10" t="s">
        <v>3427</v>
      </c>
      <c r="D630" s="10">
        <v>2935</v>
      </c>
      <c r="E630" s="10" t="s">
        <v>3428</v>
      </c>
      <c r="F630" s="10">
        <v>9.5</v>
      </c>
      <c r="G630" s="10">
        <v>0.79</v>
      </c>
      <c r="H630" s="10">
        <v>5.81</v>
      </c>
      <c r="I630" s="10">
        <v>1.0900000000000001</v>
      </c>
    </row>
    <row r="631" spans="1:9" x14ac:dyDescent="0.25">
      <c r="A631">
        <v>1600</v>
      </c>
      <c r="B631" s="10" t="s">
        <v>2618</v>
      </c>
      <c r="C631" s="10" t="s">
        <v>3427</v>
      </c>
      <c r="D631" s="10">
        <v>2936</v>
      </c>
      <c r="E631" s="10" t="s">
        <v>3429</v>
      </c>
      <c r="F631" s="10">
        <v>9.5</v>
      </c>
      <c r="G631" s="10">
        <v>0.79</v>
      </c>
      <c r="H631" s="10">
        <v>5.81</v>
      </c>
      <c r="I631" s="10">
        <v>1.0900000000000001</v>
      </c>
    </row>
    <row r="632" spans="1:9" x14ac:dyDescent="0.25">
      <c r="A632">
        <v>693</v>
      </c>
      <c r="B632" s="10" t="s">
        <v>3386</v>
      </c>
      <c r="C632" s="10" t="s">
        <v>3387</v>
      </c>
      <c r="D632" s="10">
        <v>2938</v>
      </c>
      <c r="E632" s="10" t="s">
        <v>3430</v>
      </c>
      <c r="F632" s="10" t="s">
        <v>2928</v>
      </c>
      <c r="G632" s="10" t="s">
        <v>2967</v>
      </c>
      <c r="H632" s="10" t="s">
        <v>3431</v>
      </c>
      <c r="I632" s="10" t="s">
        <v>2631</v>
      </c>
    </row>
    <row r="633" spans="1:9" x14ac:dyDescent="0.25">
      <c r="A633">
        <v>694</v>
      </c>
      <c r="B633" s="10" t="s">
        <v>3386</v>
      </c>
      <c r="C633" s="10" t="s">
        <v>3387</v>
      </c>
      <c r="D633" s="10">
        <v>2939</v>
      </c>
      <c r="E633" s="10" t="s">
        <v>3432</v>
      </c>
      <c r="F633" s="10" t="s">
        <v>2828</v>
      </c>
      <c r="G633" s="10" t="s">
        <v>3433</v>
      </c>
      <c r="H633" s="10" t="s">
        <v>2547</v>
      </c>
      <c r="I633" s="10" t="s">
        <v>2547</v>
      </c>
    </row>
    <row r="634" spans="1:9" x14ac:dyDescent="0.25">
      <c r="A634">
        <v>695</v>
      </c>
      <c r="B634" s="10" t="s">
        <v>3386</v>
      </c>
      <c r="C634" s="10" t="s">
        <v>3387</v>
      </c>
      <c r="D634" s="10">
        <v>2940</v>
      </c>
      <c r="E634" s="10" t="s">
        <v>3434</v>
      </c>
      <c r="F634" s="10" t="s">
        <v>2611</v>
      </c>
      <c r="G634" s="10" t="s">
        <v>3211</v>
      </c>
      <c r="H634" s="10" t="s">
        <v>2449</v>
      </c>
      <c r="I634" s="10" t="s">
        <v>2374</v>
      </c>
    </row>
    <row r="635" spans="1:9" x14ac:dyDescent="0.25">
      <c r="A635">
        <v>696</v>
      </c>
      <c r="B635" s="10" t="s">
        <v>3386</v>
      </c>
      <c r="C635" s="10" t="s">
        <v>3387</v>
      </c>
      <c r="D635" s="10">
        <v>2941</v>
      </c>
      <c r="E635" s="10" t="s">
        <v>3435</v>
      </c>
      <c r="F635" s="10" t="s">
        <v>2528</v>
      </c>
      <c r="G635" s="10" t="s">
        <v>2866</v>
      </c>
      <c r="H635" s="10" t="s">
        <v>3130</v>
      </c>
      <c r="I635" s="10" t="s">
        <v>2868</v>
      </c>
    </row>
    <row r="636" spans="1:9" x14ac:dyDescent="0.25">
      <c r="A636">
        <v>697</v>
      </c>
      <c r="B636" s="10" t="s">
        <v>3386</v>
      </c>
      <c r="C636" s="10" t="s">
        <v>3387</v>
      </c>
      <c r="D636" s="10">
        <v>2942</v>
      </c>
      <c r="E636" s="10" t="s">
        <v>3436</v>
      </c>
      <c r="F636" s="10" t="s">
        <v>2271</v>
      </c>
      <c r="G636" s="10" t="s">
        <v>3437</v>
      </c>
      <c r="H636" s="10" t="s">
        <v>3438</v>
      </c>
      <c r="I636" s="10" t="s">
        <v>2812</v>
      </c>
    </row>
    <row r="637" spans="1:9" x14ac:dyDescent="0.25">
      <c r="A637">
        <v>1601</v>
      </c>
      <c r="B637" s="10" t="s">
        <v>2618</v>
      </c>
      <c r="C637" s="10" t="s">
        <v>3427</v>
      </c>
      <c r="D637" s="10">
        <v>2943</v>
      </c>
      <c r="E637" s="10" t="s">
        <v>3439</v>
      </c>
      <c r="F637" s="10">
        <v>9.5</v>
      </c>
      <c r="G637" s="10">
        <v>0.79</v>
      </c>
      <c r="H637" s="10">
        <v>5.81</v>
      </c>
      <c r="I637" s="10">
        <v>1.0900000000000001</v>
      </c>
    </row>
    <row r="638" spans="1:9" x14ac:dyDescent="0.25">
      <c r="A638">
        <v>1602</v>
      </c>
      <c r="B638" s="10" t="s">
        <v>2618</v>
      </c>
      <c r="C638" s="10" t="s">
        <v>3427</v>
      </c>
      <c r="D638" s="10">
        <v>2944</v>
      </c>
      <c r="E638" s="10" t="s">
        <v>3440</v>
      </c>
      <c r="F638" s="10">
        <v>9.5</v>
      </c>
      <c r="G638" s="10">
        <v>0.79</v>
      </c>
      <c r="H638" s="10">
        <v>5.81</v>
      </c>
      <c r="I638" s="10">
        <v>1.0900000000000001</v>
      </c>
    </row>
    <row r="639" spans="1:9" x14ac:dyDescent="0.25">
      <c r="A639">
        <v>698</v>
      </c>
      <c r="B639" s="10" t="s">
        <v>3386</v>
      </c>
      <c r="C639" s="10" t="s">
        <v>3387</v>
      </c>
      <c r="D639" s="10">
        <v>2945</v>
      </c>
      <c r="E639" s="10" t="s">
        <v>3441</v>
      </c>
      <c r="F639" s="10" t="s">
        <v>2271</v>
      </c>
      <c r="G639" s="10" t="s">
        <v>2612</v>
      </c>
      <c r="H639" s="10" t="s">
        <v>3442</v>
      </c>
      <c r="I639" s="10" t="s">
        <v>2223</v>
      </c>
    </row>
    <row r="640" spans="1:9" x14ac:dyDescent="0.25">
      <c r="A640">
        <v>699</v>
      </c>
      <c r="B640" s="10" t="s">
        <v>3386</v>
      </c>
      <c r="C640" s="10" t="s">
        <v>3387</v>
      </c>
      <c r="D640" s="10">
        <v>2947</v>
      </c>
      <c r="E640" s="10" t="s">
        <v>3443</v>
      </c>
      <c r="F640" s="10">
        <v>15.35</v>
      </c>
      <c r="G640" s="10">
        <v>0.77</v>
      </c>
      <c r="H640" s="10">
        <v>2.67</v>
      </c>
      <c r="I640" s="10">
        <v>1.0900000000000001</v>
      </c>
    </row>
    <row r="641" spans="1:9" x14ac:dyDescent="0.25">
      <c r="A641">
        <v>1603</v>
      </c>
      <c r="B641" s="10" t="s">
        <v>2618</v>
      </c>
      <c r="C641" s="10" t="s">
        <v>3427</v>
      </c>
      <c r="D641" s="10">
        <v>2949</v>
      </c>
      <c r="E641" s="10" t="s">
        <v>3444</v>
      </c>
      <c r="F641" s="10">
        <v>9.5</v>
      </c>
      <c r="G641" s="10">
        <v>0.79</v>
      </c>
      <c r="H641" s="10">
        <v>5.81</v>
      </c>
      <c r="I641" s="10">
        <v>1.0900000000000001</v>
      </c>
    </row>
    <row r="642" spans="1:9" x14ac:dyDescent="0.25">
      <c r="A642">
        <v>134</v>
      </c>
      <c r="B642" s="10" t="s">
        <v>2518</v>
      </c>
      <c r="C642" s="10" t="s">
        <v>3392</v>
      </c>
      <c r="D642" s="10">
        <v>2950</v>
      </c>
      <c r="E642" s="10" t="s">
        <v>3445</v>
      </c>
      <c r="F642" s="10" t="s">
        <v>2690</v>
      </c>
      <c r="G642" s="10" t="s">
        <v>2691</v>
      </c>
      <c r="H642" s="10" t="s">
        <v>2324</v>
      </c>
      <c r="I642" s="10" t="s">
        <v>2315</v>
      </c>
    </row>
    <row r="643" spans="1:9" x14ac:dyDescent="0.25">
      <c r="A643">
        <v>1668</v>
      </c>
      <c r="B643" s="10" t="s">
        <v>2593</v>
      </c>
      <c r="C643" s="10" t="s">
        <v>3446</v>
      </c>
      <c r="D643" s="10">
        <v>2954</v>
      </c>
      <c r="E643" s="10" t="s">
        <v>3447</v>
      </c>
      <c r="F643" s="10" t="s">
        <v>3448</v>
      </c>
      <c r="G643" s="10" t="s">
        <v>3449</v>
      </c>
      <c r="H643" s="10" t="s">
        <v>3450</v>
      </c>
      <c r="I643" s="10" t="s">
        <v>3336</v>
      </c>
    </row>
    <row r="644" spans="1:9" x14ac:dyDescent="0.25">
      <c r="A644">
        <v>1133</v>
      </c>
      <c r="B644" s="10" t="s">
        <v>3242</v>
      </c>
      <c r="C644" s="10" t="s">
        <v>3451</v>
      </c>
      <c r="D644" s="10">
        <v>2962</v>
      </c>
      <c r="E644" s="10" t="s">
        <v>3452</v>
      </c>
      <c r="F644" s="10" t="s">
        <v>2507</v>
      </c>
      <c r="G644" s="10" t="s">
        <v>2630</v>
      </c>
      <c r="H644" s="10" t="s">
        <v>3453</v>
      </c>
      <c r="I644" s="10" t="s">
        <v>3319</v>
      </c>
    </row>
    <row r="645" spans="1:9" x14ac:dyDescent="0.25">
      <c r="A645">
        <v>700</v>
      </c>
      <c r="B645" s="10" t="s">
        <v>3386</v>
      </c>
      <c r="C645" s="10" t="s">
        <v>3387</v>
      </c>
      <c r="D645" s="10">
        <v>2967</v>
      </c>
      <c r="E645" s="10" t="s">
        <v>3454</v>
      </c>
      <c r="F645" s="10">
        <v>15.35</v>
      </c>
      <c r="G645" s="10">
        <v>0.77</v>
      </c>
      <c r="H645" s="10">
        <v>2.67</v>
      </c>
      <c r="I645" s="10">
        <v>1.0900000000000001</v>
      </c>
    </row>
    <row r="646" spans="1:9" x14ac:dyDescent="0.25">
      <c r="A646">
        <v>1637</v>
      </c>
      <c r="B646" s="10" t="s">
        <v>3315</v>
      </c>
      <c r="C646" s="10" t="s">
        <v>3455</v>
      </c>
      <c r="D646" s="10">
        <v>2971</v>
      </c>
      <c r="E646" s="10" t="s">
        <v>3456</v>
      </c>
      <c r="F646" s="10" t="s">
        <v>2470</v>
      </c>
      <c r="G646" s="10" t="s">
        <v>2471</v>
      </c>
      <c r="H646" s="10" t="s">
        <v>2374</v>
      </c>
      <c r="I646" s="10" t="s">
        <v>2374</v>
      </c>
    </row>
    <row r="647" spans="1:9" x14ac:dyDescent="0.25">
      <c r="A647">
        <v>1638</v>
      </c>
      <c r="B647" s="10" t="s">
        <v>3315</v>
      </c>
      <c r="C647" s="10" t="s">
        <v>3455</v>
      </c>
      <c r="D647" s="10">
        <v>2972</v>
      </c>
      <c r="E647" s="10" t="s">
        <v>3457</v>
      </c>
      <c r="F647" s="10" t="s">
        <v>2470</v>
      </c>
      <c r="G647" s="10" t="s">
        <v>2471</v>
      </c>
      <c r="H647" s="10" t="s">
        <v>2374</v>
      </c>
      <c r="I647" s="10" t="s">
        <v>2374</v>
      </c>
    </row>
    <row r="648" spans="1:9" x14ac:dyDescent="0.25">
      <c r="A648">
        <v>1639</v>
      </c>
      <c r="B648" s="10" t="s">
        <v>3315</v>
      </c>
      <c r="C648" s="10" t="s">
        <v>3455</v>
      </c>
      <c r="D648" s="10">
        <v>2973</v>
      </c>
      <c r="E648" s="10" t="s">
        <v>3458</v>
      </c>
      <c r="F648" s="10">
        <v>23.5</v>
      </c>
      <c r="G648" s="10">
        <v>0.94</v>
      </c>
      <c r="H648" s="10">
        <v>2.58</v>
      </c>
      <c r="I648" s="10">
        <v>1.29</v>
      </c>
    </row>
    <row r="649" spans="1:9" x14ac:dyDescent="0.25">
      <c r="A649">
        <v>135</v>
      </c>
      <c r="B649" s="10" t="s">
        <v>2518</v>
      </c>
      <c r="C649" s="10" t="s">
        <v>3459</v>
      </c>
      <c r="D649" s="10">
        <v>2976</v>
      </c>
      <c r="E649" s="10" t="s">
        <v>3460</v>
      </c>
      <c r="F649" s="10" t="s">
        <v>3461</v>
      </c>
      <c r="G649" s="10" t="s">
        <v>3075</v>
      </c>
      <c r="H649" s="10" t="s">
        <v>3285</v>
      </c>
      <c r="I649" s="10" t="s">
        <v>2324</v>
      </c>
    </row>
    <row r="650" spans="1:9" x14ac:dyDescent="0.25">
      <c r="A650">
        <v>1604</v>
      </c>
      <c r="B650" s="10" t="s">
        <v>2618</v>
      </c>
      <c r="C650" s="10" t="s">
        <v>3427</v>
      </c>
      <c r="D650" s="10">
        <v>2978</v>
      </c>
      <c r="E650" s="10" t="s">
        <v>3462</v>
      </c>
      <c r="F650" s="10">
        <v>10.25</v>
      </c>
      <c r="G650" s="10">
        <v>0.85</v>
      </c>
      <c r="H650" s="10">
        <v>6.35</v>
      </c>
      <c r="I650" s="10">
        <v>1.19</v>
      </c>
    </row>
    <row r="651" spans="1:9" x14ac:dyDescent="0.25">
      <c r="A651">
        <v>1134</v>
      </c>
      <c r="B651" s="10" t="s">
        <v>3242</v>
      </c>
      <c r="C651" s="10" t="s">
        <v>3451</v>
      </c>
      <c r="D651" s="10">
        <v>2980</v>
      </c>
      <c r="E651" s="10" t="s">
        <v>3463</v>
      </c>
      <c r="F651" s="10" t="s">
        <v>2740</v>
      </c>
      <c r="G651" s="10" t="s">
        <v>3464</v>
      </c>
      <c r="H651" s="10" t="s">
        <v>3465</v>
      </c>
      <c r="I651" s="10" t="s">
        <v>2491</v>
      </c>
    </row>
    <row r="652" spans="1:9" x14ac:dyDescent="0.25">
      <c r="A652">
        <v>1135</v>
      </c>
      <c r="B652" s="10" t="s">
        <v>3242</v>
      </c>
      <c r="C652" s="10" t="s">
        <v>3451</v>
      </c>
      <c r="D652" s="10">
        <v>2982</v>
      </c>
      <c r="E652" s="10" t="s">
        <v>3466</v>
      </c>
      <c r="F652" s="10" t="s">
        <v>2969</v>
      </c>
      <c r="G652" s="10" t="s">
        <v>2914</v>
      </c>
      <c r="H652" s="10" t="s">
        <v>2970</v>
      </c>
      <c r="I652" s="10" t="s">
        <v>2508</v>
      </c>
    </row>
    <row r="653" spans="1:9" x14ac:dyDescent="0.25">
      <c r="A653">
        <v>1669</v>
      </c>
      <c r="B653" s="10" t="s">
        <v>2593</v>
      </c>
      <c r="C653" s="10" t="s">
        <v>3446</v>
      </c>
      <c r="D653" s="10">
        <v>2983</v>
      </c>
      <c r="E653" s="10" t="s">
        <v>3467</v>
      </c>
      <c r="F653" s="10" t="s">
        <v>2747</v>
      </c>
      <c r="G653" s="10" t="s">
        <v>3468</v>
      </c>
      <c r="H653" s="10" t="s">
        <v>2895</v>
      </c>
      <c r="I653" s="10" t="s">
        <v>3469</v>
      </c>
    </row>
    <row r="654" spans="1:9" x14ac:dyDescent="0.25">
      <c r="A654">
        <v>1670</v>
      </c>
      <c r="B654" s="10" t="s">
        <v>2593</v>
      </c>
      <c r="C654" s="10" t="s">
        <v>3446</v>
      </c>
      <c r="D654" s="10">
        <v>2984</v>
      </c>
      <c r="E654" s="10" t="s">
        <v>3470</v>
      </c>
      <c r="F654" s="10" t="s">
        <v>2924</v>
      </c>
      <c r="G654" s="10" t="s">
        <v>3130</v>
      </c>
      <c r="H654" s="10" t="s">
        <v>3402</v>
      </c>
      <c r="I654" s="10" t="s">
        <v>2182</v>
      </c>
    </row>
    <row r="655" spans="1:9" x14ac:dyDescent="0.25">
      <c r="A655">
        <v>1136</v>
      </c>
      <c r="B655" s="10" t="s">
        <v>3242</v>
      </c>
      <c r="C655" s="10" t="s">
        <v>3451</v>
      </c>
      <c r="D655" s="10">
        <v>2985</v>
      </c>
      <c r="E655" s="10" t="s">
        <v>3471</v>
      </c>
      <c r="F655" s="10" t="s">
        <v>2740</v>
      </c>
      <c r="G655" s="10" t="s">
        <v>3464</v>
      </c>
      <c r="H655" s="10" t="s">
        <v>3465</v>
      </c>
      <c r="I655" s="10" t="s">
        <v>2491</v>
      </c>
    </row>
    <row r="656" spans="1:9" x14ac:dyDescent="0.25">
      <c r="A656">
        <v>1671</v>
      </c>
      <c r="B656" s="10" t="s">
        <v>2593</v>
      </c>
      <c r="C656" s="10" t="s">
        <v>3446</v>
      </c>
      <c r="D656" s="10">
        <v>2986</v>
      </c>
      <c r="E656" s="10" t="s">
        <v>3472</v>
      </c>
      <c r="F656" s="10" t="s">
        <v>3473</v>
      </c>
      <c r="G656" s="10" t="s">
        <v>3474</v>
      </c>
      <c r="H656" s="10" t="s">
        <v>3433</v>
      </c>
      <c r="I656" s="10" t="s">
        <v>3475</v>
      </c>
    </row>
    <row r="657" spans="1:9" x14ac:dyDescent="0.25">
      <c r="A657">
        <v>1672</v>
      </c>
      <c r="B657" s="10" t="s">
        <v>2593</v>
      </c>
      <c r="C657" s="10" t="s">
        <v>3446</v>
      </c>
      <c r="D657" s="10">
        <v>2987</v>
      </c>
      <c r="E657" s="10" t="s">
        <v>3476</v>
      </c>
      <c r="F657" s="10" t="s">
        <v>3477</v>
      </c>
      <c r="G657" s="10" t="s">
        <v>3478</v>
      </c>
      <c r="H657" s="10" t="s">
        <v>3433</v>
      </c>
      <c r="I657" s="10" t="s">
        <v>3475</v>
      </c>
    </row>
    <row r="658" spans="1:9" x14ac:dyDescent="0.25">
      <c r="A658">
        <v>1605</v>
      </c>
      <c r="B658" s="10" t="s">
        <v>2618</v>
      </c>
      <c r="C658" s="10" t="s">
        <v>3427</v>
      </c>
      <c r="D658" s="10">
        <v>2989</v>
      </c>
      <c r="E658" s="10" t="s">
        <v>3479</v>
      </c>
      <c r="F658" s="10">
        <v>9.5</v>
      </c>
      <c r="G658" s="10">
        <v>0.79</v>
      </c>
      <c r="H658" s="10">
        <v>5.81</v>
      </c>
      <c r="I658" s="10">
        <v>1.0900000000000001</v>
      </c>
    </row>
    <row r="659" spans="1:9" x14ac:dyDescent="0.25">
      <c r="A659">
        <v>142</v>
      </c>
      <c r="B659" s="10" t="s">
        <v>2518</v>
      </c>
      <c r="C659" s="10" t="s">
        <v>3480</v>
      </c>
      <c r="D659" s="10">
        <v>2990</v>
      </c>
      <c r="E659" s="10" t="s">
        <v>3361</v>
      </c>
      <c r="F659" s="10" t="s">
        <v>3261</v>
      </c>
      <c r="G659" s="10" t="s">
        <v>2805</v>
      </c>
      <c r="H659" s="10" t="s">
        <v>2374</v>
      </c>
      <c r="I659" s="10" t="s">
        <v>2374</v>
      </c>
    </row>
    <row r="660" spans="1:9" x14ac:dyDescent="0.25">
      <c r="A660">
        <v>143</v>
      </c>
      <c r="B660" s="10" t="s">
        <v>2518</v>
      </c>
      <c r="C660" s="10" t="s">
        <v>3480</v>
      </c>
      <c r="D660" s="10">
        <v>2991</v>
      </c>
      <c r="E660" s="10" t="s">
        <v>3481</v>
      </c>
      <c r="F660" s="10" t="s">
        <v>3261</v>
      </c>
      <c r="G660" s="10" t="s">
        <v>2805</v>
      </c>
      <c r="H660" s="10" t="s">
        <v>2374</v>
      </c>
      <c r="I660" s="10" t="s">
        <v>2374</v>
      </c>
    </row>
    <row r="661" spans="1:9" x14ac:dyDescent="0.25">
      <c r="A661">
        <v>144</v>
      </c>
      <c r="B661" s="10" t="s">
        <v>2518</v>
      </c>
      <c r="C661" s="10" t="s">
        <v>3482</v>
      </c>
      <c r="D661" s="10">
        <v>2996</v>
      </c>
      <c r="E661" s="10" t="s">
        <v>3483</v>
      </c>
      <c r="F661" s="10" t="s">
        <v>2762</v>
      </c>
      <c r="G661" s="10" t="s">
        <v>3328</v>
      </c>
      <c r="H661" s="10" t="s">
        <v>2268</v>
      </c>
      <c r="I661" s="10" t="s">
        <v>3146</v>
      </c>
    </row>
    <row r="662" spans="1:9" x14ac:dyDescent="0.25">
      <c r="A662">
        <v>145</v>
      </c>
      <c r="B662" s="10" t="s">
        <v>2518</v>
      </c>
      <c r="C662" s="10" t="s">
        <v>3482</v>
      </c>
      <c r="D662" s="10">
        <v>2997</v>
      </c>
      <c r="E662" s="10" t="s">
        <v>3484</v>
      </c>
      <c r="F662" s="10" t="s">
        <v>2762</v>
      </c>
      <c r="G662" s="10" t="s">
        <v>3328</v>
      </c>
      <c r="H662" s="10" t="s">
        <v>2268</v>
      </c>
      <c r="I662" s="10" t="s">
        <v>3146</v>
      </c>
    </row>
    <row r="663" spans="1:9" x14ac:dyDescent="0.25">
      <c r="A663">
        <v>1351</v>
      </c>
      <c r="B663" s="10" t="s">
        <v>3380</v>
      </c>
      <c r="C663" s="10" t="s">
        <v>3485</v>
      </c>
      <c r="D663" s="10">
        <v>2999</v>
      </c>
      <c r="E663" s="10" t="s">
        <v>3486</v>
      </c>
      <c r="F663" s="10" t="s">
        <v>2338</v>
      </c>
      <c r="G663" s="10" t="s">
        <v>2241</v>
      </c>
      <c r="H663" s="10" t="s">
        <v>2464</v>
      </c>
      <c r="I663" s="10" t="s">
        <v>2496</v>
      </c>
    </row>
    <row r="664" spans="1:9" x14ac:dyDescent="0.25">
      <c r="A664">
        <v>36</v>
      </c>
      <c r="B664" s="10" t="s">
        <v>2518</v>
      </c>
      <c r="C664" s="10" t="s">
        <v>2526</v>
      </c>
      <c r="D664" s="10">
        <v>3002</v>
      </c>
      <c r="E664" s="10" t="s">
        <v>3487</v>
      </c>
      <c r="F664" s="10" t="s">
        <v>2611</v>
      </c>
      <c r="G664" s="10" t="s">
        <v>3180</v>
      </c>
      <c r="H664" s="10" t="s">
        <v>2656</v>
      </c>
      <c r="I664" s="10" t="s">
        <v>2263</v>
      </c>
    </row>
    <row r="665" spans="1:9" x14ac:dyDescent="0.25">
      <c r="A665">
        <v>126</v>
      </c>
      <c r="B665" s="10" t="s">
        <v>2518</v>
      </c>
      <c r="C665" s="10" t="s">
        <v>2585</v>
      </c>
      <c r="D665" s="10">
        <v>3007</v>
      </c>
      <c r="E665" s="10" t="s">
        <v>3488</v>
      </c>
      <c r="F665" s="10" t="s">
        <v>2611</v>
      </c>
      <c r="G665" s="10" t="s">
        <v>2574</v>
      </c>
      <c r="H665" s="10" t="s">
        <v>2240</v>
      </c>
      <c r="I665" s="10" t="s">
        <v>2496</v>
      </c>
    </row>
    <row r="666" spans="1:9" x14ac:dyDescent="0.25">
      <c r="A666">
        <v>127</v>
      </c>
      <c r="B666" s="10" t="s">
        <v>2518</v>
      </c>
      <c r="C666" s="10" t="s">
        <v>2585</v>
      </c>
      <c r="D666" s="10">
        <v>3009</v>
      </c>
      <c r="E666" s="10" t="s">
        <v>3489</v>
      </c>
      <c r="F666" s="10" t="s">
        <v>2611</v>
      </c>
      <c r="G666" s="10" t="s">
        <v>2574</v>
      </c>
      <c r="H666" s="10" t="s">
        <v>2240</v>
      </c>
      <c r="I666" s="10" t="s">
        <v>2496</v>
      </c>
    </row>
    <row r="667" spans="1:9" x14ac:dyDescent="0.25">
      <c r="A667">
        <v>1598</v>
      </c>
      <c r="B667" s="10" t="s">
        <v>2618</v>
      </c>
      <c r="C667" s="10" t="s">
        <v>2619</v>
      </c>
      <c r="D667" s="10">
        <v>3014</v>
      </c>
      <c r="E667" s="10" t="s">
        <v>3490</v>
      </c>
      <c r="F667" s="10" t="s">
        <v>2412</v>
      </c>
      <c r="G667" s="10" t="s">
        <v>2860</v>
      </c>
      <c r="H667" s="10" t="s">
        <v>3491</v>
      </c>
      <c r="I667" s="10" t="s">
        <v>2477</v>
      </c>
    </row>
    <row r="668" spans="1:9" x14ac:dyDescent="0.25">
      <c r="A668">
        <v>146</v>
      </c>
      <c r="B668" s="10" t="s">
        <v>2518</v>
      </c>
      <c r="C668" s="10" t="s">
        <v>3482</v>
      </c>
      <c r="D668" s="10">
        <v>3017</v>
      </c>
      <c r="E668" s="10" t="s">
        <v>3492</v>
      </c>
      <c r="F668" s="10" t="s">
        <v>3221</v>
      </c>
      <c r="G668" s="10" t="s">
        <v>3222</v>
      </c>
      <c r="H668" s="10" t="s">
        <v>3493</v>
      </c>
      <c r="I668" s="10" t="s">
        <v>2324</v>
      </c>
    </row>
    <row r="669" spans="1:9" x14ac:dyDescent="0.25">
      <c r="A669">
        <v>1175</v>
      </c>
      <c r="B669" s="10" t="s">
        <v>2207</v>
      </c>
      <c r="C669" s="10" t="s">
        <v>3494</v>
      </c>
      <c r="D669" s="10">
        <v>3047</v>
      </c>
      <c r="E669" s="10" t="s">
        <v>3495</v>
      </c>
      <c r="F669" s="10" t="s">
        <v>3364</v>
      </c>
      <c r="G669" s="10" t="s">
        <v>2213</v>
      </c>
      <c r="H669" s="10" t="s">
        <v>2721</v>
      </c>
      <c r="I669" s="10" t="s">
        <v>2431</v>
      </c>
    </row>
    <row r="670" spans="1:9" x14ac:dyDescent="0.25">
      <c r="A670">
        <v>1176</v>
      </c>
      <c r="B670" s="10" t="s">
        <v>2207</v>
      </c>
      <c r="C670" s="10" t="s">
        <v>3494</v>
      </c>
      <c r="D670" s="10">
        <v>3049</v>
      </c>
      <c r="E670" s="10" t="s">
        <v>3496</v>
      </c>
      <c r="F670" s="10" t="s">
        <v>3193</v>
      </c>
      <c r="G670" s="10" t="s">
        <v>2860</v>
      </c>
      <c r="H670" s="10" t="s">
        <v>2116</v>
      </c>
      <c r="I670" s="10" t="s">
        <v>2477</v>
      </c>
    </row>
    <row r="671" spans="1:9" x14ac:dyDescent="0.25">
      <c r="A671">
        <v>1177</v>
      </c>
      <c r="B671" s="10" t="s">
        <v>2207</v>
      </c>
      <c r="C671" s="10" t="s">
        <v>3494</v>
      </c>
      <c r="D671" s="10">
        <v>3051</v>
      </c>
      <c r="E671" s="10" t="s">
        <v>3497</v>
      </c>
      <c r="F671" s="10" t="s">
        <v>3056</v>
      </c>
      <c r="G671" s="10" t="s">
        <v>3498</v>
      </c>
      <c r="H671" s="10" t="s">
        <v>2529</v>
      </c>
      <c r="I671" s="10" t="s">
        <v>3499</v>
      </c>
    </row>
    <row r="672" spans="1:9" x14ac:dyDescent="0.25">
      <c r="A672">
        <v>1178</v>
      </c>
      <c r="B672" s="10" t="s">
        <v>2207</v>
      </c>
      <c r="C672" s="10" t="s">
        <v>3494</v>
      </c>
      <c r="D672" s="10">
        <v>3055</v>
      </c>
      <c r="E672" s="10" t="s">
        <v>3500</v>
      </c>
      <c r="F672" s="10" t="s">
        <v>2602</v>
      </c>
      <c r="G672" s="10" t="s">
        <v>2603</v>
      </c>
      <c r="H672" s="10" t="s">
        <v>3501</v>
      </c>
      <c r="I672" s="10" t="s">
        <v>2374</v>
      </c>
    </row>
    <row r="673" spans="1:9" x14ac:dyDescent="0.25">
      <c r="A673">
        <v>1171</v>
      </c>
      <c r="B673" s="10" t="s">
        <v>2207</v>
      </c>
      <c r="C673" s="10" t="s">
        <v>3502</v>
      </c>
      <c r="D673" s="10">
        <v>3057</v>
      </c>
      <c r="E673" s="10" t="s">
        <v>3503</v>
      </c>
      <c r="F673" s="10" t="s">
        <v>2611</v>
      </c>
      <c r="G673" s="10" t="s">
        <v>2574</v>
      </c>
      <c r="H673" s="10" t="s">
        <v>2583</v>
      </c>
      <c r="I673" s="10" t="s">
        <v>2496</v>
      </c>
    </row>
    <row r="674" spans="1:9" x14ac:dyDescent="0.25">
      <c r="A674">
        <v>1179</v>
      </c>
      <c r="B674" s="10" t="s">
        <v>2207</v>
      </c>
      <c r="C674" s="10" t="s">
        <v>3494</v>
      </c>
      <c r="D674" s="10">
        <v>3058</v>
      </c>
      <c r="E674" s="10" t="s">
        <v>3504</v>
      </c>
      <c r="F674" s="10" t="s">
        <v>2580</v>
      </c>
      <c r="G674" s="10" t="s">
        <v>2669</v>
      </c>
      <c r="H674" s="10" t="s">
        <v>3505</v>
      </c>
      <c r="I674" s="10" t="s">
        <v>2246</v>
      </c>
    </row>
    <row r="675" spans="1:9" x14ac:dyDescent="0.25">
      <c r="A675">
        <v>1180</v>
      </c>
      <c r="B675" s="10" t="s">
        <v>2207</v>
      </c>
      <c r="C675" s="10" t="s">
        <v>3494</v>
      </c>
      <c r="D675" s="10">
        <v>3059</v>
      </c>
      <c r="E675" s="10" t="s">
        <v>3506</v>
      </c>
      <c r="F675" s="10" t="s">
        <v>2333</v>
      </c>
      <c r="G675" s="10" t="s">
        <v>3240</v>
      </c>
      <c r="H675" s="10" t="s">
        <v>2264</v>
      </c>
      <c r="I675" s="10" t="s">
        <v>2263</v>
      </c>
    </row>
    <row r="676" spans="1:9" x14ac:dyDescent="0.25">
      <c r="A676">
        <v>1181</v>
      </c>
      <c r="B676" s="10" t="s">
        <v>2207</v>
      </c>
      <c r="C676" s="10" t="s">
        <v>3494</v>
      </c>
      <c r="D676" s="10">
        <v>3060</v>
      </c>
      <c r="E676" s="10" t="s">
        <v>3507</v>
      </c>
      <c r="F676" s="10" t="s">
        <v>2466</v>
      </c>
      <c r="G676" s="10" t="s">
        <v>2467</v>
      </c>
      <c r="H676" s="10" t="s">
        <v>2366</v>
      </c>
      <c r="I676" s="10" t="s">
        <v>2319</v>
      </c>
    </row>
    <row r="677" spans="1:9" x14ac:dyDescent="0.25">
      <c r="A677">
        <v>1182</v>
      </c>
      <c r="B677" s="10" t="s">
        <v>2207</v>
      </c>
      <c r="C677" s="10" t="s">
        <v>3494</v>
      </c>
      <c r="D677" s="10">
        <v>3061</v>
      </c>
      <c r="E677" s="10" t="s">
        <v>3508</v>
      </c>
      <c r="F677" s="10" t="s">
        <v>2400</v>
      </c>
      <c r="G677" s="10" t="s">
        <v>2123</v>
      </c>
      <c r="H677" s="10" t="s">
        <v>3222</v>
      </c>
      <c r="I677" s="10" t="s">
        <v>2698</v>
      </c>
    </row>
    <row r="678" spans="1:9" x14ac:dyDescent="0.25">
      <c r="A678">
        <v>1183</v>
      </c>
      <c r="B678" s="10" t="s">
        <v>2207</v>
      </c>
      <c r="C678" s="10" t="s">
        <v>3494</v>
      </c>
      <c r="D678" s="10">
        <v>3062</v>
      </c>
      <c r="E678" s="10" t="s">
        <v>3509</v>
      </c>
      <c r="F678" s="10" t="s">
        <v>2598</v>
      </c>
      <c r="G678" s="10" t="s">
        <v>2599</v>
      </c>
      <c r="H678" s="10" t="s">
        <v>3510</v>
      </c>
      <c r="I678" s="10" t="s">
        <v>2310</v>
      </c>
    </row>
    <row r="679" spans="1:9" x14ac:dyDescent="0.25">
      <c r="A679">
        <v>1184</v>
      </c>
      <c r="B679" s="10" t="s">
        <v>2207</v>
      </c>
      <c r="C679" s="10" t="s">
        <v>3494</v>
      </c>
      <c r="D679" s="10">
        <v>3063</v>
      </c>
      <c r="E679" s="10" t="s">
        <v>3511</v>
      </c>
      <c r="F679" s="10" t="s">
        <v>2611</v>
      </c>
      <c r="G679" s="10" t="s">
        <v>2574</v>
      </c>
      <c r="H679" s="10" t="s">
        <v>2236</v>
      </c>
      <c r="I679" s="10" t="s">
        <v>2496</v>
      </c>
    </row>
    <row r="680" spans="1:9" x14ac:dyDescent="0.25">
      <c r="A680">
        <v>1144</v>
      </c>
      <c r="B680" s="10" t="s">
        <v>2604</v>
      </c>
      <c r="C680" s="10" t="s">
        <v>3512</v>
      </c>
      <c r="D680" s="10">
        <v>3065</v>
      </c>
      <c r="E680" s="10" t="s">
        <v>3513</v>
      </c>
      <c r="F680" s="10" t="s">
        <v>3081</v>
      </c>
      <c r="G680" s="10" t="s">
        <v>2656</v>
      </c>
      <c r="H680" s="10" t="s">
        <v>2363</v>
      </c>
      <c r="I680" s="10" t="s">
        <v>2363</v>
      </c>
    </row>
    <row r="681" spans="1:9" x14ac:dyDescent="0.25">
      <c r="A681">
        <v>1172</v>
      </c>
      <c r="B681" s="10" t="s">
        <v>2207</v>
      </c>
      <c r="C681" s="10" t="s">
        <v>3502</v>
      </c>
      <c r="D681" s="10">
        <v>3069</v>
      </c>
      <c r="E681" s="10" t="s">
        <v>3514</v>
      </c>
      <c r="F681" s="10" t="s">
        <v>3193</v>
      </c>
      <c r="G681" s="10" t="s">
        <v>2860</v>
      </c>
      <c r="H681" s="10" t="s">
        <v>2558</v>
      </c>
      <c r="I681" s="10" t="s">
        <v>2477</v>
      </c>
    </row>
    <row r="682" spans="1:9" x14ac:dyDescent="0.25">
      <c r="A682">
        <v>1120</v>
      </c>
      <c r="B682" s="10" t="s">
        <v>3242</v>
      </c>
      <c r="C682" s="10" t="s">
        <v>3243</v>
      </c>
      <c r="D682" s="10">
        <v>3077</v>
      </c>
      <c r="E682" s="10" t="s">
        <v>3515</v>
      </c>
      <c r="F682" s="10" t="s">
        <v>3334</v>
      </c>
      <c r="G682" s="10" t="s">
        <v>3516</v>
      </c>
      <c r="H682" s="10" t="s">
        <v>3517</v>
      </c>
      <c r="I682" s="10" t="s">
        <v>2246</v>
      </c>
    </row>
    <row r="683" spans="1:9" x14ac:dyDescent="0.25">
      <c r="A683">
        <v>1121</v>
      </c>
      <c r="B683" s="10" t="s">
        <v>3242</v>
      </c>
      <c r="C683" s="10" t="s">
        <v>3243</v>
      </c>
      <c r="D683" s="10">
        <v>3078</v>
      </c>
      <c r="E683" s="10" t="s">
        <v>3518</v>
      </c>
      <c r="F683" s="10" t="s">
        <v>3519</v>
      </c>
      <c r="G683" s="10" t="s">
        <v>3520</v>
      </c>
      <c r="H683" s="10" t="s">
        <v>2303</v>
      </c>
      <c r="I683" s="10" t="s">
        <v>2424</v>
      </c>
    </row>
    <row r="684" spans="1:9" x14ac:dyDescent="0.25">
      <c r="A684">
        <v>1145</v>
      </c>
      <c r="B684" s="10" t="s">
        <v>2604</v>
      </c>
      <c r="C684" s="10" t="s">
        <v>3512</v>
      </c>
      <c r="D684" s="10">
        <v>3079</v>
      </c>
      <c r="E684" s="10" t="s">
        <v>3521</v>
      </c>
      <c r="F684" s="10" t="s">
        <v>3522</v>
      </c>
      <c r="G684" s="10" t="s">
        <v>3523</v>
      </c>
      <c r="H684" s="10" t="s">
        <v>2574</v>
      </c>
      <c r="I684" s="10" t="s">
        <v>2336</v>
      </c>
    </row>
    <row r="685" spans="1:9" x14ac:dyDescent="0.25">
      <c r="A685">
        <v>1146</v>
      </c>
      <c r="B685" s="10" t="s">
        <v>2604</v>
      </c>
      <c r="C685" s="10" t="s">
        <v>3512</v>
      </c>
      <c r="D685" s="10">
        <v>3080</v>
      </c>
      <c r="E685" s="10" t="s">
        <v>3524</v>
      </c>
      <c r="F685" s="10" t="s">
        <v>3525</v>
      </c>
      <c r="G685" s="10" t="s">
        <v>2368</v>
      </c>
      <c r="H685" s="10" t="s">
        <v>3526</v>
      </c>
      <c r="I685" s="10" t="s">
        <v>2218</v>
      </c>
    </row>
    <row r="686" spans="1:9" x14ac:dyDescent="0.25">
      <c r="A686">
        <v>1147</v>
      </c>
      <c r="B686" s="10" t="s">
        <v>2604</v>
      </c>
      <c r="C686" s="10" t="s">
        <v>3512</v>
      </c>
      <c r="D686" s="10">
        <v>3082</v>
      </c>
      <c r="E686" s="10" t="s">
        <v>3527</v>
      </c>
      <c r="F686" s="10" t="s">
        <v>2830</v>
      </c>
      <c r="G686" s="10" t="s">
        <v>2831</v>
      </c>
      <c r="H686" s="10" t="s">
        <v>2118</v>
      </c>
      <c r="I686" s="10" t="s">
        <v>2425</v>
      </c>
    </row>
    <row r="687" spans="1:9" x14ac:dyDescent="0.25">
      <c r="A687">
        <v>1148</v>
      </c>
      <c r="B687" s="10" t="s">
        <v>2604</v>
      </c>
      <c r="C687" s="10" t="s">
        <v>3512</v>
      </c>
      <c r="D687" s="10">
        <v>3083</v>
      </c>
      <c r="E687" s="10" t="s">
        <v>3528</v>
      </c>
      <c r="F687" s="10" t="s">
        <v>2344</v>
      </c>
      <c r="G687" s="10" t="s">
        <v>2263</v>
      </c>
      <c r="H687" s="10" t="s">
        <v>2457</v>
      </c>
      <c r="I687" s="10" t="s">
        <v>2264</v>
      </c>
    </row>
    <row r="688" spans="1:9" x14ac:dyDescent="0.25">
      <c r="A688">
        <v>1122</v>
      </c>
      <c r="B688" s="10" t="s">
        <v>3242</v>
      </c>
      <c r="C688" s="10" t="s">
        <v>3243</v>
      </c>
      <c r="D688" s="10">
        <v>3084</v>
      </c>
      <c r="E688" s="10" t="s">
        <v>3529</v>
      </c>
      <c r="F688" s="10" t="s">
        <v>2470</v>
      </c>
      <c r="G688" s="10" t="s">
        <v>2471</v>
      </c>
      <c r="H688" s="10" t="s">
        <v>2374</v>
      </c>
      <c r="I688" s="10" t="s">
        <v>2374</v>
      </c>
    </row>
    <row r="689" spans="1:9" x14ac:dyDescent="0.25">
      <c r="A689">
        <v>1123</v>
      </c>
      <c r="B689" s="10" t="s">
        <v>3242</v>
      </c>
      <c r="C689" s="10" t="s">
        <v>3243</v>
      </c>
      <c r="D689" s="10">
        <v>3087</v>
      </c>
      <c r="E689" s="10" t="s">
        <v>3530</v>
      </c>
      <c r="F689" s="10" t="s">
        <v>3531</v>
      </c>
      <c r="G689" s="10" t="s">
        <v>3532</v>
      </c>
      <c r="H689" s="10" t="s">
        <v>2216</v>
      </c>
      <c r="I689" s="10" t="s">
        <v>2118</v>
      </c>
    </row>
    <row r="690" spans="1:9" x14ac:dyDescent="0.25">
      <c r="A690">
        <v>1124</v>
      </c>
      <c r="B690" s="10" t="s">
        <v>3242</v>
      </c>
      <c r="C690" s="10" t="s">
        <v>3243</v>
      </c>
      <c r="D690" s="10">
        <v>3088</v>
      </c>
      <c r="E690" s="10" t="s">
        <v>3533</v>
      </c>
      <c r="F690" s="10" t="s">
        <v>3534</v>
      </c>
      <c r="G690" s="10" t="s">
        <v>3535</v>
      </c>
      <c r="H690" s="10" t="s">
        <v>2267</v>
      </c>
      <c r="I690" s="10" t="s">
        <v>2812</v>
      </c>
    </row>
    <row r="691" spans="1:9" x14ac:dyDescent="0.25">
      <c r="A691">
        <v>1349</v>
      </c>
      <c r="B691" s="10" t="s">
        <v>3380</v>
      </c>
      <c r="C691" s="10" t="s">
        <v>3536</v>
      </c>
      <c r="D691" s="10">
        <v>3090</v>
      </c>
      <c r="E691" s="10" t="s">
        <v>3537</v>
      </c>
      <c r="F691" s="10">
        <v>13.25</v>
      </c>
      <c r="G691" s="10">
        <v>0.66</v>
      </c>
      <c r="H691" s="10">
        <v>2.0299999999999998</v>
      </c>
      <c r="I691" s="10">
        <v>0.89</v>
      </c>
    </row>
    <row r="692" spans="1:9" x14ac:dyDescent="0.25">
      <c r="A692">
        <v>1185</v>
      </c>
      <c r="B692" s="10" t="s">
        <v>2207</v>
      </c>
      <c r="C692" s="10" t="s">
        <v>3494</v>
      </c>
      <c r="D692" s="10">
        <v>3091</v>
      </c>
      <c r="E692" s="10" t="s">
        <v>3538</v>
      </c>
      <c r="F692" s="10" t="s">
        <v>2493</v>
      </c>
      <c r="G692" s="10" t="s">
        <v>2494</v>
      </c>
      <c r="H692" s="10" t="s">
        <v>2236</v>
      </c>
      <c r="I692" s="10" t="s">
        <v>2496</v>
      </c>
    </row>
    <row r="693" spans="1:9" x14ac:dyDescent="0.25">
      <c r="A693">
        <v>1186</v>
      </c>
      <c r="B693" s="10" t="s">
        <v>2207</v>
      </c>
      <c r="C693" s="10" t="s">
        <v>3494</v>
      </c>
      <c r="D693" s="10">
        <v>3093</v>
      </c>
      <c r="E693" s="10" t="s">
        <v>3539</v>
      </c>
      <c r="F693" s="10" t="s">
        <v>3274</v>
      </c>
      <c r="G693" s="10" t="s">
        <v>3253</v>
      </c>
      <c r="H693" s="10" t="s">
        <v>3540</v>
      </c>
      <c r="I693" s="10" t="s">
        <v>2631</v>
      </c>
    </row>
    <row r="694" spans="1:9" x14ac:dyDescent="0.25">
      <c r="A694">
        <v>701</v>
      </c>
      <c r="B694" s="10" t="s">
        <v>3386</v>
      </c>
      <c r="C694" s="10" t="s">
        <v>3387</v>
      </c>
      <c r="D694" s="10">
        <v>3098</v>
      </c>
      <c r="E694" s="10" t="s">
        <v>3541</v>
      </c>
      <c r="F694" s="10" t="s">
        <v>2347</v>
      </c>
      <c r="G694" s="10" t="s">
        <v>3238</v>
      </c>
      <c r="H694" s="10" t="s">
        <v>3542</v>
      </c>
      <c r="I694" s="10" t="s">
        <v>2213</v>
      </c>
    </row>
    <row r="695" spans="1:9" x14ac:dyDescent="0.25">
      <c r="A695">
        <v>1350</v>
      </c>
      <c r="B695" s="10" t="s">
        <v>3380</v>
      </c>
      <c r="C695" s="10" t="s">
        <v>3536</v>
      </c>
      <c r="D695" s="10">
        <v>3107</v>
      </c>
      <c r="E695" s="10" t="s">
        <v>3543</v>
      </c>
      <c r="F695" s="10">
        <v>12.95</v>
      </c>
      <c r="G695" s="10">
        <v>0.65</v>
      </c>
      <c r="H695" s="10">
        <v>2.0299999999999998</v>
      </c>
      <c r="I695" s="10">
        <v>0.89</v>
      </c>
    </row>
    <row r="696" spans="1:9" x14ac:dyDescent="0.25">
      <c r="A696">
        <v>1606</v>
      </c>
      <c r="B696" s="10" t="s">
        <v>2618</v>
      </c>
      <c r="C696" s="10" t="s">
        <v>3544</v>
      </c>
      <c r="D696" s="10">
        <v>3113</v>
      </c>
      <c r="E696" s="10" t="s">
        <v>3545</v>
      </c>
      <c r="F696" s="10">
        <v>8.65</v>
      </c>
      <c r="G696" s="10">
        <v>0.72</v>
      </c>
      <c r="H696" s="10">
        <v>4.53</v>
      </c>
      <c r="I696" s="10">
        <v>0.99</v>
      </c>
    </row>
    <row r="697" spans="1:9" x14ac:dyDescent="0.25">
      <c r="A697">
        <v>1607</v>
      </c>
      <c r="B697" s="10" t="s">
        <v>2618</v>
      </c>
      <c r="C697" s="10" t="s">
        <v>3544</v>
      </c>
      <c r="D697" s="10">
        <v>3114</v>
      </c>
      <c r="E697" s="10" t="s">
        <v>3546</v>
      </c>
      <c r="F697" s="10">
        <v>9.5</v>
      </c>
      <c r="G697" s="10">
        <v>0.79</v>
      </c>
      <c r="H697" s="10">
        <v>4.9800000000000004</v>
      </c>
      <c r="I697" s="10">
        <v>1.0900000000000001</v>
      </c>
    </row>
    <row r="698" spans="1:9" x14ac:dyDescent="0.25">
      <c r="A698">
        <v>1149</v>
      </c>
      <c r="B698" s="10" t="s">
        <v>2604</v>
      </c>
      <c r="C698" s="10" t="s">
        <v>3512</v>
      </c>
      <c r="D698" s="10">
        <v>3116</v>
      </c>
      <c r="E698" s="10" t="s">
        <v>3547</v>
      </c>
      <c r="F698" s="10" t="s">
        <v>2507</v>
      </c>
      <c r="G698" s="10" t="s">
        <v>2630</v>
      </c>
      <c r="H698" s="10" t="s">
        <v>3548</v>
      </c>
      <c r="I698" s="10" t="s">
        <v>2167</v>
      </c>
    </row>
    <row r="699" spans="1:9" x14ac:dyDescent="0.25">
      <c r="A699">
        <v>1125</v>
      </c>
      <c r="B699" s="10" t="s">
        <v>3242</v>
      </c>
      <c r="C699" s="10" t="s">
        <v>3549</v>
      </c>
      <c r="D699" s="10">
        <v>3124</v>
      </c>
      <c r="E699" s="10" t="s">
        <v>3550</v>
      </c>
      <c r="F699" s="10" t="s">
        <v>2573</v>
      </c>
      <c r="G699" s="10" t="s">
        <v>3551</v>
      </c>
      <c r="H699" s="10" t="s">
        <v>3552</v>
      </c>
      <c r="I699" s="10" t="s">
        <v>2231</v>
      </c>
    </row>
    <row r="700" spans="1:9" x14ac:dyDescent="0.25">
      <c r="A700">
        <v>1126</v>
      </c>
      <c r="B700" s="10" t="s">
        <v>3242</v>
      </c>
      <c r="C700" s="10" t="s">
        <v>3549</v>
      </c>
      <c r="D700" s="10">
        <v>3125</v>
      </c>
      <c r="E700" s="10" t="s">
        <v>3553</v>
      </c>
      <c r="F700" s="10" t="s">
        <v>2747</v>
      </c>
      <c r="G700" s="10" t="s">
        <v>3468</v>
      </c>
      <c r="H700" s="10" t="s">
        <v>3453</v>
      </c>
      <c r="I700" s="10" t="s">
        <v>2916</v>
      </c>
    </row>
    <row r="701" spans="1:9" x14ac:dyDescent="0.25">
      <c r="A701">
        <v>1127</v>
      </c>
      <c r="B701" s="10" t="s">
        <v>3242</v>
      </c>
      <c r="C701" s="10" t="s">
        <v>3549</v>
      </c>
      <c r="D701" s="10">
        <v>3126</v>
      </c>
      <c r="E701" s="10" t="s">
        <v>3554</v>
      </c>
      <c r="F701" s="10" t="s">
        <v>3448</v>
      </c>
      <c r="G701" s="10" t="s">
        <v>3449</v>
      </c>
      <c r="H701" s="10" t="s">
        <v>2303</v>
      </c>
      <c r="I701" s="10" t="s">
        <v>2424</v>
      </c>
    </row>
    <row r="702" spans="1:9" x14ac:dyDescent="0.25">
      <c r="A702">
        <v>1128</v>
      </c>
      <c r="B702" s="10" t="s">
        <v>3242</v>
      </c>
      <c r="C702" s="10" t="s">
        <v>3549</v>
      </c>
      <c r="D702" s="10">
        <v>3127</v>
      </c>
      <c r="E702" s="10" t="s">
        <v>3555</v>
      </c>
      <c r="F702" s="10" t="s">
        <v>2289</v>
      </c>
      <c r="G702" s="10" t="s">
        <v>2427</v>
      </c>
      <c r="H702" s="10" t="s">
        <v>3556</v>
      </c>
      <c r="I702" s="10" t="s">
        <v>2167</v>
      </c>
    </row>
    <row r="703" spans="1:9" x14ac:dyDescent="0.25">
      <c r="A703">
        <v>1129</v>
      </c>
      <c r="B703" s="10" t="s">
        <v>3242</v>
      </c>
      <c r="C703" s="10" t="s">
        <v>3549</v>
      </c>
      <c r="D703" s="10">
        <v>3130</v>
      </c>
      <c r="E703" s="10" t="s">
        <v>3557</v>
      </c>
      <c r="F703" s="10" t="s">
        <v>2412</v>
      </c>
      <c r="G703" s="10" t="s">
        <v>2860</v>
      </c>
      <c r="H703" s="10" t="s">
        <v>3558</v>
      </c>
      <c r="I703" s="10" t="s">
        <v>2477</v>
      </c>
    </row>
    <row r="704" spans="1:9" x14ac:dyDescent="0.25">
      <c r="A704">
        <v>1156</v>
      </c>
      <c r="B704" s="10" t="s">
        <v>2604</v>
      </c>
      <c r="C704" s="10" t="s">
        <v>3559</v>
      </c>
      <c r="D704" s="10">
        <v>3131</v>
      </c>
      <c r="E704" s="10" t="s">
        <v>3560</v>
      </c>
      <c r="F704" s="10" t="s">
        <v>2828</v>
      </c>
      <c r="G704" s="10" t="s">
        <v>2829</v>
      </c>
      <c r="H704" s="10" t="s">
        <v>2391</v>
      </c>
      <c r="I704" s="10" t="s">
        <v>2329</v>
      </c>
    </row>
    <row r="705" spans="1:9" x14ac:dyDescent="0.25">
      <c r="A705">
        <v>1130</v>
      </c>
      <c r="B705" s="10" t="s">
        <v>3242</v>
      </c>
      <c r="C705" s="10" t="s">
        <v>3549</v>
      </c>
      <c r="D705" s="10">
        <v>3133</v>
      </c>
      <c r="E705" s="10" t="s">
        <v>3561</v>
      </c>
      <c r="F705" s="10" t="s">
        <v>2843</v>
      </c>
      <c r="G705" s="10" t="s">
        <v>2656</v>
      </c>
      <c r="H705" s="10" t="s">
        <v>2555</v>
      </c>
      <c r="I705" s="10" t="s">
        <v>2363</v>
      </c>
    </row>
    <row r="706" spans="1:9" x14ac:dyDescent="0.25">
      <c r="A706">
        <v>1131</v>
      </c>
      <c r="B706" s="10" t="s">
        <v>3242</v>
      </c>
      <c r="C706" s="10" t="s">
        <v>3549</v>
      </c>
      <c r="D706" s="10">
        <v>3134</v>
      </c>
      <c r="E706" s="10" t="s">
        <v>3562</v>
      </c>
      <c r="F706" s="10" t="s">
        <v>3334</v>
      </c>
      <c r="G706" s="10" t="s">
        <v>3516</v>
      </c>
      <c r="H706" s="10" t="s">
        <v>3517</v>
      </c>
      <c r="I706" s="10" t="s">
        <v>2246</v>
      </c>
    </row>
    <row r="707" spans="1:9" x14ac:dyDescent="0.25">
      <c r="A707">
        <v>1640</v>
      </c>
      <c r="B707" s="10" t="s">
        <v>3315</v>
      </c>
      <c r="C707" s="10" t="s">
        <v>3455</v>
      </c>
      <c r="D707" s="10">
        <v>3135</v>
      </c>
      <c r="E707" s="10" t="s">
        <v>3563</v>
      </c>
      <c r="F707" s="10">
        <v>23.5</v>
      </c>
      <c r="G707" s="10">
        <v>0.94</v>
      </c>
      <c r="H707" s="10">
        <v>2.58</v>
      </c>
      <c r="I707" s="10">
        <v>1.29</v>
      </c>
    </row>
    <row r="708" spans="1:9" x14ac:dyDescent="0.25">
      <c r="A708">
        <v>1157</v>
      </c>
      <c r="B708" s="10" t="s">
        <v>2604</v>
      </c>
      <c r="C708" s="10" t="s">
        <v>3559</v>
      </c>
      <c r="D708" s="10">
        <v>3138</v>
      </c>
      <c r="E708" s="10" t="s">
        <v>3564</v>
      </c>
      <c r="F708" s="10" t="s">
        <v>3081</v>
      </c>
      <c r="G708" s="10" t="s">
        <v>2656</v>
      </c>
      <c r="H708" s="10" t="s">
        <v>2363</v>
      </c>
      <c r="I708" s="10" t="s">
        <v>2363</v>
      </c>
    </row>
    <row r="709" spans="1:9" x14ac:dyDescent="0.25">
      <c r="A709">
        <v>1173</v>
      </c>
      <c r="B709" s="10" t="s">
        <v>2207</v>
      </c>
      <c r="C709" s="10" t="s">
        <v>3502</v>
      </c>
      <c r="D709" s="10">
        <v>3139</v>
      </c>
      <c r="E709" s="10" t="s">
        <v>3565</v>
      </c>
      <c r="F709" s="10" t="s">
        <v>2210</v>
      </c>
      <c r="G709" s="10" t="s">
        <v>2706</v>
      </c>
      <c r="H709" s="10" t="s">
        <v>3566</v>
      </c>
      <c r="I709" s="10" t="s">
        <v>2707</v>
      </c>
    </row>
    <row r="710" spans="1:9" x14ac:dyDescent="0.25">
      <c r="A710">
        <v>1158</v>
      </c>
      <c r="B710" s="10" t="s">
        <v>2604</v>
      </c>
      <c r="C710" s="10" t="s">
        <v>3559</v>
      </c>
      <c r="D710" s="10">
        <v>3140</v>
      </c>
      <c r="E710" s="10" t="s">
        <v>3567</v>
      </c>
      <c r="F710" s="10" t="s">
        <v>3251</v>
      </c>
      <c r="G710" s="10" t="s">
        <v>3568</v>
      </c>
      <c r="H710" s="10" t="s">
        <v>2439</v>
      </c>
      <c r="I710" s="10" t="s">
        <v>2118</v>
      </c>
    </row>
    <row r="711" spans="1:9" x14ac:dyDescent="0.25">
      <c r="A711">
        <v>1132</v>
      </c>
      <c r="B711" s="10" t="s">
        <v>3242</v>
      </c>
      <c r="C711" s="10" t="s">
        <v>3549</v>
      </c>
      <c r="D711" s="10">
        <v>3145</v>
      </c>
      <c r="E711" s="10" t="s">
        <v>3569</v>
      </c>
      <c r="F711" s="10" t="s">
        <v>2507</v>
      </c>
      <c r="G711" s="10" t="s">
        <v>2329</v>
      </c>
      <c r="H711" s="10" t="s">
        <v>2866</v>
      </c>
      <c r="I711" s="10" t="s">
        <v>2503</v>
      </c>
    </row>
    <row r="712" spans="1:9" x14ac:dyDescent="0.25">
      <c r="A712">
        <v>1159</v>
      </c>
      <c r="B712" s="10" t="s">
        <v>2604</v>
      </c>
      <c r="C712" s="10" t="s">
        <v>3559</v>
      </c>
      <c r="D712" s="10">
        <v>3148</v>
      </c>
      <c r="E712" s="10" t="s">
        <v>3570</v>
      </c>
      <c r="F712" s="10" t="s">
        <v>2659</v>
      </c>
      <c r="G712" s="10" t="s">
        <v>2660</v>
      </c>
      <c r="H712" s="10" t="s">
        <v>2587</v>
      </c>
      <c r="I712" s="10" t="s">
        <v>2425</v>
      </c>
    </row>
    <row r="713" spans="1:9" x14ac:dyDescent="0.25">
      <c r="A713">
        <v>147</v>
      </c>
      <c r="B713" s="10" t="s">
        <v>2518</v>
      </c>
      <c r="C713" s="10" t="s">
        <v>3482</v>
      </c>
      <c r="D713" s="10">
        <v>3156</v>
      </c>
      <c r="E713" s="10" t="s">
        <v>3571</v>
      </c>
      <c r="F713" s="10" t="s">
        <v>2762</v>
      </c>
      <c r="G713" s="10" t="s">
        <v>3328</v>
      </c>
      <c r="H713" s="10" t="s">
        <v>3208</v>
      </c>
      <c r="I713" s="10" t="s">
        <v>3146</v>
      </c>
    </row>
    <row r="714" spans="1:9" x14ac:dyDescent="0.25">
      <c r="A714">
        <v>765</v>
      </c>
      <c r="B714" s="10" t="s">
        <v>2633</v>
      </c>
      <c r="C714" s="10" t="s">
        <v>3572</v>
      </c>
      <c r="D714" s="10">
        <v>3165</v>
      </c>
      <c r="E714" s="10" t="s">
        <v>3573</v>
      </c>
      <c r="F714" s="10" t="s">
        <v>2690</v>
      </c>
      <c r="G714" s="10" t="s">
        <v>2691</v>
      </c>
      <c r="H714" s="10" t="s">
        <v>3574</v>
      </c>
      <c r="I714" s="10" t="s">
        <v>2315</v>
      </c>
    </row>
    <row r="715" spans="1:9" x14ac:dyDescent="0.25">
      <c r="A715">
        <v>766</v>
      </c>
      <c r="B715" s="10" t="s">
        <v>2633</v>
      </c>
      <c r="C715" s="10" t="s">
        <v>3572</v>
      </c>
      <c r="D715" s="10">
        <v>3166</v>
      </c>
      <c r="E715" s="10" t="s">
        <v>3575</v>
      </c>
      <c r="F715" s="10" t="s">
        <v>2690</v>
      </c>
      <c r="G715" s="10" t="s">
        <v>2691</v>
      </c>
      <c r="H715" s="10" t="s">
        <v>3574</v>
      </c>
      <c r="I715" s="10" t="s">
        <v>2315</v>
      </c>
    </row>
    <row r="716" spans="1:9" x14ac:dyDescent="0.25">
      <c r="A716">
        <v>767</v>
      </c>
      <c r="B716" s="10" t="s">
        <v>2633</v>
      </c>
      <c r="C716" s="10" t="s">
        <v>3572</v>
      </c>
      <c r="D716" s="10">
        <v>3167</v>
      </c>
      <c r="E716" s="10" t="s">
        <v>3576</v>
      </c>
      <c r="F716" s="10" t="s">
        <v>2690</v>
      </c>
      <c r="G716" s="10" t="s">
        <v>2691</v>
      </c>
      <c r="H716" s="10" t="s">
        <v>3574</v>
      </c>
      <c r="I716" s="10" t="s">
        <v>2315</v>
      </c>
    </row>
    <row r="717" spans="1:9" x14ac:dyDescent="0.25">
      <c r="A717">
        <v>768</v>
      </c>
      <c r="B717" s="10" t="s">
        <v>2633</v>
      </c>
      <c r="C717" s="10" t="s">
        <v>3572</v>
      </c>
      <c r="D717" s="10">
        <v>3168</v>
      </c>
      <c r="E717" s="10" t="s">
        <v>3577</v>
      </c>
      <c r="F717" s="10" t="s">
        <v>2690</v>
      </c>
      <c r="G717" s="10" t="s">
        <v>2691</v>
      </c>
      <c r="H717" s="10" t="s">
        <v>3574</v>
      </c>
      <c r="I717" s="10" t="s">
        <v>2315</v>
      </c>
    </row>
    <row r="718" spans="1:9" x14ac:dyDescent="0.25">
      <c r="A718">
        <v>769</v>
      </c>
      <c r="B718" s="10" t="s">
        <v>2633</v>
      </c>
      <c r="C718" s="10" t="s">
        <v>3572</v>
      </c>
      <c r="D718" s="10">
        <v>3169</v>
      </c>
      <c r="E718" s="10" t="s">
        <v>3578</v>
      </c>
      <c r="F718" s="10" t="s">
        <v>2690</v>
      </c>
      <c r="G718" s="10" t="s">
        <v>2691</v>
      </c>
      <c r="H718" s="10" t="s">
        <v>3574</v>
      </c>
      <c r="I718" s="10" t="s">
        <v>2315</v>
      </c>
    </row>
    <row r="719" spans="1:9" x14ac:dyDescent="0.25">
      <c r="A719">
        <v>845</v>
      </c>
      <c r="B719" s="10" t="s">
        <v>2677</v>
      </c>
      <c r="C719" s="10" t="s">
        <v>2678</v>
      </c>
      <c r="D719" s="10">
        <v>3179</v>
      </c>
      <c r="E719" s="10" t="s">
        <v>3579</v>
      </c>
      <c r="F719" s="10">
        <v>33.950000000000003</v>
      </c>
      <c r="G719" s="10">
        <v>0.94</v>
      </c>
      <c r="H719" s="10">
        <v>6.35</v>
      </c>
      <c r="I719" s="10">
        <v>1.29</v>
      </c>
    </row>
    <row r="720" spans="1:9" x14ac:dyDescent="0.25">
      <c r="A720">
        <v>846</v>
      </c>
      <c r="B720" s="10" t="s">
        <v>2677</v>
      </c>
      <c r="C720" s="10" t="s">
        <v>2678</v>
      </c>
      <c r="D720" s="10">
        <v>3180</v>
      </c>
      <c r="E720" s="10" t="s">
        <v>3580</v>
      </c>
      <c r="F720" s="10" t="s">
        <v>2400</v>
      </c>
      <c r="G720" s="10" t="s">
        <v>3581</v>
      </c>
      <c r="H720" s="10" t="s">
        <v>2167</v>
      </c>
      <c r="I720" s="10" t="s">
        <v>2324</v>
      </c>
    </row>
    <row r="721" spans="1:9" x14ac:dyDescent="0.25">
      <c r="A721">
        <v>847</v>
      </c>
      <c r="B721" s="10" t="s">
        <v>2677</v>
      </c>
      <c r="C721" s="10" t="s">
        <v>2678</v>
      </c>
      <c r="D721" s="10">
        <v>3181</v>
      </c>
      <c r="E721" s="10" t="s">
        <v>3582</v>
      </c>
      <c r="F721" s="10" t="s">
        <v>2406</v>
      </c>
      <c r="G721" s="10" t="s">
        <v>3180</v>
      </c>
      <c r="H721" s="10" t="s">
        <v>3583</v>
      </c>
      <c r="I721" s="10" t="s">
        <v>2310</v>
      </c>
    </row>
    <row r="722" spans="1:9" x14ac:dyDescent="0.25">
      <c r="A722">
        <v>1174</v>
      </c>
      <c r="B722" s="10" t="s">
        <v>2207</v>
      </c>
      <c r="C722" s="10" t="s">
        <v>3502</v>
      </c>
      <c r="D722" s="10">
        <v>3182</v>
      </c>
      <c r="E722" s="10" t="s">
        <v>3584</v>
      </c>
      <c r="F722" s="10" t="s">
        <v>2365</v>
      </c>
      <c r="G722" s="10" t="s">
        <v>2849</v>
      </c>
      <c r="H722" s="10" t="s">
        <v>3585</v>
      </c>
      <c r="I722" s="10" t="s">
        <v>2850</v>
      </c>
    </row>
    <row r="723" spans="1:9" x14ac:dyDescent="0.25">
      <c r="A723">
        <v>848</v>
      </c>
      <c r="B723" s="10" t="s">
        <v>2677</v>
      </c>
      <c r="C723" s="10" t="s">
        <v>2678</v>
      </c>
      <c r="D723" s="10">
        <v>3183</v>
      </c>
      <c r="E723" s="10" t="s">
        <v>3586</v>
      </c>
      <c r="F723" s="10" t="s">
        <v>2442</v>
      </c>
      <c r="G723" s="10" t="s">
        <v>3015</v>
      </c>
      <c r="H723" s="10" t="s">
        <v>3587</v>
      </c>
      <c r="I723" s="10" t="s">
        <v>2420</v>
      </c>
    </row>
    <row r="724" spans="1:9" x14ac:dyDescent="0.25">
      <c r="A724">
        <v>849</v>
      </c>
      <c r="B724" s="10" t="s">
        <v>2677</v>
      </c>
      <c r="C724" s="10" t="s">
        <v>2678</v>
      </c>
      <c r="D724" s="10">
        <v>3184</v>
      </c>
      <c r="E724" s="10" t="s">
        <v>3588</v>
      </c>
      <c r="F724" s="10">
        <v>33.950000000000003</v>
      </c>
      <c r="G724" s="10">
        <v>0.94</v>
      </c>
      <c r="H724" s="10">
        <v>6.35</v>
      </c>
      <c r="I724" s="10">
        <v>1.29</v>
      </c>
    </row>
    <row r="725" spans="1:9" x14ac:dyDescent="0.25">
      <c r="A725">
        <v>850</v>
      </c>
      <c r="B725" s="10" t="s">
        <v>2677</v>
      </c>
      <c r="C725" s="10" t="s">
        <v>2678</v>
      </c>
      <c r="D725" s="10">
        <v>3185</v>
      </c>
      <c r="E725" s="10" t="s">
        <v>3589</v>
      </c>
      <c r="F725" s="10" t="s">
        <v>2442</v>
      </c>
      <c r="G725" s="10" t="s">
        <v>3015</v>
      </c>
      <c r="H725" s="10" t="s">
        <v>3590</v>
      </c>
      <c r="I725" s="10" t="s">
        <v>2420</v>
      </c>
    </row>
    <row r="726" spans="1:9" x14ac:dyDescent="0.25">
      <c r="A726">
        <v>851</v>
      </c>
      <c r="B726" s="10" t="s">
        <v>2677</v>
      </c>
      <c r="C726" s="10" t="s">
        <v>2678</v>
      </c>
      <c r="D726" s="10">
        <v>3186</v>
      </c>
      <c r="E726" s="10" t="s">
        <v>3591</v>
      </c>
      <c r="F726" s="10" t="s">
        <v>2257</v>
      </c>
      <c r="G726" s="10" t="s">
        <v>2921</v>
      </c>
      <c r="H726" s="10" t="s">
        <v>2990</v>
      </c>
      <c r="I726" s="10" t="s">
        <v>2264</v>
      </c>
    </row>
    <row r="727" spans="1:9" x14ac:dyDescent="0.25">
      <c r="A727">
        <v>852</v>
      </c>
      <c r="B727" s="10" t="s">
        <v>2677</v>
      </c>
      <c r="C727" s="10" t="s">
        <v>2678</v>
      </c>
      <c r="D727" s="10">
        <v>3187</v>
      </c>
      <c r="E727" s="10" t="s">
        <v>3592</v>
      </c>
      <c r="F727" s="10" t="s">
        <v>2406</v>
      </c>
      <c r="G727" s="10" t="s">
        <v>3180</v>
      </c>
      <c r="H727" s="10" t="s">
        <v>3593</v>
      </c>
      <c r="I727" s="10" t="s">
        <v>2310</v>
      </c>
    </row>
    <row r="728" spans="1:9" x14ac:dyDescent="0.25">
      <c r="A728">
        <v>853</v>
      </c>
      <c r="B728" s="10" t="s">
        <v>2677</v>
      </c>
      <c r="C728" s="10" t="s">
        <v>2678</v>
      </c>
      <c r="D728" s="10">
        <v>3188</v>
      </c>
      <c r="E728" s="10" t="s">
        <v>3594</v>
      </c>
      <c r="F728" s="10" t="s">
        <v>2338</v>
      </c>
      <c r="G728" s="10" t="s">
        <v>2263</v>
      </c>
      <c r="H728" s="10" t="s">
        <v>2362</v>
      </c>
      <c r="I728" s="10" t="s">
        <v>2363</v>
      </c>
    </row>
    <row r="729" spans="1:9" x14ac:dyDescent="0.25">
      <c r="A729">
        <v>900</v>
      </c>
      <c r="B729" s="10" t="s">
        <v>3595</v>
      </c>
      <c r="C729" s="10" t="s">
        <v>3596</v>
      </c>
      <c r="D729" s="10">
        <v>3190</v>
      </c>
      <c r="E729" s="10" t="s">
        <v>3597</v>
      </c>
      <c r="F729" s="10" t="s">
        <v>3598</v>
      </c>
      <c r="G729" s="10" t="s">
        <v>3272</v>
      </c>
      <c r="H729" s="10" t="s">
        <v>3599</v>
      </c>
      <c r="I729" s="10" t="s">
        <v>2213</v>
      </c>
    </row>
    <row r="730" spans="1:9" x14ac:dyDescent="0.25">
      <c r="A730">
        <v>901</v>
      </c>
      <c r="B730" s="10" t="s">
        <v>3595</v>
      </c>
      <c r="C730" s="10" t="s">
        <v>3596</v>
      </c>
      <c r="D730" s="10">
        <v>3191</v>
      </c>
      <c r="E730" s="10" t="s">
        <v>3600</v>
      </c>
      <c r="F730" s="10" t="s">
        <v>2625</v>
      </c>
      <c r="G730" s="10" t="s">
        <v>2475</v>
      </c>
      <c r="H730" s="10" t="s">
        <v>2647</v>
      </c>
      <c r="I730" s="10" t="s">
        <v>2477</v>
      </c>
    </row>
    <row r="731" spans="1:9" x14ac:dyDescent="0.25">
      <c r="A731">
        <v>902</v>
      </c>
      <c r="B731" s="10" t="s">
        <v>3595</v>
      </c>
      <c r="C731" s="10" t="s">
        <v>3596</v>
      </c>
      <c r="D731" s="10">
        <v>3192</v>
      </c>
      <c r="E731" s="10" t="s">
        <v>3601</v>
      </c>
      <c r="F731" s="10" t="s">
        <v>2406</v>
      </c>
      <c r="G731" s="10" t="s">
        <v>2907</v>
      </c>
      <c r="H731" s="10" t="s">
        <v>3602</v>
      </c>
      <c r="I731" s="10" t="s">
        <v>2319</v>
      </c>
    </row>
    <row r="732" spans="1:9" x14ac:dyDescent="0.25">
      <c r="A732">
        <v>1626</v>
      </c>
      <c r="B732" s="10" t="s">
        <v>3315</v>
      </c>
      <c r="C732" s="10" t="s">
        <v>3603</v>
      </c>
      <c r="D732" s="10">
        <v>3200</v>
      </c>
      <c r="E732" s="10" t="s">
        <v>3604</v>
      </c>
      <c r="F732" s="10" t="s">
        <v>3605</v>
      </c>
      <c r="G732" s="10" t="s">
        <v>3606</v>
      </c>
      <c r="H732" s="10" t="s">
        <v>3607</v>
      </c>
      <c r="I732" s="10" t="s">
        <v>3607</v>
      </c>
    </row>
    <row r="733" spans="1:9" x14ac:dyDescent="0.25">
      <c r="A733">
        <v>1719</v>
      </c>
      <c r="B733" s="10" t="s">
        <v>2593</v>
      </c>
      <c r="C733" s="10" t="s">
        <v>3339</v>
      </c>
      <c r="D733" s="10">
        <v>3201</v>
      </c>
      <c r="E733" s="10" t="s">
        <v>3608</v>
      </c>
      <c r="F733" s="10" t="s">
        <v>2744</v>
      </c>
      <c r="G733" s="10" t="s">
        <v>2386</v>
      </c>
      <c r="H733" s="10" t="s">
        <v>3609</v>
      </c>
      <c r="I733" s="10" t="s">
        <v>2336</v>
      </c>
    </row>
    <row r="734" spans="1:9" x14ac:dyDescent="0.25">
      <c r="A734">
        <v>1627</v>
      </c>
      <c r="B734" s="10" t="s">
        <v>3315</v>
      </c>
      <c r="C734" s="10" t="s">
        <v>3603</v>
      </c>
      <c r="D734" s="10">
        <v>3202</v>
      </c>
      <c r="E734" s="10" t="s">
        <v>3610</v>
      </c>
      <c r="F734" s="10" t="s">
        <v>3611</v>
      </c>
      <c r="G734" s="10" t="s">
        <v>2218</v>
      </c>
      <c r="H734" s="10" t="s">
        <v>3612</v>
      </c>
      <c r="I734" s="10" t="s">
        <v>2880</v>
      </c>
    </row>
    <row r="735" spans="1:9" x14ac:dyDescent="0.25">
      <c r="A735">
        <v>1628</v>
      </c>
      <c r="B735" s="10" t="s">
        <v>3315</v>
      </c>
      <c r="C735" s="10" t="s">
        <v>3603</v>
      </c>
      <c r="D735" s="10">
        <v>3204</v>
      </c>
      <c r="E735" s="10" t="s">
        <v>3613</v>
      </c>
      <c r="F735" s="10" t="s">
        <v>2257</v>
      </c>
      <c r="G735" s="10" t="s">
        <v>2475</v>
      </c>
      <c r="H735" s="10" t="s">
        <v>2191</v>
      </c>
      <c r="I735" s="10" t="s">
        <v>2477</v>
      </c>
    </row>
    <row r="736" spans="1:9" x14ac:dyDescent="0.25">
      <c r="A736">
        <v>1629</v>
      </c>
      <c r="B736" s="10" t="s">
        <v>3315</v>
      </c>
      <c r="C736" s="10" t="s">
        <v>3603</v>
      </c>
      <c r="D736" s="10">
        <v>3205</v>
      </c>
      <c r="E736" s="10" t="s">
        <v>3614</v>
      </c>
      <c r="F736" s="10" t="s">
        <v>2470</v>
      </c>
      <c r="G736" s="10" t="s">
        <v>2629</v>
      </c>
      <c r="H736" s="10" t="s">
        <v>2902</v>
      </c>
      <c r="I736" s="10" t="s">
        <v>2631</v>
      </c>
    </row>
    <row r="737" spans="1:9" x14ac:dyDescent="0.25">
      <c r="A737">
        <v>1630</v>
      </c>
      <c r="B737" s="10" t="s">
        <v>3315</v>
      </c>
      <c r="C737" s="10" t="s">
        <v>3603</v>
      </c>
      <c r="D737" s="10">
        <v>3206</v>
      </c>
      <c r="E737" s="10" t="s">
        <v>3615</v>
      </c>
      <c r="F737" s="10" t="s">
        <v>3616</v>
      </c>
      <c r="G737" s="10" t="s">
        <v>3617</v>
      </c>
      <c r="H737" s="10" t="s">
        <v>3618</v>
      </c>
      <c r="I737" s="10" t="s">
        <v>3619</v>
      </c>
    </row>
    <row r="738" spans="1:9" x14ac:dyDescent="0.25">
      <c r="A738">
        <v>1631</v>
      </c>
      <c r="B738" s="10" t="s">
        <v>3315</v>
      </c>
      <c r="C738" s="10" t="s">
        <v>3603</v>
      </c>
      <c r="D738" s="10">
        <v>3210</v>
      </c>
      <c r="E738" s="10" t="s">
        <v>3620</v>
      </c>
      <c r="F738" s="10" t="s">
        <v>3621</v>
      </c>
      <c r="G738" s="10" t="s">
        <v>3622</v>
      </c>
      <c r="H738" s="10" t="s">
        <v>3623</v>
      </c>
      <c r="I738" s="10" t="s">
        <v>3623</v>
      </c>
    </row>
    <row r="739" spans="1:9" x14ac:dyDescent="0.25">
      <c r="A739">
        <v>1641</v>
      </c>
      <c r="B739" s="10" t="s">
        <v>3315</v>
      </c>
      <c r="C739" s="10" t="s">
        <v>3455</v>
      </c>
      <c r="D739" s="10">
        <v>3211</v>
      </c>
      <c r="E739" s="10" t="s">
        <v>3624</v>
      </c>
      <c r="F739" s="10" t="s">
        <v>2470</v>
      </c>
      <c r="G739" s="10" t="s">
        <v>2471</v>
      </c>
      <c r="H739" s="10" t="s">
        <v>2374</v>
      </c>
      <c r="I739" s="10" t="s">
        <v>2374</v>
      </c>
    </row>
    <row r="740" spans="1:9" x14ac:dyDescent="0.25">
      <c r="A740">
        <v>776</v>
      </c>
      <c r="B740" s="10" t="s">
        <v>2633</v>
      </c>
      <c r="C740" s="10" t="s">
        <v>3354</v>
      </c>
      <c r="D740" s="10">
        <v>3214</v>
      </c>
      <c r="E740" s="10" t="s">
        <v>3625</v>
      </c>
      <c r="F740" s="10">
        <v>8.9499999999999993</v>
      </c>
      <c r="G740" s="10">
        <v>0.75</v>
      </c>
      <c r="H740" s="10">
        <v>1.98</v>
      </c>
      <c r="I740" s="10">
        <v>0.99</v>
      </c>
    </row>
    <row r="741" spans="1:9" x14ac:dyDescent="0.25">
      <c r="A741">
        <v>777</v>
      </c>
      <c r="B741" s="10" t="s">
        <v>2633</v>
      </c>
      <c r="C741" s="10" t="s">
        <v>3354</v>
      </c>
      <c r="D741" s="10">
        <v>3215</v>
      </c>
      <c r="E741" s="10" t="s">
        <v>3626</v>
      </c>
      <c r="F741" s="10" t="s">
        <v>2385</v>
      </c>
      <c r="G741" s="10" t="s">
        <v>2386</v>
      </c>
      <c r="H741" s="10" t="s">
        <v>2939</v>
      </c>
      <c r="I741" s="10" t="s">
        <v>2269</v>
      </c>
    </row>
    <row r="742" spans="1:9" x14ac:dyDescent="0.25">
      <c r="A742">
        <v>600</v>
      </c>
      <c r="B742" s="10" t="s">
        <v>3258</v>
      </c>
      <c r="C742" s="10" t="s">
        <v>3627</v>
      </c>
      <c r="D742" s="10">
        <v>3216</v>
      </c>
      <c r="E742" s="10" t="s">
        <v>3628</v>
      </c>
      <c r="F742" s="10" t="s">
        <v>3629</v>
      </c>
      <c r="G742" s="10" t="s">
        <v>2322</v>
      </c>
      <c r="H742" s="10" t="s">
        <v>2908</v>
      </c>
      <c r="I742" s="10" t="s">
        <v>2420</v>
      </c>
    </row>
    <row r="743" spans="1:9" x14ac:dyDescent="0.25">
      <c r="A743">
        <v>601</v>
      </c>
      <c r="B743" s="10" t="s">
        <v>3258</v>
      </c>
      <c r="C743" s="10" t="s">
        <v>3627</v>
      </c>
      <c r="D743" s="10">
        <v>3237</v>
      </c>
      <c r="E743" s="10" t="s">
        <v>3630</v>
      </c>
      <c r="F743" s="10" t="s">
        <v>2510</v>
      </c>
      <c r="G743" s="10" t="s">
        <v>2941</v>
      </c>
      <c r="H743" s="10" t="s">
        <v>3631</v>
      </c>
      <c r="I743" s="10" t="s">
        <v>2558</v>
      </c>
    </row>
    <row r="744" spans="1:9" x14ac:dyDescent="0.25">
      <c r="A744">
        <v>602</v>
      </c>
      <c r="B744" s="10" t="s">
        <v>3258</v>
      </c>
      <c r="C744" s="10" t="s">
        <v>3627</v>
      </c>
      <c r="D744" s="10">
        <v>3239</v>
      </c>
      <c r="E744" s="10" t="s">
        <v>3632</v>
      </c>
      <c r="F744" s="10" t="s">
        <v>2510</v>
      </c>
      <c r="G744" s="10" t="s">
        <v>2941</v>
      </c>
      <c r="H744" s="10" t="s">
        <v>3631</v>
      </c>
      <c r="I744" s="10" t="s">
        <v>2558</v>
      </c>
    </row>
    <row r="745" spans="1:9" x14ac:dyDescent="0.25">
      <c r="A745">
        <v>603</v>
      </c>
      <c r="B745" s="10" t="s">
        <v>3258</v>
      </c>
      <c r="C745" s="10" t="s">
        <v>3627</v>
      </c>
      <c r="D745" s="10">
        <v>3240</v>
      </c>
      <c r="E745" s="10" t="s">
        <v>3633</v>
      </c>
      <c r="F745" s="10" t="s">
        <v>3634</v>
      </c>
      <c r="G745" s="10" t="s">
        <v>3635</v>
      </c>
      <c r="H745" s="10" t="s">
        <v>2222</v>
      </c>
      <c r="I745" s="10" t="s">
        <v>2707</v>
      </c>
    </row>
    <row r="746" spans="1:9" x14ac:dyDescent="0.25">
      <c r="A746">
        <v>604</v>
      </c>
      <c r="B746" s="10" t="s">
        <v>3258</v>
      </c>
      <c r="C746" s="10" t="s">
        <v>3627</v>
      </c>
      <c r="D746" s="10">
        <v>3241</v>
      </c>
      <c r="E746" s="10" t="s">
        <v>3636</v>
      </c>
      <c r="F746" s="10" t="s">
        <v>3634</v>
      </c>
      <c r="G746" s="10" t="s">
        <v>3635</v>
      </c>
      <c r="H746" s="10" t="s">
        <v>2222</v>
      </c>
      <c r="I746" s="10" t="s">
        <v>2707</v>
      </c>
    </row>
    <row r="747" spans="1:9" x14ac:dyDescent="0.25">
      <c r="A747">
        <v>605</v>
      </c>
      <c r="B747" s="10" t="s">
        <v>3258</v>
      </c>
      <c r="C747" s="10" t="s">
        <v>3627</v>
      </c>
      <c r="D747" s="10">
        <v>3242</v>
      </c>
      <c r="E747" s="10" t="s">
        <v>3637</v>
      </c>
      <c r="F747" s="10" t="s">
        <v>3634</v>
      </c>
      <c r="G747" s="10" t="s">
        <v>3635</v>
      </c>
      <c r="H747" s="10" t="s">
        <v>2222</v>
      </c>
      <c r="I747" s="10" t="s">
        <v>2707</v>
      </c>
    </row>
    <row r="748" spans="1:9" x14ac:dyDescent="0.25">
      <c r="A748">
        <v>606</v>
      </c>
      <c r="B748" s="10" t="s">
        <v>3258</v>
      </c>
      <c r="C748" s="10" t="s">
        <v>3627</v>
      </c>
      <c r="D748" s="10">
        <v>3243</v>
      </c>
      <c r="E748" s="10" t="s">
        <v>3638</v>
      </c>
      <c r="F748" s="10" t="s">
        <v>3634</v>
      </c>
      <c r="G748" s="10" t="s">
        <v>3635</v>
      </c>
      <c r="H748" s="10" t="s">
        <v>3639</v>
      </c>
      <c r="I748" s="10" t="s">
        <v>2707</v>
      </c>
    </row>
    <row r="749" spans="1:9" x14ac:dyDescent="0.25">
      <c r="A749">
        <v>607</v>
      </c>
      <c r="B749" s="10" t="s">
        <v>3258</v>
      </c>
      <c r="C749" s="10" t="s">
        <v>3627</v>
      </c>
      <c r="D749" s="10">
        <v>3245</v>
      </c>
      <c r="E749" s="10" t="s">
        <v>3640</v>
      </c>
      <c r="F749" s="10" t="s">
        <v>3641</v>
      </c>
      <c r="G749" s="10" t="s">
        <v>2259</v>
      </c>
      <c r="H749" s="10" t="s">
        <v>3642</v>
      </c>
      <c r="I749" s="10" t="s">
        <v>2319</v>
      </c>
    </row>
    <row r="750" spans="1:9" x14ac:dyDescent="0.25">
      <c r="A750">
        <v>1523</v>
      </c>
      <c r="B750" s="10" t="s">
        <v>2671</v>
      </c>
      <c r="C750" s="10" t="s">
        <v>3643</v>
      </c>
      <c r="D750" s="10">
        <v>3245</v>
      </c>
      <c r="E750" s="10" t="s">
        <v>3644</v>
      </c>
      <c r="F750" s="10" t="s">
        <v>3641</v>
      </c>
      <c r="G750" s="10" t="s">
        <v>2259</v>
      </c>
      <c r="H750" s="10" t="s">
        <v>3642</v>
      </c>
      <c r="I750" s="10" t="s">
        <v>2319</v>
      </c>
    </row>
    <row r="751" spans="1:9" x14ac:dyDescent="0.25">
      <c r="A751">
        <v>608</v>
      </c>
      <c r="B751" s="10" t="s">
        <v>3258</v>
      </c>
      <c r="C751" s="10" t="s">
        <v>3627</v>
      </c>
      <c r="D751" s="10">
        <v>3246</v>
      </c>
      <c r="E751" s="10" t="s">
        <v>3645</v>
      </c>
      <c r="F751" s="10" t="s">
        <v>2446</v>
      </c>
      <c r="G751" s="10" t="s">
        <v>2555</v>
      </c>
      <c r="H751" s="10" t="s">
        <v>2885</v>
      </c>
      <c r="I751" s="10" t="s">
        <v>2336</v>
      </c>
    </row>
    <row r="752" spans="1:9" x14ac:dyDescent="0.25">
      <c r="A752">
        <v>573</v>
      </c>
      <c r="B752" s="10" t="s">
        <v>3258</v>
      </c>
      <c r="C752" s="10" t="s">
        <v>3646</v>
      </c>
      <c r="D752" s="10">
        <v>3249</v>
      </c>
      <c r="E752" s="10" t="s">
        <v>3647</v>
      </c>
      <c r="F752" s="10" t="s">
        <v>2412</v>
      </c>
      <c r="G752" s="10" t="s">
        <v>2860</v>
      </c>
      <c r="H752" s="10" t="s">
        <v>3648</v>
      </c>
      <c r="I752" s="10" t="s">
        <v>2477</v>
      </c>
    </row>
    <row r="753" spans="1:9" x14ac:dyDescent="0.25">
      <c r="A753">
        <v>574</v>
      </c>
      <c r="B753" s="10" t="s">
        <v>3258</v>
      </c>
      <c r="C753" s="10" t="s">
        <v>3646</v>
      </c>
      <c r="D753" s="10">
        <v>3250</v>
      </c>
      <c r="E753" s="10" t="s">
        <v>3649</v>
      </c>
      <c r="F753" s="10" t="s">
        <v>2412</v>
      </c>
      <c r="G753" s="10" t="s">
        <v>2860</v>
      </c>
      <c r="H753" s="10" t="s">
        <v>3648</v>
      </c>
      <c r="I753" s="10" t="s">
        <v>2477</v>
      </c>
    </row>
    <row r="754" spans="1:9" x14ac:dyDescent="0.25">
      <c r="A754">
        <v>821</v>
      </c>
      <c r="B754" s="10" t="s">
        <v>3650</v>
      </c>
      <c r="C754" s="10" t="s">
        <v>3651</v>
      </c>
      <c r="D754" s="10">
        <v>3294</v>
      </c>
      <c r="E754" s="10" t="s">
        <v>3652</v>
      </c>
      <c r="F754" s="10" t="s">
        <v>3653</v>
      </c>
      <c r="G754" s="10" t="s">
        <v>3654</v>
      </c>
      <c r="H754" s="10" t="s">
        <v>3655</v>
      </c>
      <c r="I754" s="10" t="s">
        <v>3039</v>
      </c>
    </row>
    <row r="755" spans="1:9" x14ac:dyDescent="0.25">
      <c r="A755">
        <v>822</v>
      </c>
      <c r="B755" s="10" t="s">
        <v>3650</v>
      </c>
      <c r="C755" s="10" t="s">
        <v>3651</v>
      </c>
      <c r="D755" s="10">
        <v>3295</v>
      </c>
      <c r="E755" s="10" t="s">
        <v>3656</v>
      </c>
      <c r="F755" s="10" t="s">
        <v>2762</v>
      </c>
      <c r="G755" s="10" t="s">
        <v>3213</v>
      </c>
      <c r="H755" s="10" t="s">
        <v>3657</v>
      </c>
      <c r="I755" s="10" t="s">
        <v>2477</v>
      </c>
    </row>
    <row r="756" spans="1:9" x14ac:dyDescent="0.25">
      <c r="A756">
        <v>823</v>
      </c>
      <c r="B756" s="10" t="s">
        <v>3650</v>
      </c>
      <c r="C756" s="10" t="s">
        <v>3651</v>
      </c>
      <c r="D756" s="10">
        <v>3313</v>
      </c>
      <c r="E756" s="10" t="s">
        <v>3658</v>
      </c>
      <c r="F756" s="10" t="s">
        <v>2243</v>
      </c>
      <c r="G756" s="10" t="s">
        <v>2391</v>
      </c>
      <c r="H756" s="10" t="s">
        <v>3659</v>
      </c>
      <c r="I756" s="10" t="s">
        <v>2118</v>
      </c>
    </row>
    <row r="757" spans="1:9" x14ac:dyDescent="0.25">
      <c r="A757">
        <v>824</v>
      </c>
      <c r="B757" s="10" t="s">
        <v>3650</v>
      </c>
      <c r="C757" s="10" t="s">
        <v>3651</v>
      </c>
      <c r="D757" s="10">
        <v>3314</v>
      </c>
      <c r="E757" s="10" t="s">
        <v>3660</v>
      </c>
      <c r="F757" s="10" t="s">
        <v>3525</v>
      </c>
      <c r="G757" s="10" t="s">
        <v>3007</v>
      </c>
      <c r="H757" s="10" t="s">
        <v>3661</v>
      </c>
      <c r="I757" s="10" t="s">
        <v>2287</v>
      </c>
    </row>
    <row r="758" spans="1:9" x14ac:dyDescent="0.25">
      <c r="A758">
        <v>825</v>
      </c>
      <c r="B758" s="10" t="s">
        <v>3650</v>
      </c>
      <c r="C758" s="10" t="s">
        <v>3651</v>
      </c>
      <c r="D758" s="10">
        <v>3318</v>
      </c>
      <c r="E758" s="10" t="s">
        <v>3662</v>
      </c>
      <c r="F758" s="10" t="s">
        <v>2243</v>
      </c>
      <c r="G758" s="10" t="s">
        <v>2391</v>
      </c>
      <c r="H758" s="10" t="s">
        <v>3659</v>
      </c>
      <c r="I758" s="10" t="s">
        <v>2118</v>
      </c>
    </row>
    <row r="759" spans="1:9" x14ac:dyDescent="0.25">
      <c r="A759">
        <v>826</v>
      </c>
      <c r="B759" s="10" t="s">
        <v>3650</v>
      </c>
      <c r="C759" s="10" t="s">
        <v>3651</v>
      </c>
      <c r="D759" s="10">
        <v>3319</v>
      </c>
      <c r="E759" s="10" t="s">
        <v>3663</v>
      </c>
      <c r="F759" s="10" t="s">
        <v>2243</v>
      </c>
      <c r="G759" s="10" t="s">
        <v>2391</v>
      </c>
      <c r="H759" s="10" t="s">
        <v>3659</v>
      </c>
      <c r="I759" s="10" t="s">
        <v>2118</v>
      </c>
    </row>
    <row r="760" spans="1:9" x14ac:dyDescent="0.25">
      <c r="A760">
        <v>452</v>
      </c>
      <c r="B760" s="10" t="s">
        <v>3664</v>
      </c>
      <c r="C760" s="10" t="s">
        <v>3665</v>
      </c>
      <c r="D760" s="10">
        <v>3321</v>
      </c>
      <c r="E760" s="10" t="s">
        <v>3666</v>
      </c>
      <c r="F760" s="10" t="s">
        <v>3667</v>
      </c>
      <c r="G760" s="10" t="s">
        <v>3222</v>
      </c>
      <c r="H760" s="10" t="s">
        <v>3668</v>
      </c>
      <c r="I760" s="10" t="s">
        <v>2324</v>
      </c>
    </row>
    <row r="761" spans="1:9" x14ac:dyDescent="0.25">
      <c r="A761">
        <v>453</v>
      </c>
      <c r="B761" s="10" t="s">
        <v>3664</v>
      </c>
      <c r="C761" s="10" t="s">
        <v>3665</v>
      </c>
      <c r="D761" s="10">
        <v>3322</v>
      </c>
      <c r="E761" s="10" t="s">
        <v>3669</v>
      </c>
      <c r="F761" s="10" t="s">
        <v>3670</v>
      </c>
      <c r="G761" s="10" t="s">
        <v>3322</v>
      </c>
      <c r="H761" s="10" t="s">
        <v>3671</v>
      </c>
      <c r="I761" s="10" t="s">
        <v>2264</v>
      </c>
    </row>
    <row r="762" spans="1:9" x14ac:dyDescent="0.25">
      <c r="A762">
        <v>454</v>
      </c>
      <c r="B762" s="10" t="s">
        <v>3664</v>
      </c>
      <c r="C762" s="10" t="s">
        <v>3665</v>
      </c>
      <c r="D762" s="10">
        <v>3324</v>
      </c>
      <c r="E762" s="10" t="s">
        <v>3672</v>
      </c>
      <c r="F762" s="10" t="s">
        <v>3667</v>
      </c>
      <c r="G762" s="10" t="s">
        <v>3222</v>
      </c>
      <c r="H762" s="10" t="s">
        <v>3668</v>
      </c>
      <c r="I762" s="10" t="s">
        <v>2324</v>
      </c>
    </row>
    <row r="763" spans="1:9" x14ac:dyDescent="0.25">
      <c r="A763">
        <v>455</v>
      </c>
      <c r="B763" s="10" t="s">
        <v>3664</v>
      </c>
      <c r="C763" s="10" t="s">
        <v>3665</v>
      </c>
      <c r="D763" s="10">
        <v>3327</v>
      </c>
      <c r="E763" s="10" t="s">
        <v>3673</v>
      </c>
      <c r="F763" s="10" t="s">
        <v>3667</v>
      </c>
      <c r="G763" s="10" t="s">
        <v>3222</v>
      </c>
      <c r="H763" s="10" t="s">
        <v>3668</v>
      </c>
      <c r="I763" s="10" t="s">
        <v>2324</v>
      </c>
    </row>
    <row r="764" spans="1:9" x14ac:dyDescent="0.25">
      <c r="A764">
        <v>456</v>
      </c>
      <c r="B764" s="10" t="s">
        <v>3664</v>
      </c>
      <c r="C764" s="10" t="s">
        <v>3665</v>
      </c>
      <c r="D764" s="10">
        <v>3328</v>
      </c>
      <c r="E764" s="10" t="s">
        <v>3674</v>
      </c>
      <c r="F764" s="10" t="s">
        <v>3670</v>
      </c>
      <c r="G764" s="10" t="s">
        <v>3322</v>
      </c>
      <c r="H764" s="10" t="s">
        <v>3671</v>
      </c>
      <c r="I764" s="10" t="s">
        <v>2264</v>
      </c>
    </row>
    <row r="765" spans="1:9" x14ac:dyDescent="0.25">
      <c r="A765">
        <v>148</v>
      </c>
      <c r="B765" s="10" t="s">
        <v>2518</v>
      </c>
      <c r="C765" s="10" t="s">
        <v>3482</v>
      </c>
      <c r="D765" s="10">
        <v>3330</v>
      </c>
      <c r="E765" s="10" t="s">
        <v>3675</v>
      </c>
      <c r="F765" s="10">
        <v>22.65</v>
      </c>
      <c r="G765" s="10">
        <v>0.94</v>
      </c>
      <c r="H765" s="10">
        <v>2.58</v>
      </c>
      <c r="I765" s="10">
        <v>1.29</v>
      </c>
    </row>
    <row r="766" spans="1:9" x14ac:dyDescent="0.25">
      <c r="A766">
        <v>149</v>
      </c>
      <c r="B766" s="10" t="s">
        <v>2518</v>
      </c>
      <c r="C766" s="10" t="s">
        <v>3482</v>
      </c>
      <c r="D766" s="10">
        <v>3331</v>
      </c>
      <c r="E766" s="10" t="s">
        <v>3676</v>
      </c>
      <c r="F766" s="10" t="s">
        <v>3221</v>
      </c>
      <c r="G766" s="10" t="s">
        <v>2748</v>
      </c>
      <c r="H766" s="10" t="s">
        <v>3288</v>
      </c>
      <c r="I766" s="10" t="s">
        <v>2304</v>
      </c>
    </row>
    <row r="767" spans="1:9" x14ac:dyDescent="0.25">
      <c r="A767">
        <v>150</v>
      </c>
      <c r="B767" s="10" t="s">
        <v>2518</v>
      </c>
      <c r="C767" s="10" t="s">
        <v>3482</v>
      </c>
      <c r="D767" s="10">
        <v>3333</v>
      </c>
      <c r="E767" s="10" t="s">
        <v>3675</v>
      </c>
      <c r="F767" s="10">
        <v>22.65</v>
      </c>
      <c r="G767" s="10">
        <v>0.94</v>
      </c>
      <c r="H767" s="10">
        <v>2.58</v>
      </c>
      <c r="I767" s="10">
        <v>1.29</v>
      </c>
    </row>
    <row r="768" spans="1:9" x14ac:dyDescent="0.25">
      <c r="A768">
        <v>151</v>
      </c>
      <c r="B768" s="10" t="s">
        <v>2518</v>
      </c>
      <c r="C768" s="10" t="s">
        <v>3482</v>
      </c>
      <c r="D768" s="10">
        <v>3341</v>
      </c>
      <c r="E768" s="10" t="s">
        <v>3677</v>
      </c>
      <c r="F768" s="10" t="s">
        <v>3221</v>
      </c>
      <c r="G768" s="10" t="s">
        <v>2748</v>
      </c>
      <c r="H768" s="10" t="s">
        <v>3288</v>
      </c>
      <c r="I768" s="10" t="s">
        <v>2304</v>
      </c>
    </row>
    <row r="769" spans="1:9" x14ac:dyDescent="0.25">
      <c r="A769">
        <v>827</v>
      </c>
      <c r="B769" s="10" t="s">
        <v>3650</v>
      </c>
      <c r="C769" s="10" t="s">
        <v>3678</v>
      </c>
      <c r="D769" s="10">
        <v>3342</v>
      </c>
      <c r="E769" s="10" t="s">
        <v>3679</v>
      </c>
      <c r="F769" s="10" t="s">
        <v>2352</v>
      </c>
      <c r="G769" s="10" t="s">
        <v>3680</v>
      </c>
      <c r="H769" s="10" t="s">
        <v>3681</v>
      </c>
      <c r="I769" s="10" t="s">
        <v>3682</v>
      </c>
    </row>
    <row r="770" spans="1:9" x14ac:dyDescent="0.25">
      <c r="A770">
        <v>828</v>
      </c>
      <c r="B770" s="10" t="s">
        <v>3650</v>
      </c>
      <c r="C770" s="10" t="s">
        <v>3678</v>
      </c>
      <c r="D770" s="10">
        <v>3343</v>
      </c>
      <c r="E770" s="10" t="s">
        <v>3683</v>
      </c>
      <c r="F770" s="10" t="s">
        <v>3684</v>
      </c>
      <c r="G770" s="10" t="s">
        <v>3685</v>
      </c>
      <c r="H770" s="10" t="s">
        <v>2904</v>
      </c>
      <c r="I770" s="10" t="s">
        <v>2904</v>
      </c>
    </row>
    <row r="771" spans="1:9" x14ac:dyDescent="0.25">
      <c r="A771">
        <v>829</v>
      </c>
      <c r="B771" s="10" t="s">
        <v>3650</v>
      </c>
      <c r="C771" s="10" t="s">
        <v>3678</v>
      </c>
      <c r="D771" s="10">
        <v>3346</v>
      </c>
      <c r="E771" s="10" t="s">
        <v>3686</v>
      </c>
      <c r="F771" s="10" t="s">
        <v>2352</v>
      </c>
      <c r="G771" s="10" t="s">
        <v>3680</v>
      </c>
      <c r="H771" s="10" t="s">
        <v>3681</v>
      </c>
      <c r="I771" s="10" t="s">
        <v>3682</v>
      </c>
    </row>
    <row r="772" spans="1:9" x14ac:dyDescent="0.25">
      <c r="A772">
        <v>830</v>
      </c>
      <c r="B772" s="10" t="s">
        <v>3650</v>
      </c>
      <c r="C772" s="10" t="s">
        <v>3678</v>
      </c>
      <c r="D772" s="10">
        <v>3347</v>
      </c>
      <c r="E772" s="10" t="s">
        <v>3687</v>
      </c>
      <c r="F772" s="10" t="s">
        <v>3684</v>
      </c>
      <c r="G772" s="10" t="s">
        <v>3685</v>
      </c>
      <c r="H772" s="10" t="s">
        <v>2904</v>
      </c>
      <c r="I772" s="10" t="s">
        <v>2904</v>
      </c>
    </row>
    <row r="773" spans="1:9" x14ac:dyDescent="0.25">
      <c r="A773">
        <v>831</v>
      </c>
      <c r="B773" s="10" t="s">
        <v>3650</v>
      </c>
      <c r="C773" s="10" t="s">
        <v>3678</v>
      </c>
      <c r="D773" s="10">
        <v>3349</v>
      </c>
      <c r="E773" s="10" t="s">
        <v>3688</v>
      </c>
      <c r="F773" s="10" t="s">
        <v>2257</v>
      </c>
      <c r="G773" s="10" t="s">
        <v>3689</v>
      </c>
      <c r="H773" s="10" t="s">
        <v>2462</v>
      </c>
      <c r="I773" s="10" t="s">
        <v>2462</v>
      </c>
    </row>
    <row r="774" spans="1:9" x14ac:dyDescent="0.25">
      <c r="A774">
        <v>832</v>
      </c>
      <c r="B774" s="10" t="s">
        <v>3650</v>
      </c>
      <c r="C774" s="10" t="s">
        <v>3678</v>
      </c>
      <c r="D774" s="10">
        <v>3350</v>
      </c>
      <c r="E774" s="10" t="s">
        <v>3690</v>
      </c>
      <c r="F774" s="10" t="s">
        <v>2969</v>
      </c>
      <c r="G774" s="10" t="s">
        <v>3691</v>
      </c>
      <c r="H774" s="10" t="s">
        <v>3692</v>
      </c>
      <c r="I774" s="10" t="s">
        <v>3693</v>
      </c>
    </row>
    <row r="775" spans="1:9" x14ac:dyDescent="0.25">
      <c r="A775">
        <v>833</v>
      </c>
      <c r="B775" s="10" t="s">
        <v>3650</v>
      </c>
      <c r="C775" s="10" t="s">
        <v>3678</v>
      </c>
      <c r="D775" s="10">
        <v>3351</v>
      </c>
      <c r="E775" s="10" t="s">
        <v>3694</v>
      </c>
      <c r="F775" s="10" t="s">
        <v>2865</v>
      </c>
      <c r="G775" s="10" t="s">
        <v>2258</v>
      </c>
      <c r="H775" s="10" t="s">
        <v>3695</v>
      </c>
      <c r="I775" s="10" t="s">
        <v>2260</v>
      </c>
    </row>
    <row r="776" spans="1:9" x14ac:dyDescent="0.25">
      <c r="A776">
        <v>834</v>
      </c>
      <c r="B776" s="10" t="s">
        <v>3650</v>
      </c>
      <c r="C776" s="10" t="s">
        <v>3678</v>
      </c>
      <c r="D776" s="10">
        <v>3353</v>
      </c>
      <c r="E776" s="10" t="s">
        <v>3696</v>
      </c>
      <c r="F776" s="10" t="s">
        <v>3697</v>
      </c>
      <c r="G776" s="10" t="s">
        <v>2146</v>
      </c>
      <c r="H776" s="10" t="s">
        <v>3698</v>
      </c>
      <c r="I776" s="10" t="s">
        <v>2148</v>
      </c>
    </row>
    <row r="777" spans="1:9" x14ac:dyDescent="0.25">
      <c r="A777">
        <v>835</v>
      </c>
      <c r="B777" s="10" t="s">
        <v>3650</v>
      </c>
      <c r="C777" s="10" t="s">
        <v>3678</v>
      </c>
      <c r="D777" s="10">
        <v>3354</v>
      </c>
      <c r="E777" s="10" t="s">
        <v>3699</v>
      </c>
      <c r="F777" s="10" t="s">
        <v>3700</v>
      </c>
      <c r="G777" s="10" t="s">
        <v>2340</v>
      </c>
      <c r="H777" s="10" t="s">
        <v>2205</v>
      </c>
      <c r="I777" s="10" t="s">
        <v>2205</v>
      </c>
    </row>
    <row r="778" spans="1:9" x14ac:dyDescent="0.25">
      <c r="A778">
        <v>836</v>
      </c>
      <c r="B778" s="10" t="s">
        <v>3650</v>
      </c>
      <c r="C778" s="10" t="s">
        <v>3678</v>
      </c>
      <c r="D778" s="10">
        <v>3356</v>
      </c>
      <c r="E778" s="10" t="s">
        <v>3701</v>
      </c>
      <c r="F778" s="10" t="s">
        <v>3700</v>
      </c>
      <c r="G778" s="10" t="s">
        <v>2502</v>
      </c>
      <c r="H778" s="10" t="s">
        <v>3702</v>
      </c>
      <c r="I778" s="10" t="s">
        <v>3703</v>
      </c>
    </row>
    <row r="779" spans="1:9" x14ac:dyDescent="0.25">
      <c r="A779">
        <v>446</v>
      </c>
      <c r="B779" s="10" t="s">
        <v>3664</v>
      </c>
      <c r="C779" s="10" t="s">
        <v>3704</v>
      </c>
      <c r="D779" s="10">
        <v>3358</v>
      </c>
      <c r="E779" s="10" t="s">
        <v>3705</v>
      </c>
      <c r="F779" s="10" t="s">
        <v>3522</v>
      </c>
      <c r="G779" s="10" t="s">
        <v>3706</v>
      </c>
      <c r="H779" s="10" t="s">
        <v>2123</v>
      </c>
      <c r="I779" s="10" t="s">
        <v>2123</v>
      </c>
    </row>
    <row r="780" spans="1:9" x14ac:dyDescent="0.25">
      <c r="A780">
        <v>1150</v>
      </c>
      <c r="B780" s="10" t="s">
        <v>2604</v>
      </c>
      <c r="C780" s="10" t="s">
        <v>3512</v>
      </c>
      <c r="D780" s="10">
        <v>3359</v>
      </c>
      <c r="E780" s="10" t="s">
        <v>3707</v>
      </c>
      <c r="F780" s="10" t="s">
        <v>2466</v>
      </c>
      <c r="G780" s="10" t="s">
        <v>2467</v>
      </c>
      <c r="H780" s="10" t="s">
        <v>3708</v>
      </c>
      <c r="I780" s="10" t="s">
        <v>2477</v>
      </c>
    </row>
    <row r="781" spans="1:9" x14ac:dyDescent="0.25">
      <c r="A781">
        <v>1151</v>
      </c>
      <c r="B781" s="10" t="s">
        <v>2604</v>
      </c>
      <c r="C781" s="10" t="s">
        <v>3512</v>
      </c>
      <c r="D781" s="10">
        <v>3360</v>
      </c>
      <c r="E781" s="10" t="s">
        <v>3709</v>
      </c>
      <c r="F781" s="10" t="s">
        <v>2466</v>
      </c>
      <c r="G781" s="10" t="s">
        <v>2467</v>
      </c>
      <c r="H781" s="10" t="s">
        <v>3708</v>
      </c>
      <c r="I781" s="10" t="s">
        <v>2477</v>
      </c>
    </row>
    <row r="782" spans="1:9" x14ac:dyDescent="0.25">
      <c r="A782">
        <v>447</v>
      </c>
      <c r="B782" s="10" t="s">
        <v>3664</v>
      </c>
      <c r="C782" s="10" t="s">
        <v>3704</v>
      </c>
      <c r="D782" s="10">
        <v>3361</v>
      </c>
      <c r="E782" s="10" t="s">
        <v>3710</v>
      </c>
      <c r="F782" s="10" t="s">
        <v>3711</v>
      </c>
      <c r="G782" s="10" t="s">
        <v>3006</v>
      </c>
      <c r="H782" s="10" t="s">
        <v>2502</v>
      </c>
      <c r="I782" s="10" t="s">
        <v>2547</v>
      </c>
    </row>
    <row r="783" spans="1:9" x14ac:dyDescent="0.25">
      <c r="A783">
        <v>1152</v>
      </c>
      <c r="B783" s="10" t="s">
        <v>2604</v>
      </c>
      <c r="C783" s="10" t="s">
        <v>3512</v>
      </c>
      <c r="D783" s="10">
        <v>3362</v>
      </c>
      <c r="E783" s="10" t="s">
        <v>3712</v>
      </c>
      <c r="F783" s="10" t="s">
        <v>2607</v>
      </c>
      <c r="G783" s="10" t="s">
        <v>2608</v>
      </c>
      <c r="H783" s="10" t="s">
        <v>2190</v>
      </c>
      <c r="I783" s="10" t="s">
        <v>2383</v>
      </c>
    </row>
    <row r="784" spans="1:9" x14ac:dyDescent="0.25">
      <c r="A784">
        <v>152</v>
      </c>
      <c r="B784" s="10" t="s">
        <v>2518</v>
      </c>
      <c r="C784" s="10" t="s">
        <v>3482</v>
      </c>
      <c r="D784" s="10">
        <v>3364</v>
      </c>
      <c r="E784" s="10" t="s">
        <v>3713</v>
      </c>
      <c r="F784" s="10" t="s">
        <v>3714</v>
      </c>
      <c r="G784" s="10" t="s">
        <v>3715</v>
      </c>
      <c r="H784" s="10" t="s">
        <v>3716</v>
      </c>
      <c r="I784" s="10" t="s">
        <v>2383</v>
      </c>
    </row>
    <row r="785" spans="1:9" x14ac:dyDescent="0.25">
      <c r="A785">
        <v>153</v>
      </c>
      <c r="B785" s="10" t="s">
        <v>2518</v>
      </c>
      <c r="C785" s="10" t="s">
        <v>3482</v>
      </c>
      <c r="D785" s="10">
        <v>3365</v>
      </c>
      <c r="E785" s="10" t="s">
        <v>3717</v>
      </c>
      <c r="F785" s="10" t="s">
        <v>3534</v>
      </c>
      <c r="G785" s="10" t="s">
        <v>3535</v>
      </c>
      <c r="H785" s="10" t="s">
        <v>2391</v>
      </c>
      <c r="I785" s="10" t="s">
        <v>2812</v>
      </c>
    </row>
    <row r="786" spans="1:9" x14ac:dyDescent="0.25">
      <c r="A786">
        <v>448</v>
      </c>
      <c r="B786" s="10" t="s">
        <v>3664</v>
      </c>
      <c r="C786" s="10" t="s">
        <v>3704</v>
      </c>
      <c r="D786" s="10">
        <v>3366</v>
      </c>
      <c r="E786" s="10" t="s">
        <v>3718</v>
      </c>
      <c r="F786" s="10">
        <v>98.95</v>
      </c>
      <c r="G786" s="10">
        <v>4.12</v>
      </c>
      <c r="H786" s="10">
        <v>7.32</v>
      </c>
      <c r="I786" s="10">
        <v>5.49</v>
      </c>
    </row>
    <row r="787" spans="1:9" x14ac:dyDescent="0.25">
      <c r="A787">
        <v>1153</v>
      </c>
      <c r="B787" s="10" t="s">
        <v>2604</v>
      </c>
      <c r="C787" s="10" t="s">
        <v>3512</v>
      </c>
      <c r="D787" s="10">
        <v>3376</v>
      </c>
      <c r="E787" s="10" t="s">
        <v>3719</v>
      </c>
      <c r="F787" s="10" t="s">
        <v>2466</v>
      </c>
      <c r="G787" s="10" t="s">
        <v>2467</v>
      </c>
      <c r="H787" s="10" t="s">
        <v>3708</v>
      </c>
      <c r="I787" s="10" t="s">
        <v>2477</v>
      </c>
    </row>
    <row r="788" spans="1:9" x14ac:dyDescent="0.25">
      <c r="A788">
        <v>1154</v>
      </c>
      <c r="B788" s="10" t="s">
        <v>2604</v>
      </c>
      <c r="C788" s="10" t="s">
        <v>3512</v>
      </c>
      <c r="D788" s="10">
        <v>3377</v>
      </c>
      <c r="E788" s="10" t="s">
        <v>3720</v>
      </c>
      <c r="F788" s="10" t="s">
        <v>2607</v>
      </c>
      <c r="G788" s="10" t="s">
        <v>2608</v>
      </c>
      <c r="H788" s="10" t="s">
        <v>2190</v>
      </c>
      <c r="I788" s="10" t="s">
        <v>2383</v>
      </c>
    </row>
    <row r="789" spans="1:9" x14ac:dyDescent="0.25">
      <c r="A789">
        <v>837</v>
      </c>
      <c r="B789" s="10" t="s">
        <v>3650</v>
      </c>
      <c r="C789" s="10" t="s">
        <v>3678</v>
      </c>
      <c r="D789" s="10">
        <v>3379</v>
      </c>
      <c r="E789" s="10" t="s">
        <v>3721</v>
      </c>
      <c r="F789" s="10" t="s">
        <v>3711</v>
      </c>
      <c r="G789" s="10" t="s">
        <v>3006</v>
      </c>
      <c r="H789" s="10" t="s">
        <v>3722</v>
      </c>
      <c r="I789" s="10" t="s">
        <v>2547</v>
      </c>
    </row>
    <row r="790" spans="1:9" x14ac:dyDescent="0.25">
      <c r="A790">
        <v>838</v>
      </c>
      <c r="B790" s="10" t="s">
        <v>3650</v>
      </c>
      <c r="C790" s="10" t="s">
        <v>3678</v>
      </c>
      <c r="D790" s="10">
        <v>3380</v>
      </c>
      <c r="E790" s="10" t="s">
        <v>3723</v>
      </c>
      <c r="F790" s="10" t="s">
        <v>3724</v>
      </c>
      <c r="G790" s="10" t="s">
        <v>3298</v>
      </c>
      <c r="H790" s="10" t="s">
        <v>3725</v>
      </c>
      <c r="I790" s="10" t="s">
        <v>3016</v>
      </c>
    </row>
    <row r="791" spans="1:9" x14ac:dyDescent="0.25">
      <c r="A791">
        <v>449</v>
      </c>
      <c r="B791" s="10" t="s">
        <v>3664</v>
      </c>
      <c r="C791" s="10" t="s">
        <v>3704</v>
      </c>
      <c r="D791" s="10">
        <v>3381</v>
      </c>
      <c r="E791" s="10" t="s">
        <v>3726</v>
      </c>
      <c r="F791" s="10" t="s">
        <v>3684</v>
      </c>
      <c r="G791" s="10" t="s">
        <v>2348</v>
      </c>
      <c r="H791" s="10" t="s">
        <v>3344</v>
      </c>
      <c r="I791" s="10" t="s">
        <v>2350</v>
      </c>
    </row>
    <row r="792" spans="1:9" x14ac:dyDescent="0.25">
      <c r="A792">
        <v>450</v>
      </c>
      <c r="B792" s="10" t="s">
        <v>3664</v>
      </c>
      <c r="C792" s="10" t="s">
        <v>3704</v>
      </c>
      <c r="D792" s="10">
        <v>3387</v>
      </c>
      <c r="E792" s="10" t="s">
        <v>3727</v>
      </c>
      <c r="F792" s="10">
        <v>41.95</v>
      </c>
      <c r="G792" s="10">
        <v>0.87</v>
      </c>
      <c r="H792" s="10">
        <v>6.35</v>
      </c>
      <c r="I792" s="10">
        <v>1.19</v>
      </c>
    </row>
    <row r="793" spans="1:9" x14ac:dyDescent="0.25">
      <c r="A793">
        <v>451</v>
      </c>
      <c r="B793" s="10" t="s">
        <v>3664</v>
      </c>
      <c r="C793" s="10" t="s">
        <v>3704</v>
      </c>
      <c r="D793" s="10">
        <v>3388</v>
      </c>
      <c r="E793" s="10" t="s">
        <v>3728</v>
      </c>
      <c r="F793" s="10" t="s">
        <v>2333</v>
      </c>
      <c r="G793" s="10" t="s">
        <v>3240</v>
      </c>
      <c r="H793" s="10" t="s">
        <v>3729</v>
      </c>
      <c r="I793" s="10" t="s">
        <v>2263</v>
      </c>
    </row>
    <row r="794" spans="1:9" x14ac:dyDescent="0.25">
      <c r="A794">
        <v>1209</v>
      </c>
      <c r="B794" s="10" t="s">
        <v>2112</v>
      </c>
      <c r="C794" s="10" t="s">
        <v>2232</v>
      </c>
      <c r="D794" s="10">
        <v>3401</v>
      </c>
      <c r="E794" s="10" t="s">
        <v>3730</v>
      </c>
      <c r="F794" s="10" t="s">
        <v>2740</v>
      </c>
      <c r="G794" s="10" t="s">
        <v>2377</v>
      </c>
      <c r="H794" s="10" t="s">
        <v>2218</v>
      </c>
      <c r="I794" s="10" t="s">
        <v>2218</v>
      </c>
    </row>
    <row r="795" spans="1:9" x14ac:dyDescent="0.25">
      <c r="A795">
        <v>1210</v>
      </c>
      <c r="B795" s="10" t="s">
        <v>2112</v>
      </c>
      <c r="C795" s="10" t="s">
        <v>2232</v>
      </c>
      <c r="D795" s="10">
        <v>3402</v>
      </c>
      <c r="E795" s="10" t="s">
        <v>3731</v>
      </c>
      <c r="F795" s="10" t="s">
        <v>3732</v>
      </c>
      <c r="G795" s="10" t="s">
        <v>3733</v>
      </c>
      <c r="H795" s="10" t="s">
        <v>3734</v>
      </c>
      <c r="I795" s="10" t="s">
        <v>2276</v>
      </c>
    </row>
    <row r="796" spans="1:9" x14ac:dyDescent="0.25">
      <c r="A796">
        <v>1211</v>
      </c>
      <c r="B796" s="10" t="s">
        <v>2112</v>
      </c>
      <c r="C796" s="10" t="s">
        <v>2232</v>
      </c>
      <c r="D796" s="10">
        <v>3403</v>
      </c>
      <c r="E796" s="10" t="s">
        <v>3735</v>
      </c>
      <c r="F796" s="10" t="s">
        <v>3736</v>
      </c>
      <c r="G796" s="10" t="s">
        <v>3691</v>
      </c>
      <c r="H796" s="10" t="s">
        <v>2970</v>
      </c>
      <c r="I796" s="10" t="s">
        <v>3693</v>
      </c>
    </row>
    <row r="797" spans="1:9" x14ac:dyDescent="0.25">
      <c r="A797">
        <v>1515</v>
      </c>
      <c r="B797" s="10" t="s">
        <v>3737</v>
      </c>
      <c r="C797" s="10" t="s">
        <v>3738</v>
      </c>
      <c r="D797" s="10">
        <v>3462</v>
      </c>
      <c r="E797" s="10" t="s">
        <v>3739</v>
      </c>
      <c r="F797" s="10" t="s">
        <v>3740</v>
      </c>
      <c r="G797" s="10" t="s">
        <v>2554</v>
      </c>
      <c r="H797" s="10" t="s">
        <v>3741</v>
      </c>
      <c r="I797" s="10" t="s">
        <v>2329</v>
      </c>
    </row>
    <row r="798" spans="1:9" x14ac:dyDescent="0.25">
      <c r="A798">
        <v>1516</v>
      </c>
      <c r="B798" s="10" t="s">
        <v>3737</v>
      </c>
      <c r="C798" s="10" t="s">
        <v>3738</v>
      </c>
      <c r="D798" s="10">
        <v>3464</v>
      </c>
      <c r="E798" s="10" t="s">
        <v>3742</v>
      </c>
      <c r="F798" s="10" t="s">
        <v>3740</v>
      </c>
      <c r="G798" s="10" t="s">
        <v>2554</v>
      </c>
      <c r="H798" s="10" t="s">
        <v>3741</v>
      </c>
      <c r="I798" s="10" t="s">
        <v>2329</v>
      </c>
    </row>
    <row r="799" spans="1:9" x14ac:dyDescent="0.25">
      <c r="A799">
        <v>1517</v>
      </c>
      <c r="B799" s="10" t="s">
        <v>3737</v>
      </c>
      <c r="C799" s="10" t="s">
        <v>3738</v>
      </c>
      <c r="D799" s="10">
        <v>3467</v>
      </c>
      <c r="E799" s="10" t="s">
        <v>3743</v>
      </c>
      <c r="F799" s="10" t="s">
        <v>3740</v>
      </c>
      <c r="G799" s="10" t="s">
        <v>2554</v>
      </c>
      <c r="H799" s="10" t="s">
        <v>3741</v>
      </c>
      <c r="I799" s="10" t="s">
        <v>2329</v>
      </c>
    </row>
    <row r="800" spans="1:9" x14ac:dyDescent="0.25">
      <c r="A800">
        <v>839</v>
      </c>
      <c r="B800" s="10" t="s">
        <v>3650</v>
      </c>
      <c r="C800" s="10" t="s">
        <v>3744</v>
      </c>
      <c r="D800" s="10">
        <v>3519</v>
      </c>
      <c r="E800" s="10" t="s">
        <v>3745</v>
      </c>
      <c r="F800" s="10" t="s">
        <v>3746</v>
      </c>
      <c r="G800" s="10" t="s">
        <v>3747</v>
      </c>
      <c r="H800" s="10" t="s">
        <v>3748</v>
      </c>
      <c r="I800" s="10" t="s">
        <v>3748</v>
      </c>
    </row>
    <row r="801" spans="1:9" x14ac:dyDescent="0.25">
      <c r="A801">
        <v>840</v>
      </c>
      <c r="B801" s="10" t="s">
        <v>3650</v>
      </c>
      <c r="C801" s="10" t="s">
        <v>3744</v>
      </c>
      <c r="D801" s="10">
        <v>3520</v>
      </c>
      <c r="E801" s="10" t="s">
        <v>3749</v>
      </c>
      <c r="F801" s="10" t="s">
        <v>3750</v>
      </c>
      <c r="G801" s="10" t="s">
        <v>3751</v>
      </c>
      <c r="H801" s="10" t="s">
        <v>3752</v>
      </c>
      <c r="I801" s="10" t="s">
        <v>3752</v>
      </c>
    </row>
    <row r="802" spans="1:9" x14ac:dyDescent="0.25">
      <c r="A802">
        <v>841</v>
      </c>
      <c r="B802" s="10" t="s">
        <v>3650</v>
      </c>
      <c r="C802" s="10" t="s">
        <v>3744</v>
      </c>
      <c r="D802" s="10">
        <v>3521</v>
      </c>
      <c r="E802" s="10" t="s">
        <v>3753</v>
      </c>
      <c r="F802" s="10" t="s">
        <v>3736</v>
      </c>
      <c r="G802" s="10" t="s">
        <v>2914</v>
      </c>
      <c r="H802" s="10" t="s">
        <v>2123</v>
      </c>
      <c r="I802" s="10" t="s">
        <v>2123</v>
      </c>
    </row>
    <row r="803" spans="1:9" x14ac:dyDescent="0.25">
      <c r="A803">
        <v>842</v>
      </c>
      <c r="B803" s="10" t="s">
        <v>3650</v>
      </c>
      <c r="C803" s="10" t="s">
        <v>3744</v>
      </c>
      <c r="D803" s="10">
        <v>3523</v>
      </c>
      <c r="E803" s="10" t="s">
        <v>3754</v>
      </c>
      <c r="F803" s="10" t="s">
        <v>3755</v>
      </c>
      <c r="G803" s="10" t="s">
        <v>3756</v>
      </c>
      <c r="H803" s="10" t="s">
        <v>3757</v>
      </c>
      <c r="I803" s="10" t="s">
        <v>3757</v>
      </c>
    </row>
    <row r="804" spans="1:9" x14ac:dyDescent="0.25">
      <c r="A804">
        <v>843</v>
      </c>
      <c r="B804" s="10" t="s">
        <v>3650</v>
      </c>
      <c r="C804" s="10" t="s">
        <v>3744</v>
      </c>
      <c r="D804" s="10">
        <v>3524</v>
      </c>
      <c r="E804" s="10" t="s">
        <v>3758</v>
      </c>
      <c r="F804" s="10" t="s">
        <v>3759</v>
      </c>
      <c r="G804" s="10" t="s">
        <v>3760</v>
      </c>
      <c r="H804" s="10" t="s">
        <v>3761</v>
      </c>
      <c r="I804" s="10" t="s">
        <v>2258</v>
      </c>
    </row>
    <row r="805" spans="1:9" x14ac:dyDescent="0.25">
      <c r="A805">
        <v>154</v>
      </c>
      <c r="B805" s="10" t="s">
        <v>2518</v>
      </c>
      <c r="C805" s="10" t="s">
        <v>3482</v>
      </c>
      <c r="D805" s="10">
        <v>3541</v>
      </c>
      <c r="E805" s="10" t="s">
        <v>3762</v>
      </c>
      <c r="F805" s="10" t="s">
        <v>2953</v>
      </c>
      <c r="G805" s="10" t="s">
        <v>2118</v>
      </c>
      <c r="H805" s="10" t="s">
        <v>2259</v>
      </c>
      <c r="I805" s="10" t="s">
        <v>2868</v>
      </c>
    </row>
    <row r="806" spans="1:9" x14ac:dyDescent="0.25">
      <c r="A806">
        <v>155</v>
      </c>
      <c r="B806" s="10" t="s">
        <v>2518</v>
      </c>
      <c r="C806" s="10" t="s">
        <v>3482</v>
      </c>
      <c r="D806" s="10">
        <v>3546</v>
      </c>
      <c r="E806" s="10" t="s">
        <v>3763</v>
      </c>
      <c r="F806" s="10" t="s">
        <v>2762</v>
      </c>
      <c r="G806" s="10" t="s">
        <v>3328</v>
      </c>
      <c r="H806" s="10" t="s">
        <v>3208</v>
      </c>
      <c r="I806" s="10" t="s">
        <v>3146</v>
      </c>
    </row>
    <row r="807" spans="1:9" x14ac:dyDescent="0.25">
      <c r="A807">
        <v>156</v>
      </c>
      <c r="B807" s="10" t="s">
        <v>2518</v>
      </c>
      <c r="C807" s="10" t="s">
        <v>3482</v>
      </c>
      <c r="D807" s="10">
        <v>3548</v>
      </c>
      <c r="E807" s="10" t="s">
        <v>3764</v>
      </c>
      <c r="F807" s="10" t="s">
        <v>3714</v>
      </c>
      <c r="G807" s="10" t="s">
        <v>3715</v>
      </c>
      <c r="H807" s="10" t="s">
        <v>2264</v>
      </c>
      <c r="I807" s="10" t="s">
        <v>2383</v>
      </c>
    </row>
    <row r="808" spans="1:9" x14ac:dyDescent="0.25">
      <c r="A808">
        <v>157</v>
      </c>
      <c r="B808" s="10" t="s">
        <v>2518</v>
      </c>
      <c r="C808" s="10" t="s">
        <v>3482</v>
      </c>
      <c r="D808" s="10">
        <v>3550</v>
      </c>
      <c r="E808" s="10" t="s">
        <v>3765</v>
      </c>
      <c r="F808" s="10" t="s">
        <v>3766</v>
      </c>
      <c r="G808" s="10" t="s">
        <v>2286</v>
      </c>
      <c r="H808" s="10" t="s">
        <v>2574</v>
      </c>
      <c r="I808" s="10" t="s">
        <v>2449</v>
      </c>
    </row>
    <row r="809" spans="1:9" x14ac:dyDescent="0.25">
      <c r="A809">
        <v>158</v>
      </c>
      <c r="B809" s="10" t="s">
        <v>2518</v>
      </c>
      <c r="C809" s="10" t="s">
        <v>3482</v>
      </c>
      <c r="D809" s="10">
        <v>3551</v>
      </c>
      <c r="E809" s="10" t="s">
        <v>3767</v>
      </c>
      <c r="F809" s="10" t="s">
        <v>3766</v>
      </c>
      <c r="G809" s="10" t="s">
        <v>2286</v>
      </c>
      <c r="H809" s="10" t="s">
        <v>2574</v>
      </c>
      <c r="I809" s="10" t="s">
        <v>2449</v>
      </c>
    </row>
    <row r="810" spans="1:9" x14ac:dyDescent="0.25">
      <c r="A810">
        <v>159</v>
      </c>
      <c r="B810" s="10" t="s">
        <v>2518</v>
      </c>
      <c r="C810" s="10" t="s">
        <v>3482</v>
      </c>
      <c r="D810" s="10">
        <v>3555</v>
      </c>
      <c r="E810" s="10" t="s">
        <v>3768</v>
      </c>
      <c r="F810" s="10" t="s">
        <v>2406</v>
      </c>
      <c r="G810" s="10" t="s">
        <v>2273</v>
      </c>
      <c r="H810" s="10" t="s">
        <v>2543</v>
      </c>
      <c r="I810" s="10" t="s">
        <v>2241</v>
      </c>
    </row>
    <row r="811" spans="1:9" x14ac:dyDescent="0.25">
      <c r="A811">
        <v>160</v>
      </c>
      <c r="B811" s="10" t="s">
        <v>2518</v>
      </c>
      <c r="C811" s="10" t="s">
        <v>3482</v>
      </c>
      <c r="D811" s="10">
        <v>3560</v>
      </c>
      <c r="E811" s="10" t="s">
        <v>3769</v>
      </c>
      <c r="F811" s="10" t="s">
        <v>2220</v>
      </c>
      <c r="G811" s="10" t="s">
        <v>2372</v>
      </c>
      <c r="H811" s="10" t="s">
        <v>2449</v>
      </c>
      <c r="I811" s="10" t="s">
        <v>2374</v>
      </c>
    </row>
    <row r="812" spans="1:9" x14ac:dyDescent="0.25">
      <c r="A812">
        <v>161</v>
      </c>
      <c r="B812" s="10" t="s">
        <v>2518</v>
      </c>
      <c r="C812" s="10" t="s">
        <v>3482</v>
      </c>
      <c r="D812" s="10">
        <v>3565</v>
      </c>
      <c r="E812" s="10" t="s">
        <v>3770</v>
      </c>
      <c r="F812" s="10" t="s">
        <v>2406</v>
      </c>
      <c r="G812" s="10" t="s">
        <v>2273</v>
      </c>
      <c r="H812" s="10" t="s">
        <v>2543</v>
      </c>
      <c r="I812" s="10" t="s">
        <v>2241</v>
      </c>
    </row>
    <row r="813" spans="1:9" x14ac:dyDescent="0.25">
      <c r="A813">
        <v>162</v>
      </c>
      <c r="B813" s="10" t="s">
        <v>2518</v>
      </c>
      <c r="C813" s="10" t="s">
        <v>3482</v>
      </c>
      <c r="D813" s="10">
        <v>3567</v>
      </c>
      <c r="E813" s="10" t="s">
        <v>3771</v>
      </c>
      <c r="F813" s="10" t="s">
        <v>2406</v>
      </c>
      <c r="G813" s="10" t="s">
        <v>2273</v>
      </c>
      <c r="H813" s="10" t="s">
        <v>2543</v>
      </c>
      <c r="I813" s="10" t="s">
        <v>2241</v>
      </c>
    </row>
    <row r="814" spans="1:9" x14ac:dyDescent="0.25">
      <c r="A814">
        <v>163</v>
      </c>
      <c r="B814" s="10" t="s">
        <v>2518</v>
      </c>
      <c r="C814" s="10" t="s">
        <v>3482</v>
      </c>
      <c r="D814" s="10">
        <v>3568</v>
      </c>
      <c r="E814" s="10" t="s">
        <v>3772</v>
      </c>
      <c r="F814" s="10" t="s">
        <v>2953</v>
      </c>
      <c r="G814" s="10" t="s">
        <v>2118</v>
      </c>
      <c r="H814" s="10" t="s">
        <v>2259</v>
      </c>
      <c r="I814" s="10" t="s">
        <v>2868</v>
      </c>
    </row>
    <row r="815" spans="1:9" x14ac:dyDescent="0.25">
      <c r="A815">
        <v>164</v>
      </c>
      <c r="B815" s="10" t="s">
        <v>2518</v>
      </c>
      <c r="C815" s="10" t="s">
        <v>3482</v>
      </c>
      <c r="D815" s="10">
        <v>3573</v>
      </c>
      <c r="E815" s="10" t="s">
        <v>3773</v>
      </c>
      <c r="F815" s="10" t="s">
        <v>2301</v>
      </c>
      <c r="G815" s="10" t="s">
        <v>2302</v>
      </c>
      <c r="H815" s="10" t="s">
        <v>2542</v>
      </c>
      <c r="I815" s="10" t="s">
        <v>2304</v>
      </c>
    </row>
    <row r="816" spans="1:9" x14ac:dyDescent="0.25">
      <c r="A816">
        <v>165</v>
      </c>
      <c r="B816" s="10" t="s">
        <v>2518</v>
      </c>
      <c r="C816" s="10" t="s">
        <v>3482</v>
      </c>
      <c r="D816" s="10">
        <v>3574</v>
      </c>
      <c r="E816" s="10" t="s">
        <v>3774</v>
      </c>
      <c r="F816" s="10" t="s">
        <v>2301</v>
      </c>
      <c r="G816" s="10" t="s">
        <v>2302</v>
      </c>
      <c r="H816" s="10" t="s">
        <v>2542</v>
      </c>
      <c r="I816" s="10" t="s">
        <v>2304</v>
      </c>
    </row>
    <row r="817" spans="1:9" x14ac:dyDescent="0.25">
      <c r="A817">
        <v>1474</v>
      </c>
      <c r="B817" s="10" t="s">
        <v>2944</v>
      </c>
      <c r="C817" s="10" t="s">
        <v>2951</v>
      </c>
      <c r="D817" s="10">
        <v>3590</v>
      </c>
      <c r="E817" s="10" t="s">
        <v>3775</v>
      </c>
      <c r="F817" s="10" t="s">
        <v>2953</v>
      </c>
      <c r="G817" s="10" t="s">
        <v>2954</v>
      </c>
      <c r="H817" s="10" t="s">
        <v>2955</v>
      </c>
      <c r="I817" s="10" t="s">
        <v>2205</v>
      </c>
    </row>
    <row r="818" spans="1:9" x14ac:dyDescent="0.25">
      <c r="A818">
        <v>1475</v>
      </c>
      <c r="B818" s="10" t="s">
        <v>2944</v>
      </c>
      <c r="C818" s="10" t="s">
        <v>2951</v>
      </c>
      <c r="D818" s="10">
        <v>3599</v>
      </c>
      <c r="E818" s="10" t="s">
        <v>3776</v>
      </c>
      <c r="F818" s="10" t="s">
        <v>3777</v>
      </c>
      <c r="G818" s="10" t="s">
        <v>3778</v>
      </c>
      <c r="H818" s="10" t="s">
        <v>3779</v>
      </c>
      <c r="I818" s="10" t="s">
        <v>3475</v>
      </c>
    </row>
    <row r="819" spans="1:9" x14ac:dyDescent="0.25">
      <c r="A819">
        <v>513</v>
      </c>
      <c r="B819" s="10" t="s">
        <v>2622</v>
      </c>
      <c r="C819" s="10" t="s">
        <v>3780</v>
      </c>
      <c r="D819" s="10">
        <v>3600</v>
      </c>
      <c r="E819" s="10" t="s">
        <v>3781</v>
      </c>
      <c r="F819" s="10" t="s">
        <v>2828</v>
      </c>
      <c r="G819" s="10" t="s">
        <v>3343</v>
      </c>
      <c r="H819" s="10" t="s">
        <v>3782</v>
      </c>
      <c r="I819" s="10" t="s">
        <v>2350</v>
      </c>
    </row>
    <row r="820" spans="1:9" x14ac:dyDescent="0.25">
      <c r="A820">
        <v>1479</v>
      </c>
      <c r="B820" s="10" t="s">
        <v>3737</v>
      </c>
      <c r="C820" s="10" t="s">
        <v>3783</v>
      </c>
      <c r="D820" s="10">
        <v>3607</v>
      </c>
      <c r="E820" s="10" t="s">
        <v>3784</v>
      </c>
      <c r="F820" s="10" t="s">
        <v>2541</v>
      </c>
      <c r="G820" s="10" t="s">
        <v>2240</v>
      </c>
      <c r="H820" s="10" t="s">
        <v>3785</v>
      </c>
      <c r="I820" s="10" t="s">
        <v>2363</v>
      </c>
    </row>
    <row r="821" spans="1:9" x14ac:dyDescent="0.25">
      <c r="A821">
        <v>1480</v>
      </c>
      <c r="B821" s="10" t="s">
        <v>3737</v>
      </c>
      <c r="C821" s="10" t="s">
        <v>3783</v>
      </c>
      <c r="D821" s="10">
        <v>3609</v>
      </c>
      <c r="E821" s="10" t="s">
        <v>3786</v>
      </c>
      <c r="F821" s="10" t="s">
        <v>2625</v>
      </c>
      <c r="G821" s="10" t="s">
        <v>2273</v>
      </c>
      <c r="H821" s="10" t="s">
        <v>3787</v>
      </c>
      <c r="I821" s="10" t="s">
        <v>2241</v>
      </c>
    </row>
    <row r="822" spans="1:9" x14ac:dyDescent="0.25">
      <c r="A822">
        <v>1481</v>
      </c>
      <c r="B822" s="10" t="s">
        <v>3737</v>
      </c>
      <c r="C822" s="10" t="s">
        <v>3783</v>
      </c>
      <c r="D822" s="10">
        <v>3610</v>
      </c>
      <c r="E822" s="10" t="s">
        <v>3788</v>
      </c>
      <c r="F822" s="10" t="s">
        <v>2412</v>
      </c>
      <c r="G822" s="10" t="s">
        <v>2687</v>
      </c>
      <c r="H822" s="10" t="s">
        <v>3789</v>
      </c>
      <c r="I822" s="10" t="s">
        <v>2319</v>
      </c>
    </row>
    <row r="823" spans="1:9" x14ac:dyDescent="0.25">
      <c r="A823">
        <v>1482</v>
      </c>
      <c r="B823" s="10" t="s">
        <v>3737</v>
      </c>
      <c r="C823" s="10" t="s">
        <v>3783</v>
      </c>
      <c r="D823" s="10">
        <v>3611</v>
      </c>
      <c r="E823" s="10" t="s">
        <v>3790</v>
      </c>
      <c r="F823" s="10" t="s">
        <v>2625</v>
      </c>
      <c r="G823" s="10" t="s">
        <v>2273</v>
      </c>
      <c r="H823" s="10" t="s">
        <v>3787</v>
      </c>
      <c r="I823" s="10" t="s">
        <v>2241</v>
      </c>
    </row>
    <row r="824" spans="1:9" x14ac:dyDescent="0.25">
      <c r="A824">
        <v>1483</v>
      </c>
      <c r="B824" s="10" t="s">
        <v>3737</v>
      </c>
      <c r="C824" s="10" t="s">
        <v>3783</v>
      </c>
      <c r="D824" s="10">
        <v>3612</v>
      </c>
      <c r="E824" s="10" t="s">
        <v>3791</v>
      </c>
      <c r="F824" s="10" t="s">
        <v>2625</v>
      </c>
      <c r="G824" s="10" t="s">
        <v>2273</v>
      </c>
      <c r="H824" s="10" t="s">
        <v>3787</v>
      </c>
      <c r="I824" s="10" t="s">
        <v>2241</v>
      </c>
    </row>
    <row r="825" spans="1:9" x14ac:dyDescent="0.25">
      <c r="A825">
        <v>1499</v>
      </c>
      <c r="B825" s="10" t="s">
        <v>3737</v>
      </c>
      <c r="C825" s="10" t="s">
        <v>3792</v>
      </c>
      <c r="D825" s="10">
        <v>3613</v>
      </c>
      <c r="E825" s="10" t="s">
        <v>3793</v>
      </c>
      <c r="F825" s="10" t="s">
        <v>2625</v>
      </c>
      <c r="G825" s="10" t="s">
        <v>2366</v>
      </c>
      <c r="H825" s="10" t="s">
        <v>3566</v>
      </c>
      <c r="I825" s="10" t="s">
        <v>2368</v>
      </c>
    </row>
    <row r="826" spans="1:9" x14ac:dyDescent="0.25">
      <c r="A826">
        <v>1500</v>
      </c>
      <c r="B826" s="10" t="s">
        <v>3737</v>
      </c>
      <c r="C826" s="10" t="s">
        <v>3792</v>
      </c>
      <c r="D826" s="10">
        <v>3615</v>
      </c>
      <c r="E826" s="10" t="s">
        <v>3794</v>
      </c>
      <c r="F826" s="10">
        <v>35.950000000000003</v>
      </c>
      <c r="G826" s="10">
        <v>0.72</v>
      </c>
      <c r="H826" s="10">
        <v>2.88</v>
      </c>
      <c r="I826" s="10">
        <v>0.99</v>
      </c>
    </row>
    <row r="827" spans="1:9" x14ac:dyDescent="0.25">
      <c r="A827">
        <v>1501</v>
      </c>
      <c r="B827" s="10" t="s">
        <v>3737</v>
      </c>
      <c r="C827" s="10" t="s">
        <v>3792</v>
      </c>
      <c r="D827" s="10">
        <v>3616</v>
      </c>
      <c r="E827" s="10" t="s">
        <v>3795</v>
      </c>
      <c r="F827" s="10" t="s">
        <v>2625</v>
      </c>
      <c r="G827" s="10" t="s">
        <v>2366</v>
      </c>
      <c r="H827" s="10" t="s">
        <v>3566</v>
      </c>
      <c r="I827" s="10" t="s">
        <v>2368</v>
      </c>
    </row>
    <row r="828" spans="1:9" x14ac:dyDescent="0.25">
      <c r="A828">
        <v>1502</v>
      </c>
      <c r="B828" s="10" t="s">
        <v>3737</v>
      </c>
      <c r="C828" s="10" t="s">
        <v>3792</v>
      </c>
      <c r="D828" s="10">
        <v>3617</v>
      </c>
      <c r="E828" s="10" t="s">
        <v>3796</v>
      </c>
      <c r="F828" s="10">
        <v>35.950000000000003</v>
      </c>
      <c r="G828" s="10">
        <v>0.72</v>
      </c>
      <c r="H828" s="10">
        <v>2.88</v>
      </c>
      <c r="I828" s="10">
        <v>0.99</v>
      </c>
    </row>
    <row r="829" spans="1:9" x14ac:dyDescent="0.25">
      <c r="A829">
        <v>1503</v>
      </c>
      <c r="B829" s="10" t="s">
        <v>3737</v>
      </c>
      <c r="C829" s="10" t="s">
        <v>3792</v>
      </c>
      <c r="D829" s="10">
        <v>3620</v>
      </c>
      <c r="E829" s="10" t="s">
        <v>3797</v>
      </c>
      <c r="F829" s="10" t="s">
        <v>2625</v>
      </c>
      <c r="G829" s="10" t="s">
        <v>2366</v>
      </c>
      <c r="H829" s="10" t="s">
        <v>3566</v>
      </c>
      <c r="I829" s="10" t="s">
        <v>2368</v>
      </c>
    </row>
    <row r="830" spans="1:9" x14ac:dyDescent="0.25">
      <c r="A830">
        <v>1507</v>
      </c>
      <c r="B830" s="10" t="s">
        <v>3737</v>
      </c>
      <c r="C830" s="10" t="s">
        <v>3798</v>
      </c>
      <c r="D830" s="10">
        <v>3621</v>
      </c>
      <c r="E830" s="10" t="s">
        <v>3799</v>
      </c>
      <c r="F830" s="10" t="s">
        <v>2928</v>
      </c>
      <c r="G830" s="10" t="s">
        <v>2537</v>
      </c>
      <c r="H830" s="10" t="s">
        <v>3566</v>
      </c>
      <c r="I830" s="10" t="s">
        <v>2368</v>
      </c>
    </row>
    <row r="831" spans="1:9" x14ac:dyDescent="0.25">
      <c r="A831">
        <v>1484</v>
      </c>
      <c r="B831" s="10" t="s">
        <v>3737</v>
      </c>
      <c r="C831" s="10" t="s">
        <v>3783</v>
      </c>
      <c r="D831" s="10">
        <v>3622</v>
      </c>
      <c r="E831" s="10" t="s">
        <v>3800</v>
      </c>
      <c r="F831" s="10" t="s">
        <v>3801</v>
      </c>
      <c r="G831" s="10" t="s">
        <v>3074</v>
      </c>
      <c r="H831" s="10" t="s">
        <v>3802</v>
      </c>
      <c r="I831" s="10" t="s">
        <v>2213</v>
      </c>
    </row>
    <row r="832" spans="1:9" x14ac:dyDescent="0.25">
      <c r="A832">
        <v>1485</v>
      </c>
      <c r="B832" s="10" t="s">
        <v>3737</v>
      </c>
      <c r="C832" s="10" t="s">
        <v>3783</v>
      </c>
      <c r="D832" s="10">
        <v>3624</v>
      </c>
      <c r="E832" s="10" t="s">
        <v>3803</v>
      </c>
      <c r="F832" s="10" t="s">
        <v>3277</v>
      </c>
      <c r="G832" s="10" t="s">
        <v>2966</v>
      </c>
      <c r="H832" s="10" t="s">
        <v>3804</v>
      </c>
      <c r="I832" s="10" t="s">
        <v>2880</v>
      </c>
    </row>
    <row r="833" spans="1:9" x14ac:dyDescent="0.25">
      <c r="A833">
        <v>1504</v>
      </c>
      <c r="B833" s="10" t="s">
        <v>3737</v>
      </c>
      <c r="C833" s="10" t="s">
        <v>3805</v>
      </c>
      <c r="D833" s="10">
        <v>3625</v>
      </c>
      <c r="E833" s="10" t="s">
        <v>3806</v>
      </c>
      <c r="F833" s="10" t="s">
        <v>2830</v>
      </c>
      <c r="G833" s="10" t="s">
        <v>3074</v>
      </c>
      <c r="H833" s="10" t="s">
        <v>2994</v>
      </c>
      <c r="I833" s="10" t="s">
        <v>2213</v>
      </c>
    </row>
    <row r="834" spans="1:9" x14ac:dyDescent="0.25">
      <c r="A834">
        <v>1505</v>
      </c>
      <c r="B834" s="10" t="s">
        <v>3737</v>
      </c>
      <c r="C834" s="10" t="s">
        <v>3805</v>
      </c>
      <c r="D834" s="10">
        <v>3626</v>
      </c>
      <c r="E834" s="10" t="s">
        <v>3807</v>
      </c>
      <c r="F834" s="10" t="s">
        <v>2830</v>
      </c>
      <c r="G834" s="10" t="s">
        <v>3074</v>
      </c>
      <c r="H834" s="10" t="s">
        <v>2994</v>
      </c>
      <c r="I834" s="10" t="s">
        <v>2213</v>
      </c>
    </row>
    <row r="835" spans="1:9" x14ac:dyDescent="0.25">
      <c r="A835">
        <v>1486</v>
      </c>
      <c r="B835" s="10" t="s">
        <v>3737</v>
      </c>
      <c r="C835" s="10" t="s">
        <v>3783</v>
      </c>
      <c r="D835" s="10">
        <v>3627</v>
      </c>
      <c r="E835" s="10" t="s">
        <v>3808</v>
      </c>
      <c r="F835" s="10" t="s">
        <v>2702</v>
      </c>
      <c r="G835" s="10" t="s">
        <v>2555</v>
      </c>
      <c r="H835" s="10" t="s">
        <v>3809</v>
      </c>
      <c r="I835" s="10" t="s">
        <v>2477</v>
      </c>
    </row>
    <row r="836" spans="1:9" x14ac:dyDescent="0.25">
      <c r="A836">
        <v>1487</v>
      </c>
      <c r="B836" s="10" t="s">
        <v>3737</v>
      </c>
      <c r="C836" s="10" t="s">
        <v>3783</v>
      </c>
      <c r="D836" s="10">
        <v>3630</v>
      </c>
      <c r="E836" s="10" t="s">
        <v>3810</v>
      </c>
      <c r="F836" s="10" t="s">
        <v>2893</v>
      </c>
      <c r="G836" s="10" t="s">
        <v>3811</v>
      </c>
      <c r="H836" s="10" t="s">
        <v>3812</v>
      </c>
      <c r="I836" s="10" t="s">
        <v>2315</v>
      </c>
    </row>
    <row r="837" spans="1:9" x14ac:dyDescent="0.25">
      <c r="A837">
        <v>1508</v>
      </c>
      <c r="B837" s="10" t="s">
        <v>3737</v>
      </c>
      <c r="C837" s="10" t="s">
        <v>3798</v>
      </c>
      <c r="D837" s="10">
        <v>3631</v>
      </c>
      <c r="E837" s="10" t="s">
        <v>3813</v>
      </c>
      <c r="F837" s="10" t="s">
        <v>2928</v>
      </c>
      <c r="G837" s="10" t="s">
        <v>2537</v>
      </c>
      <c r="H837" s="10" t="s">
        <v>3566</v>
      </c>
      <c r="I837" s="10" t="s">
        <v>2368</v>
      </c>
    </row>
    <row r="838" spans="1:9" x14ac:dyDescent="0.25">
      <c r="A838">
        <v>1488</v>
      </c>
      <c r="B838" s="10" t="s">
        <v>3737</v>
      </c>
      <c r="C838" s="10" t="s">
        <v>3783</v>
      </c>
      <c r="D838" s="10">
        <v>3632</v>
      </c>
      <c r="E838" s="10" t="s">
        <v>3814</v>
      </c>
      <c r="F838" s="10" t="s">
        <v>2470</v>
      </c>
      <c r="G838" s="10" t="s">
        <v>2725</v>
      </c>
      <c r="H838" s="10" t="s">
        <v>3815</v>
      </c>
      <c r="I838" s="10" t="s">
        <v>2425</v>
      </c>
    </row>
    <row r="839" spans="1:9" x14ac:dyDescent="0.25">
      <c r="A839">
        <v>1489</v>
      </c>
      <c r="B839" s="10" t="s">
        <v>3737</v>
      </c>
      <c r="C839" s="10" t="s">
        <v>3783</v>
      </c>
      <c r="D839" s="10">
        <v>3633</v>
      </c>
      <c r="E839" s="10" t="s">
        <v>3816</v>
      </c>
      <c r="F839" s="10" t="s">
        <v>2740</v>
      </c>
      <c r="G839" s="10" t="s">
        <v>3817</v>
      </c>
      <c r="H839" s="10" t="s">
        <v>3818</v>
      </c>
      <c r="I839" s="10" t="s">
        <v>2336</v>
      </c>
    </row>
    <row r="840" spans="1:9" x14ac:dyDescent="0.25">
      <c r="A840">
        <v>1490</v>
      </c>
      <c r="B840" s="10" t="s">
        <v>3737</v>
      </c>
      <c r="C840" s="10" t="s">
        <v>3783</v>
      </c>
      <c r="D840" s="10">
        <v>3634</v>
      </c>
      <c r="E840" s="10" t="s">
        <v>3819</v>
      </c>
      <c r="F840" s="10" t="s">
        <v>2470</v>
      </c>
      <c r="G840" s="10" t="s">
        <v>2725</v>
      </c>
      <c r="H840" s="10" t="s">
        <v>3815</v>
      </c>
      <c r="I840" s="10" t="s">
        <v>2425</v>
      </c>
    </row>
    <row r="841" spans="1:9" x14ac:dyDescent="0.25">
      <c r="A841">
        <v>1491</v>
      </c>
      <c r="B841" s="10" t="s">
        <v>3737</v>
      </c>
      <c r="C841" s="10" t="s">
        <v>3783</v>
      </c>
      <c r="D841" s="10">
        <v>3637</v>
      </c>
      <c r="E841" s="10" t="s">
        <v>3820</v>
      </c>
      <c r="F841" s="10" t="s">
        <v>3525</v>
      </c>
      <c r="G841" s="10" t="s">
        <v>3279</v>
      </c>
      <c r="H841" s="10" t="s">
        <v>3821</v>
      </c>
      <c r="I841" s="10" t="s">
        <v>2496</v>
      </c>
    </row>
    <row r="842" spans="1:9" x14ac:dyDescent="0.25">
      <c r="A842">
        <v>1492</v>
      </c>
      <c r="B842" s="10" t="s">
        <v>3737</v>
      </c>
      <c r="C842" s="10" t="s">
        <v>3783</v>
      </c>
      <c r="D842" s="10">
        <v>3638</v>
      </c>
      <c r="E842" s="10" t="s">
        <v>3822</v>
      </c>
      <c r="F842" s="10" t="s">
        <v>3823</v>
      </c>
      <c r="G842" s="10" t="s">
        <v>2903</v>
      </c>
      <c r="H842" s="10" t="s">
        <v>3785</v>
      </c>
      <c r="I842" s="10" t="s">
        <v>2363</v>
      </c>
    </row>
    <row r="843" spans="1:9" x14ac:dyDescent="0.25">
      <c r="A843">
        <v>1493</v>
      </c>
      <c r="B843" s="10" t="s">
        <v>3737</v>
      </c>
      <c r="C843" s="10" t="s">
        <v>3783</v>
      </c>
      <c r="D843" s="10">
        <v>3639</v>
      </c>
      <c r="E843" s="10" t="s">
        <v>3824</v>
      </c>
      <c r="F843" s="10" t="s">
        <v>3823</v>
      </c>
      <c r="G843" s="10" t="s">
        <v>2903</v>
      </c>
      <c r="H843" s="10" t="s">
        <v>3785</v>
      </c>
      <c r="I843" s="10" t="s">
        <v>2363</v>
      </c>
    </row>
    <row r="844" spans="1:9" x14ac:dyDescent="0.25">
      <c r="A844">
        <v>1494</v>
      </c>
      <c r="B844" s="10" t="s">
        <v>3737</v>
      </c>
      <c r="C844" s="10" t="s">
        <v>3783</v>
      </c>
      <c r="D844" s="10">
        <v>3640</v>
      </c>
      <c r="E844" s="10" t="s">
        <v>3825</v>
      </c>
      <c r="F844" s="10" t="s">
        <v>3823</v>
      </c>
      <c r="G844" s="10" t="s">
        <v>2903</v>
      </c>
      <c r="H844" s="10" t="s">
        <v>3785</v>
      </c>
      <c r="I844" s="10" t="s">
        <v>2363</v>
      </c>
    </row>
    <row r="845" spans="1:9" x14ac:dyDescent="0.25">
      <c r="A845">
        <v>1495</v>
      </c>
      <c r="B845" s="10" t="s">
        <v>3737</v>
      </c>
      <c r="C845" s="10" t="s">
        <v>3783</v>
      </c>
      <c r="D845" s="10">
        <v>3645</v>
      </c>
      <c r="E845" s="10" t="s">
        <v>3826</v>
      </c>
      <c r="F845" s="10" t="s">
        <v>2466</v>
      </c>
      <c r="G845" s="10" t="s">
        <v>2467</v>
      </c>
      <c r="H845" s="10" t="s">
        <v>2988</v>
      </c>
      <c r="I845" s="10" t="s">
        <v>2319</v>
      </c>
    </row>
    <row r="846" spans="1:9" x14ac:dyDescent="0.25">
      <c r="A846">
        <v>1496</v>
      </c>
      <c r="B846" s="10" t="s">
        <v>3737</v>
      </c>
      <c r="C846" s="10" t="s">
        <v>3783</v>
      </c>
      <c r="D846" s="10">
        <v>3646</v>
      </c>
      <c r="E846" s="10" t="s">
        <v>3827</v>
      </c>
      <c r="F846" s="10" t="s">
        <v>2360</v>
      </c>
      <c r="G846" s="10" t="s">
        <v>2361</v>
      </c>
      <c r="H846" s="10" t="s">
        <v>3785</v>
      </c>
      <c r="I846" s="10" t="s">
        <v>2363</v>
      </c>
    </row>
    <row r="847" spans="1:9" x14ac:dyDescent="0.25">
      <c r="A847">
        <v>1510</v>
      </c>
      <c r="B847" s="10" t="s">
        <v>3737</v>
      </c>
      <c r="C847" s="10" t="s">
        <v>3828</v>
      </c>
      <c r="D847" s="10">
        <v>3647</v>
      </c>
      <c r="E847" s="10" t="s">
        <v>3829</v>
      </c>
      <c r="F847" s="10" t="s">
        <v>2461</v>
      </c>
      <c r="G847" s="10" t="s">
        <v>2281</v>
      </c>
      <c r="H847" s="10" t="s">
        <v>2309</v>
      </c>
      <c r="I847" s="10" t="s">
        <v>2449</v>
      </c>
    </row>
    <row r="848" spans="1:9" x14ac:dyDescent="0.25">
      <c r="A848">
        <v>1511</v>
      </c>
      <c r="B848" s="10" t="s">
        <v>3737</v>
      </c>
      <c r="C848" s="10" t="s">
        <v>3828</v>
      </c>
      <c r="D848" s="10">
        <v>3648</v>
      </c>
      <c r="E848" s="10" t="s">
        <v>3830</v>
      </c>
      <c r="F848" s="10" t="s">
        <v>2461</v>
      </c>
      <c r="G848" s="10" t="s">
        <v>2281</v>
      </c>
      <c r="H848" s="10" t="s">
        <v>2309</v>
      </c>
      <c r="I848" s="10" t="s">
        <v>2449</v>
      </c>
    </row>
    <row r="849" spans="1:9" x14ac:dyDescent="0.25">
      <c r="A849">
        <v>1512</v>
      </c>
      <c r="B849" s="10" t="s">
        <v>3737</v>
      </c>
      <c r="C849" s="10" t="s">
        <v>3828</v>
      </c>
      <c r="D849" s="10">
        <v>3649</v>
      </c>
      <c r="E849" s="10" t="s">
        <v>3831</v>
      </c>
      <c r="F849" s="10" t="s">
        <v>2461</v>
      </c>
      <c r="G849" s="10" t="s">
        <v>2281</v>
      </c>
      <c r="H849" s="10" t="s">
        <v>2309</v>
      </c>
      <c r="I849" s="10" t="s">
        <v>2449</v>
      </c>
    </row>
    <row r="850" spans="1:9" x14ac:dyDescent="0.25">
      <c r="A850">
        <v>1509</v>
      </c>
      <c r="B850" s="10" t="s">
        <v>3737</v>
      </c>
      <c r="C850" s="10" t="s">
        <v>3832</v>
      </c>
      <c r="D850" s="10">
        <v>3664</v>
      </c>
      <c r="E850" s="10" t="s">
        <v>3833</v>
      </c>
      <c r="F850" s="10" t="s">
        <v>2969</v>
      </c>
      <c r="G850" s="10" t="s">
        <v>2914</v>
      </c>
      <c r="H850" s="10" t="s">
        <v>3834</v>
      </c>
      <c r="I850" s="10" t="s">
        <v>2341</v>
      </c>
    </row>
    <row r="851" spans="1:9" x14ac:dyDescent="0.25">
      <c r="A851">
        <v>1544</v>
      </c>
      <c r="B851" s="10" t="s">
        <v>2671</v>
      </c>
      <c r="C851" s="10" t="s">
        <v>3737</v>
      </c>
      <c r="D851" s="10">
        <v>3666</v>
      </c>
      <c r="E851" s="10" t="s">
        <v>3835</v>
      </c>
      <c r="F851" s="10" t="s">
        <v>3836</v>
      </c>
      <c r="G851" s="10" t="s">
        <v>2501</v>
      </c>
      <c r="H851" s="10" t="s">
        <v>3837</v>
      </c>
      <c r="I851" s="10" t="s">
        <v>2503</v>
      </c>
    </row>
    <row r="852" spans="1:9" x14ac:dyDescent="0.25">
      <c r="A852">
        <v>1506</v>
      </c>
      <c r="B852" s="10" t="s">
        <v>3737</v>
      </c>
      <c r="C852" s="10" t="s">
        <v>3805</v>
      </c>
      <c r="D852" s="10">
        <v>3669</v>
      </c>
      <c r="E852" s="10" t="s">
        <v>3838</v>
      </c>
      <c r="F852" s="10" t="s">
        <v>3839</v>
      </c>
      <c r="G852" s="10" t="s">
        <v>3478</v>
      </c>
      <c r="H852" s="10" t="s">
        <v>3840</v>
      </c>
      <c r="I852" s="10" t="s">
        <v>3016</v>
      </c>
    </row>
    <row r="853" spans="1:9" x14ac:dyDescent="0.25">
      <c r="A853">
        <v>1545</v>
      </c>
      <c r="B853" s="10" t="s">
        <v>2671</v>
      </c>
      <c r="C853" s="10" t="s">
        <v>3737</v>
      </c>
      <c r="D853" s="10">
        <v>3670</v>
      </c>
      <c r="E853" s="10" t="s">
        <v>3841</v>
      </c>
      <c r="F853" s="10" t="s">
        <v>3842</v>
      </c>
      <c r="G853" s="10" t="s">
        <v>3843</v>
      </c>
      <c r="H853" s="10" t="s">
        <v>3821</v>
      </c>
      <c r="I853" s="10" t="s">
        <v>2496</v>
      </c>
    </row>
    <row r="854" spans="1:9" x14ac:dyDescent="0.25">
      <c r="A854">
        <v>1546</v>
      </c>
      <c r="B854" s="10" t="s">
        <v>2671</v>
      </c>
      <c r="C854" s="10" t="s">
        <v>3737</v>
      </c>
      <c r="D854" s="10">
        <v>3671</v>
      </c>
      <c r="E854" s="10" t="s">
        <v>3844</v>
      </c>
      <c r="F854" s="10" t="s">
        <v>3845</v>
      </c>
      <c r="G854" s="10" t="s">
        <v>2903</v>
      </c>
      <c r="H854" s="10" t="s">
        <v>3785</v>
      </c>
      <c r="I854" s="10" t="s">
        <v>2363</v>
      </c>
    </row>
    <row r="855" spans="1:9" x14ac:dyDescent="0.25">
      <c r="A855">
        <v>1497</v>
      </c>
      <c r="B855" s="10" t="s">
        <v>3737</v>
      </c>
      <c r="C855" s="10" t="s">
        <v>3783</v>
      </c>
      <c r="D855" s="10">
        <v>3672</v>
      </c>
      <c r="E855" s="10" t="s">
        <v>3846</v>
      </c>
      <c r="F855" s="10" t="s">
        <v>2541</v>
      </c>
      <c r="G855" s="10" t="s">
        <v>2545</v>
      </c>
      <c r="H855" s="10" t="s">
        <v>3847</v>
      </c>
      <c r="I855" s="10" t="s">
        <v>2547</v>
      </c>
    </row>
    <row r="856" spans="1:9" x14ac:dyDescent="0.25">
      <c r="A856">
        <v>1498</v>
      </c>
      <c r="B856" s="10" t="s">
        <v>3737</v>
      </c>
      <c r="C856" s="10" t="s">
        <v>3783</v>
      </c>
      <c r="D856" s="10">
        <v>3673</v>
      </c>
      <c r="E856" s="10" t="s">
        <v>3848</v>
      </c>
      <c r="F856" s="10" t="s">
        <v>2541</v>
      </c>
      <c r="G856" s="10" t="s">
        <v>2545</v>
      </c>
      <c r="H856" s="10" t="s">
        <v>3847</v>
      </c>
      <c r="I856" s="10" t="s">
        <v>2547</v>
      </c>
    </row>
    <row r="857" spans="1:9" x14ac:dyDescent="0.25">
      <c r="A857">
        <v>1513</v>
      </c>
      <c r="B857" s="10" t="s">
        <v>3737</v>
      </c>
      <c r="C857" s="10" t="s">
        <v>3849</v>
      </c>
      <c r="D857" s="10">
        <v>3675</v>
      </c>
      <c r="E857" s="10" t="s">
        <v>3850</v>
      </c>
      <c r="F857" s="10" t="s">
        <v>2400</v>
      </c>
      <c r="G857" s="10" t="s">
        <v>2401</v>
      </c>
      <c r="H857" s="10" t="s">
        <v>3851</v>
      </c>
      <c r="I857" s="10" t="s">
        <v>2403</v>
      </c>
    </row>
    <row r="858" spans="1:9" x14ac:dyDescent="0.25">
      <c r="A858">
        <v>1514</v>
      </c>
      <c r="B858" s="10" t="s">
        <v>3737</v>
      </c>
      <c r="C858" s="10" t="s">
        <v>3849</v>
      </c>
      <c r="D858" s="10">
        <v>3676</v>
      </c>
      <c r="E858" s="10" t="s">
        <v>3852</v>
      </c>
      <c r="F858" s="10" t="s">
        <v>2284</v>
      </c>
      <c r="G858" s="10" t="s">
        <v>2221</v>
      </c>
      <c r="H858" s="10" t="s">
        <v>3853</v>
      </c>
      <c r="I858" s="10" t="s">
        <v>2223</v>
      </c>
    </row>
    <row r="859" spans="1:9" x14ac:dyDescent="0.25">
      <c r="A859">
        <v>1547</v>
      </c>
      <c r="B859" s="10" t="s">
        <v>2671</v>
      </c>
      <c r="C859" s="10" t="s">
        <v>3737</v>
      </c>
      <c r="D859" s="10">
        <v>3677</v>
      </c>
      <c r="E859" s="10" t="s">
        <v>3854</v>
      </c>
      <c r="F859" s="10" t="s">
        <v>3855</v>
      </c>
      <c r="G859" s="10" t="s">
        <v>2259</v>
      </c>
      <c r="H859" s="10" t="s">
        <v>3812</v>
      </c>
      <c r="I859" s="10" t="s">
        <v>2315</v>
      </c>
    </row>
    <row r="860" spans="1:9" x14ac:dyDescent="0.25">
      <c r="A860">
        <v>1632</v>
      </c>
      <c r="B860" s="10" t="s">
        <v>3315</v>
      </c>
      <c r="C860" s="10" t="s">
        <v>3856</v>
      </c>
      <c r="D860" s="10">
        <v>3680</v>
      </c>
      <c r="E860" s="10" t="s">
        <v>3857</v>
      </c>
      <c r="F860" s="10" t="s">
        <v>3858</v>
      </c>
      <c r="G860" s="10" t="s">
        <v>2626</v>
      </c>
      <c r="H860" s="10" t="s">
        <v>3859</v>
      </c>
      <c r="I860" s="10" t="s">
        <v>3199</v>
      </c>
    </row>
    <row r="861" spans="1:9" x14ac:dyDescent="0.25">
      <c r="A861">
        <v>1633</v>
      </c>
      <c r="B861" s="10" t="s">
        <v>3315</v>
      </c>
      <c r="C861" s="10" t="s">
        <v>3856</v>
      </c>
      <c r="D861" s="10">
        <v>3681</v>
      </c>
      <c r="E861" s="10" t="s">
        <v>3860</v>
      </c>
      <c r="F861" s="10" t="s">
        <v>3858</v>
      </c>
      <c r="G861" s="10" t="s">
        <v>2626</v>
      </c>
      <c r="H861" s="10" t="s">
        <v>3861</v>
      </c>
      <c r="I861" s="10" t="s">
        <v>3199</v>
      </c>
    </row>
    <row r="862" spans="1:9" x14ac:dyDescent="0.25">
      <c r="A862">
        <v>514</v>
      </c>
      <c r="B862" s="10" t="s">
        <v>2622</v>
      </c>
      <c r="C862" s="10" t="s">
        <v>3780</v>
      </c>
      <c r="D862" s="10">
        <v>3686</v>
      </c>
      <c r="E862" s="10" t="s">
        <v>3862</v>
      </c>
      <c r="F862" s="10" t="s">
        <v>2690</v>
      </c>
      <c r="G862" s="10" t="s">
        <v>2691</v>
      </c>
      <c r="H862" s="10" t="s">
        <v>3139</v>
      </c>
      <c r="I862" s="10" t="s">
        <v>2315</v>
      </c>
    </row>
    <row r="863" spans="1:9" x14ac:dyDescent="0.25">
      <c r="A863">
        <v>1548</v>
      </c>
      <c r="B863" s="10" t="s">
        <v>2671</v>
      </c>
      <c r="C863" s="10" t="s">
        <v>3737</v>
      </c>
      <c r="D863" s="10">
        <v>3687</v>
      </c>
      <c r="E863" s="10" t="s">
        <v>3863</v>
      </c>
      <c r="F863" s="10" t="s">
        <v>3864</v>
      </c>
      <c r="G863" s="10" t="s">
        <v>2286</v>
      </c>
      <c r="H863" s="10" t="s">
        <v>2362</v>
      </c>
      <c r="I863" s="10" t="s">
        <v>2449</v>
      </c>
    </row>
    <row r="864" spans="1:9" x14ac:dyDescent="0.25">
      <c r="A864">
        <v>515</v>
      </c>
      <c r="B864" s="10" t="s">
        <v>2622</v>
      </c>
      <c r="C864" s="10" t="s">
        <v>3780</v>
      </c>
      <c r="D864" s="10">
        <v>3690</v>
      </c>
      <c r="E864" s="10" t="s">
        <v>3865</v>
      </c>
      <c r="F864" s="10" t="s">
        <v>2702</v>
      </c>
      <c r="G864" s="10" t="s">
        <v>2267</v>
      </c>
      <c r="H864" s="10" t="s">
        <v>3866</v>
      </c>
      <c r="I864" s="10" t="s">
        <v>2269</v>
      </c>
    </row>
    <row r="865" spans="1:9" x14ac:dyDescent="0.25">
      <c r="A865">
        <v>516</v>
      </c>
      <c r="B865" s="10" t="s">
        <v>2622</v>
      </c>
      <c r="C865" s="10" t="s">
        <v>3780</v>
      </c>
      <c r="D865" s="10">
        <v>3691</v>
      </c>
      <c r="E865" s="10" t="s">
        <v>3867</v>
      </c>
      <c r="F865" s="10" t="s">
        <v>2446</v>
      </c>
      <c r="G865" s="10" t="s">
        <v>2447</v>
      </c>
      <c r="H865" s="10" t="s">
        <v>3868</v>
      </c>
      <c r="I865" s="10" t="s">
        <v>2449</v>
      </c>
    </row>
    <row r="866" spans="1:9" x14ac:dyDescent="0.25">
      <c r="A866">
        <v>1521</v>
      </c>
      <c r="B866" s="10" t="s">
        <v>2671</v>
      </c>
      <c r="C866" s="10" t="s">
        <v>2622</v>
      </c>
      <c r="D866" s="10">
        <v>3694</v>
      </c>
      <c r="E866" s="10" t="s">
        <v>3869</v>
      </c>
      <c r="F866" s="10">
        <v>860.95</v>
      </c>
      <c r="G866" s="10">
        <v>1.89</v>
      </c>
      <c r="H866" s="10">
        <v>0</v>
      </c>
      <c r="I866" s="10">
        <v>0</v>
      </c>
    </row>
    <row r="867" spans="1:9" x14ac:dyDescent="0.25">
      <c r="A867">
        <v>517</v>
      </c>
      <c r="B867" s="10" t="s">
        <v>2622</v>
      </c>
      <c r="C867" s="10" t="s">
        <v>3780</v>
      </c>
      <c r="D867" s="10">
        <v>3695</v>
      </c>
      <c r="E867" s="10" t="s">
        <v>3870</v>
      </c>
      <c r="F867" s="10" t="s">
        <v>2702</v>
      </c>
      <c r="G867" s="10" t="s">
        <v>2267</v>
      </c>
      <c r="H867" s="10" t="s">
        <v>3866</v>
      </c>
      <c r="I867" s="10" t="s">
        <v>2269</v>
      </c>
    </row>
    <row r="868" spans="1:9" x14ac:dyDescent="0.25">
      <c r="A868">
        <v>518</v>
      </c>
      <c r="B868" s="10" t="s">
        <v>2622</v>
      </c>
      <c r="C868" s="10" t="s">
        <v>3780</v>
      </c>
      <c r="D868" s="10">
        <v>3696</v>
      </c>
      <c r="E868" s="10" t="s">
        <v>3871</v>
      </c>
      <c r="F868" s="10" t="s">
        <v>2446</v>
      </c>
      <c r="G868" s="10" t="s">
        <v>2447</v>
      </c>
      <c r="H868" s="10" t="s">
        <v>3868</v>
      </c>
      <c r="I868" s="10" t="s">
        <v>2449</v>
      </c>
    </row>
    <row r="869" spans="1:9" x14ac:dyDescent="0.25">
      <c r="A869">
        <v>543</v>
      </c>
      <c r="B869" s="10" t="s">
        <v>3258</v>
      </c>
      <c r="C869" s="10" t="s">
        <v>3872</v>
      </c>
      <c r="D869" s="10">
        <v>3706</v>
      </c>
      <c r="E869" s="10" t="s">
        <v>3873</v>
      </c>
      <c r="F869" s="10" t="s">
        <v>3874</v>
      </c>
      <c r="G869" s="10" t="s">
        <v>2561</v>
      </c>
      <c r="H869" s="10" t="s">
        <v>2868</v>
      </c>
      <c r="I869" s="10" t="s">
        <v>2374</v>
      </c>
    </row>
    <row r="870" spans="1:9" x14ac:dyDescent="0.25">
      <c r="A870">
        <v>1583</v>
      </c>
      <c r="B870" s="10" t="s">
        <v>3875</v>
      </c>
      <c r="C870" s="10" t="s">
        <v>3876</v>
      </c>
      <c r="D870" s="10">
        <v>3713</v>
      </c>
      <c r="E870" s="10" t="s">
        <v>3877</v>
      </c>
      <c r="F870" s="10" t="s">
        <v>3221</v>
      </c>
      <c r="G870" s="10" t="s">
        <v>2501</v>
      </c>
      <c r="H870" s="10" t="s">
        <v>2694</v>
      </c>
      <c r="I870" s="10" t="s">
        <v>2503</v>
      </c>
    </row>
    <row r="871" spans="1:9" x14ac:dyDescent="0.25">
      <c r="A871">
        <v>1584</v>
      </c>
      <c r="B871" s="10" t="s">
        <v>3875</v>
      </c>
      <c r="C871" s="10" t="s">
        <v>3876</v>
      </c>
      <c r="D871" s="10">
        <v>3714</v>
      </c>
      <c r="E871" s="10" t="s">
        <v>3878</v>
      </c>
      <c r="F871" s="10" t="s">
        <v>3221</v>
      </c>
      <c r="G871" s="10" t="s">
        <v>2501</v>
      </c>
      <c r="H871" s="10" t="s">
        <v>2694</v>
      </c>
      <c r="I871" s="10" t="s">
        <v>2503</v>
      </c>
    </row>
    <row r="872" spans="1:9" x14ac:dyDescent="0.25">
      <c r="A872">
        <v>565</v>
      </c>
      <c r="B872" s="10" t="s">
        <v>3258</v>
      </c>
      <c r="C872" s="10" t="s">
        <v>3879</v>
      </c>
      <c r="D872" s="10">
        <v>3718</v>
      </c>
      <c r="E872" s="10" t="s">
        <v>3880</v>
      </c>
      <c r="F872" s="10" t="s">
        <v>3065</v>
      </c>
      <c r="G872" s="10" t="s">
        <v>2431</v>
      </c>
      <c r="H872" s="10" t="s">
        <v>2378</v>
      </c>
      <c r="I872" s="10" t="s">
        <v>2123</v>
      </c>
    </row>
    <row r="873" spans="1:9" x14ac:dyDescent="0.25">
      <c r="A873">
        <v>487</v>
      </c>
      <c r="B873" s="10" t="s">
        <v>3881</v>
      </c>
      <c r="C873" s="10" t="s">
        <v>3881</v>
      </c>
      <c r="D873" s="10">
        <v>3721</v>
      </c>
      <c r="E873" s="10" t="s">
        <v>3882</v>
      </c>
      <c r="F873" s="10" t="s">
        <v>2598</v>
      </c>
      <c r="G873" s="10" t="s">
        <v>2368</v>
      </c>
      <c r="H873" s="10" t="s">
        <v>3883</v>
      </c>
      <c r="I873" s="10" t="s">
        <v>2246</v>
      </c>
    </row>
    <row r="874" spans="1:9" x14ac:dyDescent="0.25">
      <c r="A874">
        <v>628</v>
      </c>
      <c r="B874" s="10" t="s">
        <v>3258</v>
      </c>
      <c r="C874" s="10" t="s">
        <v>3259</v>
      </c>
      <c r="D874" s="10">
        <v>3724</v>
      </c>
      <c r="E874" s="10" t="s">
        <v>3884</v>
      </c>
      <c r="F874" s="10" t="s">
        <v>2365</v>
      </c>
      <c r="G874" s="10" t="s">
        <v>2366</v>
      </c>
      <c r="H874" s="10" t="s">
        <v>3885</v>
      </c>
      <c r="I874" s="10" t="s">
        <v>2315</v>
      </c>
    </row>
    <row r="875" spans="1:9" x14ac:dyDescent="0.25">
      <c r="A875">
        <v>629</v>
      </c>
      <c r="B875" s="10" t="s">
        <v>3258</v>
      </c>
      <c r="C875" s="10" t="s">
        <v>3259</v>
      </c>
      <c r="D875" s="10">
        <v>3726</v>
      </c>
      <c r="E875" s="10" t="s">
        <v>3886</v>
      </c>
      <c r="F875" s="10" t="s">
        <v>2228</v>
      </c>
      <c r="G875" s="10" t="s">
        <v>2229</v>
      </c>
      <c r="H875" s="10" t="s">
        <v>3887</v>
      </c>
      <c r="I875" s="10" t="s">
        <v>3353</v>
      </c>
    </row>
    <row r="876" spans="1:9" x14ac:dyDescent="0.25">
      <c r="A876">
        <v>630</v>
      </c>
      <c r="B876" s="10" t="s">
        <v>3258</v>
      </c>
      <c r="C876" s="10" t="s">
        <v>3259</v>
      </c>
      <c r="D876" s="10">
        <v>3727</v>
      </c>
      <c r="E876" s="10" t="s">
        <v>3888</v>
      </c>
      <c r="F876" s="10" t="s">
        <v>2557</v>
      </c>
      <c r="G876" s="10" t="s">
        <v>2477</v>
      </c>
      <c r="H876" s="10" t="s">
        <v>3889</v>
      </c>
      <c r="I876" s="10" t="s">
        <v>2403</v>
      </c>
    </row>
    <row r="877" spans="1:9" x14ac:dyDescent="0.25">
      <c r="A877">
        <v>631</v>
      </c>
      <c r="B877" s="10" t="s">
        <v>3258</v>
      </c>
      <c r="C877" s="10" t="s">
        <v>3259</v>
      </c>
      <c r="D877" s="10">
        <v>3728</v>
      </c>
      <c r="E877" s="10" t="s">
        <v>3890</v>
      </c>
      <c r="F877" s="10" t="s">
        <v>2347</v>
      </c>
      <c r="G877" s="10" t="s">
        <v>2348</v>
      </c>
      <c r="H877" s="10" t="s">
        <v>3891</v>
      </c>
      <c r="I877" s="10" t="s">
        <v>2231</v>
      </c>
    </row>
    <row r="878" spans="1:9" x14ac:dyDescent="0.25">
      <c r="A878">
        <v>632</v>
      </c>
      <c r="B878" s="10" t="s">
        <v>3258</v>
      </c>
      <c r="C878" s="10" t="s">
        <v>3259</v>
      </c>
      <c r="D878" s="10">
        <v>3729</v>
      </c>
      <c r="E878" s="10" t="s">
        <v>3892</v>
      </c>
      <c r="F878" s="10" t="s">
        <v>2248</v>
      </c>
      <c r="G878" s="10" t="s">
        <v>2246</v>
      </c>
      <c r="H878" s="10" t="s">
        <v>3893</v>
      </c>
      <c r="I878" s="10" t="s">
        <v>2547</v>
      </c>
    </row>
    <row r="879" spans="1:9" x14ac:dyDescent="0.25">
      <c r="A879">
        <v>633</v>
      </c>
      <c r="B879" s="10" t="s">
        <v>3258</v>
      </c>
      <c r="C879" s="10" t="s">
        <v>3259</v>
      </c>
      <c r="D879" s="10">
        <v>3732</v>
      </c>
      <c r="E879" s="10" t="s">
        <v>3894</v>
      </c>
      <c r="F879" s="10" t="s">
        <v>2248</v>
      </c>
      <c r="G879" s="10" t="s">
        <v>2246</v>
      </c>
      <c r="H879" s="10" t="s">
        <v>3895</v>
      </c>
      <c r="I879" s="10" t="s">
        <v>2547</v>
      </c>
    </row>
    <row r="880" spans="1:9" x14ac:dyDescent="0.25">
      <c r="A880">
        <v>634</v>
      </c>
      <c r="B880" s="10" t="s">
        <v>3258</v>
      </c>
      <c r="C880" s="10" t="s">
        <v>3259</v>
      </c>
      <c r="D880" s="10">
        <v>3733</v>
      </c>
      <c r="E880" s="10" t="s">
        <v>3896</v>
      </c>
      <c r="F880" s="10" t="s">
        <v>2228</v>
      </c>
      <c r="G880" s="10" t="s">
        <v>2229</v>
      </c>
      <c r="H880" s="10" t="s">
        <v>3897</v>
      </c>
      <c r="I880" s="10" t="s">
        <v>3353</v>
      </c>
    </row>
    <row r="881" spans="1:9" x14ac:dyDescent="0.25">
      <c r="A881">
        <v>741</v>
      </c>
      <c r="B881" s="10" t="s">
        <v>2633</v>
      </c>
      <c r="C881" s="10" t="s">
        <v>3898</v>
      </c>
      <c r="D881" s="10">
        <v>3734</v>
      </c>
      <c r="E881" s="10" t="s">
        <v>3899</v>
      </c>
      <c r="F881" s="10" t="s">
        <v>2720</v>
      </c>
      <c r="G881" s="10" t="s">
        <v>2665</v>
      </c>
      <c r="H881" s="10" t="s">
        <v>2475</v>
      </c>
      <c r="I881" s="10" t="s">
        <v>2496</v>
      </c>
    </row>
    <row r="882" spans="1:9" x14ac:dyDescent="0.25">
      <c r="A882">
        <v>635</v>
      </c>
      <c r="B882" s="10" t="s">
        <v>3258</v>
      </c>
      <c r="C882" s="10" t="s">
        <v>3259</v>
      </c>
      <c r="D882" s="10">
        <v>3736</v>
      </c>
      <c r="E882" s="10" t="s">
        <v>3900</v>
      </c>
      <c r="F882" s="10" t="s">
        <v>2451</v>
      </c>
      <c r="G882" s="10" t="s">
        <v>3901</v>
      </c>
      <c r="H882" s="10" t="s">
        <v>3902</v>
      </c>
      <c r="I882" s="10" t="s">
        <v>2167</v>
      </c>
    </row>
    <row r="883" spans="1:9" x14ac:dyDescent="0.25">
      <c r="A883">
        <v>636</v>
      </c>
      <c r="B883" s="10" t="s">
        <v>3258</v>
      </c>
      <c r="C883" s="10" t="s">
        <v>3259</v>
      </c>
      <c r="D883" s="10">
        <v>3737</v>
      </c>
      <c r="E883" s="10" t="s">
        <v>3903</v>
      </c>
      <c r="F883" s="10" t="s">
        <v>3904</v>
      </c>
      <c r="G883" s="10" t="s">
        <v>2939</v>
      </c>
      <c r="H883" s="10" t="s">
        <v>3905</v>
      </c>
      <c r="I883" s="10" t="s">
        <v>2368</v>
      </c>
    </row>
    <row r="884" spans="1:9" x14ac:dyDescent="0.25">
      <c r="A884">
        <v>637</v>
      </c>
      <c r="B884" s="10" t="s">
        <v>3258</v>
      </c>
      <c r="C884" s="10" t="s">
        <v>3259</v>
      </c>
      <c r="D884" s="10">
        <v>3740</v>
      </c>
      <c r="E884" s="10" t="s">
        <v>3906</v>
      </c>
      <c r="F884" s="10" t="s">
        <v>2865</v>
      </c>
      <c r="G884" s="10" t="s">
        <v>2866</v>
      </c>
      <c r="H884" s="10" t="s">
        <v>3907</v>
      </c>
      <c r="I884" s="10" t="s">
        <v>2868</v>
      </c>
    </row>
    <row r="885" spans="1:9" x14ac:dyDescent="0.25">
      <c r="A885">
        <v>638</v>
      </c>
      <c r="B885" s="10" t="s">
        <v>3258</v>
      </c>
      <c r="C885" s="10" t="s">
        <v>3259</v>
      </c>
      <c r="D885" s="10">
        <v>3741</v>
      </c>
      <c r="E885" s="10" t="s">
        <v>3908</v>
      </c>
      <c r="F885" s="10" t="s">
        <v>2400</v>
      </c>
      <c r="G885" s="10" t="s">
        <v>2401</v>
      </c>
      <c r="H885" s="10" t="s">
        <v>3909</v>
      </c>
      <c r="I885" s="10" t="s">
        <v>2231</v>
      </c>
    </row>
    <row r="886" spans="1:9" x14ac:dyDescent="0.25">
      <c r="A886">
        <v>639</v>
      </c>
      <c r="B886" s="10" t="s">
        <v>3258</v>
      </c>
      <c r="C886" s="10" t="s">
        <v>3259</v>
      </c>
      <c r="D886" s="10">
        <v>3742</v>
      </c>
      <c r="E886" s="10" t="s">
        <v>3910</v>
      </c>
      <c r="F886" s="10" t="s">
        <v>2557</v>
      </c>
      <c r="G886" s="10" t="s">
        <v>2477</v>
      </c>
      <c r="H886" s="10" t="s">
        <v>3911</v>
      </c>
      <c r="I886" s="10" t="s">
        <v>2403</v>
      </c>
    </row>
    <row r="887" spans="1:9" x14ac:dyDescent="0.25">
      <c r="A887">
        <v>640</v>
      </c>
      <c r="B887" s="10" t="s">
        <v>3258</v>
      </c>
      <c r="C887" s="10" t="s">
        <v>3259</v>
      </c>
      <c r="D887" s="10">
        <v>3743</v>
      </c>
      <c r="E887" s="10" t="s">
        <v>3912</v>
      </c>
      <c r="F887" s="10" t="s">
        <v>2220</v>
      </c>
      <c r="G887" s="10" t="s">
        <v>2475</v>
      </c>
      <c r="H887" s="10" t="s">
        <v>3913</v>
      </c>
      <c r="I887" s="10" t="s">
        <v>2477</v>
      </c>
    </row>
    <row r="888" spans="1:9" x14ac:dyDescent="0.25">
      <c r="A888">
        <v>641</v>
      </c>
      <c r="B888" s="10" t="s">
        <v>3258</v>
      </c>
      <c r="C888" s="10" t="s">
        <v>3259</v>
      </c>
      <c r="D888" s="10">
        <v>3746</v>
      </c>
      <c r="E888" s="10" t="s">
        <v>3914</v>
      </c>
      <c r="F888" s="10" t="s">
        <v>2412</v>
      </c>
      <c r="G888" s="10" t="s">
        <v>2860</v>
      </c>
      <c r="H888" s="10" t="s">
        <v>3915</v>
      </c>
      <c r="I888" s="10" t="s">
        <v>2336</v>
      </c>
    </row>
    <row r="889" spans="1:9" x14ac:dyDescent="0.25">
      <c r="A889">
        <v>642</v>
      </c>
      <c r="B889" s="10" t="s">
        <v>3258</v>
      </c>
      <c r="C889" s="10" t="s">
        <v>3259</v>
      </c>
      <c r="D889" s="10">
        <v>3748</v>
      </c>
      <c r="E889" s="10" t="s">
        <v>3916</v>
      </c>
      <c r="F889" s="10" t="s">
        <v>2898</v>
      </c>
      <c r="G889" s="10" t="s">
        <v>2555</v>
      </c>
      <c r="H889" s="10" t="s">
        <v>3917</v>
      </c>
      <c r="I889" s="10" t="s">
        <v>2336</v>
      </c>
    </row>
    <row r="890" spans="1:9" x14ac:dyDescent="0.25">
      <c r="A890">
        <v>643</v>
      </c>
      <c r="B890" s="10" t="s">
        <v>3258</v>
      </c>
      <c r="C890" s="10" t="s">
        <v>3259</v>
      </c>
      <c r="D890" s="10">
        <v>3750</v>
      </c>
      <c r="E890" s="10" t="s">
        <v>3918</v>
      </c>
      <c r="F890" s="10" t="s">
        <v>2400</v>
      </c>
      <c r="G890" s="10" t="s">
        <v>2401</v>
      </c>
      <c r="H890" s="10" t="s">
        <v>3919</v>
      </c>
      <c r="I890" s="10" t="s">
        <v>2231</v>
      </c>
    </row>
    <row r="891" spans="1:9" x14ac:dyDescent="0.25">
      <c r="A891">
        <v>644</v>
      </c>
      <c r="B891" s="10" t="s">
        <v>3258</v>
      </c>
      <c r="C891" s="10" t="s">
        <v>3259</v>
      </c>
      <c r="D891" s="10">
        <v>3756</v>
      </c>
      <c r="E891" s="10" t="s">
        <v>3920</v>
      </c>
      <c r="F891" s="10" t="s">
        <v>3519</v>
      </c>
      <c r="G891" s="10" t="s">
        <v>3526</v>
      </c>
      <c r="H891" s="10" t="s">
        <v>3921</v>
      </c>
      <c r="I891" s="10" t="s">
        <v>2213</v>
      </c>
    </row>
    <row r="892" spans="1:9" x14ac:dyDescent="0.25">
      <c r="A892">
        <v>645</v>
      </c>
      <c r="B892" s="10" t="s">
        <v>3258</v>
      </c>
      <c r="C892" s="10" t="s">
        <v>3259</v>
      </c>
      <c r="D892" s="10">
        <v>3760</v>
      </c>
      <c r="E892" s="10" t="s">
        <v>3922</v>
      </c>
      <c r="F892" s="10" t="s">
        <v>3193</v>
      </c>
      <c r="G892" s="10" t="s">
        <v>2860</v>
      </c>
      <c r="H892" s="10" t="s">
        <v>3923</v>
      </c>
      <c r="I892" s="10" t="s">
        <v>2336</v>
      </c>
    </row>
    <row r="893" spans="1:9" x14ac:dyDescent="0.25">
      <c r="A893">
        <v>646</v>
      </c>
      <c r="B893" s="10" t="s">
        <v>3258</v>
      </c>
      <c r="C893" s="10" t="s">
        <v>3259</v>
      </c>
      <c r="D893" s="10">
        <v>3761</v>
      </c>
      <c r="E893" s="10" t="s">
        <v>3924</v>
      </c>
      <c r="F893" s="10" t="s">
        <v>2659</v>
      </c>
      <c r="G893" s="10" t="s">
        <v>2871</v>
      </c>
      <c r="H893" s="10" t="s">
        <v>3925</v>
      </c>
      <c r="I893" s="10" t="s">
        <v>3199</v>
      </c>
    </row>
    <row r="894" spans="1:9" x14ac:dyDescent="0.25">
      <c r="A894">
        <v>647</v>
      </c>
      <c r="B894" s="10" t="s">
        <v>3258</v>
      </c>
      <c r="C894" s="10" t="s">
        <v>3259</v>
      </c>
      <c r="D894" s="10">
        <v>3763</v>
      </c>
      <c r="E894" s="10" t="s">
        <v>3926</v>
      </c>
      <c r="F894" s="10" t="s">
        <v>2470</v>
      </c>
      <c r="G894" s="10" t="s">
        <v>2629</v>
      </c>
      <c r="H894" s="10" t="s">
        <v>3927</v>
      </c>
      <c r="I894" s="10" t="s">
        <v>2631</v>
      </c>
    </row>
    <row r="895" spans="1:9" x14ac:dyDescent="0.25">
      <c r="A895">
        <v>648</v>
      </c>
      <c r="B895" s="10" t="s">
        <v>3258</v>
      </c>
      <c r="C895" s="10" t="s">
        <v>3259</v>
      </c>
      <c r="D895" s="10">
        <v>3767</v>
      </c>
      <c r="E895" s="10" t="s">
        <v>3928</v>
      </c>
      <c r="F895" s="10" t="s">
        <v>2275</v>
      </c>
      <c r="G895" s="10" t="s">
        <v>2691</v>
      </c>
      <c r="H895" s="10" t="s">
        <v>3929</v>
      </c>
      <c r="I895" s="10" t="s">
        <v>2315</v>
      </c>
    </row>
    <row r="896" spans="1:9" x14ac:dyDescent="0.25">
      <c r="A896">
        <v>578</v>
      </c>
      <c r="B896" s="10" t="s">
        <v>3258</v>
      </c>
      <c r="C896" s="10" t="s">
        <v>3930</v>
      </c>
      <c r="D896" s="10">
        <v>3769</v>
      </c>
      <c r="E896" s="10" t="s">
        <v>3931</v>
      </c>
      <c r="F896" s="10" t="s">
        <v>3932</v>
      </c>
      <c r="G896" s="10" t="s">
        <v>3505</v>
      </c>
      <c r="H896" s="10" t="s">
        <v>3933</v>
      </c>
      <c r="I896" s="10" t="s">
        <v>2970</v>
      </c>
    </row>
    <row r="897" spans="1:9" x14ac:dyDescent="0.25">
      <c r="A897">
        <v>579</v>
      </c>
      <c r="B897" s="10" t="s">
        <v>3258</v>
      </c>
      <c r="C897" s="10" t="s">
        <v>3930</v>
      </c>
      <c r="D897" s="10">
        <v>3772</v>
      </c>
      <c r="E897" s="10" t="s">
        <v>3934</v>
      </c>
      <c r="F897" s="10" t="s">
        <v>3935</v>
      </c>
      <c r="G897" s="10" t="s">
        <v>2860</v>
      </c>
      <c r="H897" s="10" t="s">
        <v>3936</v>
      </c>
      <c r="I897" s="10" t="s">
        <v>2336</v>
      </c>
    </row>
    <row r="898" spans="1:9" x14ac:dyDescent="0.25">
      <c r="A898">
        <v>1524</v>
      </c>
      <c r="B898" s="10" t="s">
        <v>2671</v>
      </c>
      <c r="C898" s="10" t="s">
        <v>3643</v>
      </c>
      <c r="D898" s="10">
        <v>3772</v>
      </c>
      <c r="E898" s="10" t="s">
        <v>3934</v>
      </c>
      <c r="F898" s="10" t="s">
        <v>3935</v>
      </c>
      <c r="G898" s="10" t="s">
        <v>2860</v>
      </c>
      <c r="H898" s="10" t="s">
        <v>3936</v>
      </c>
      <c r="I898" s="10" t="s">
        <v>2336</v>
      </c>
    </row>
    <row r="899" spans="1:9" x14ac:dyDescent="0.25">
      <c r="A899">
        <v>580</v>
      </c>
      <c r="B899" s="10" t="s">
        <v>3258</v>
      </c>
      <c r="C899" s="10" t="s">
        <v>3930</v>
      </c>
      <c r="D899" s="10">
        <v>3773</v>
      </c>
      <c r="E899" s="10" t="s">
        <v>3937</v>
      </c>
      <c r="F899" s="10" t="s">
        <v>3938</v>
      </c>
      <c r="G899" s="10" t="s">
        <v>3939</v>
      </c>
      <c r="H899" s="10" t="s">
        <v>3940</v>
      </c>
      <c r="I899" s="10" t="s">
        <v>3131</v>
      </c>
    </row>
    <row r="900" spans="1:9" x14ac:dyDescent="0.25">
      <c r="A900">
        <v>1525</v>
      </c>
      <c r="B900" s="10" t="s">
        <v>2671</v>
      </c>
      <c r="C900" s="10" t="s">
        <v>3643</v>
      </c>
      <c r="D900" s="10">
        <v>3773</v>
      </c>
      <c r="E900" s="10" t="s">
        <v>3937</v>
      </c>
      <c r="F900" s="10" t="s">
        <v>3938</v>
      </c>
      <c r="G900" s="10" t="s">
        <v>3939</v>
      </c>
      <c r="H900" s="10" t="s">
        <v>3940</v>
      </c>
      <c r="I900" s="10" t="s">
        <v>3131</v>
      </c>
    </row>
    <row r="901" spans="1:9" x14ac:dyDescent="0.25">
      <c r="A901">
        <v>581</v>
      </c>
      <c r="B901" s="10" t="s">
        <v>3258</v>
      </c>
      <c r="C901" s="10" t="s">
        <v>3930</v>
      </c>
      <c r="D901" s="10">
        <v>3774</v>
      </c>
      <c r="E901" s="10" t="s">
        <v>3941</v>
      </c>
      <c r="F901" s="10" t="s">
        <v>3932</v>
      </c>
      <c r="G901" s="10" t="s">
        <v>3505</v>
      </c>
      <c r="H901" s="10" t="s">
        <v>3933</v>
      </c>
      <c r="I901" s="10" t="s">
        <v>2970</v>
      </c>
    </row>
    <row r="902" spans="1:9" x14ac:dyDescent="0.25">
      <c r="A902">
        <v>582</v>
      </c>
      <c r="B902" s="10" t="s">
        <v>3258</v>
      </c>
      <c r="C902" s="10" t="s">
        <v>3930</v>
      </c>
      <c r="D902" s="10">
        <v>3776</v>
      </c>
      <c r="E902" s="10" t="s">
        <v>3942</v>
      </c>
      <c r="F902" s="10" t="s">
        <v>3943</v>
      </c>
      <c r="G902" s="10" t="s">
        <v>3437</v>
      </c>
      <c r="H902" s="10" t="s">
        <v>3940</v>
      </c>
      <c r="I902" s="10" t="s">
        <v>3131</v>
      </c>
    </row>
    <row r="903" spans="1:9" x14ac:dyDescent="0.25">
      <c r="A903">
        <v>583</v>
      </c>
      <c r="B903" s="10" t="s">
        <v>3258</v>
      </c>
      <c r="C903" s="10" t="s">
        <v>3930</v>
      </c>
      <c r="D903" s="10">
        <v>3777</v>
      </c>
      <c r="E903" s="10" t="s">
        <v>3944</v>
      </c>
      <c r="F903" s="10" t="s">
        <v>3932</v>
      </c>
      <c r="G903" s="10" t="s">
        <v>3505</v>
      </c>
      <c r="H903" s="10" t="s">
        <v>3933</v>
      </c>
      <c r="I903" s="10" t="s">
        <v>2970</v>
      </c>
    </row>
    <row r="904" spans="1:9" x14ac:dyDescent="0.25">
      <c r="A904">
        <v>584</v>
      </c>
      <c r="B904" s="10" t="s">
        <v>3258</v>
      </c>
      <c r="C904" s="10" t="s">
        <v>3930</v>
      </c>
      <c r="D904" s="10">
        <v>3778</v>
      </c>
      <c r="E904" s="10" t="s">
        <v>3945</v>
      </c>
      <c r="F904" s="10" t="s">
        <v>3932</v>
      </c>
      <c r="G904" s="10" t="s">
        <v>3505</v>
      </c>
      <c r="H904" s="10" t="s">
        <v>3933</v>
      </c>
      <c r="I904" s="10" t="s">
        <v>2970</v>
      </c>
    </row>
    <row r="905" spans="1:9" x14ac:dyDescent="0.25">
      <c r="A905">
        <v>585</v>
      </c>
      <c r="B905" s="10" t="s">
        <v>3258</v>
      </c>
      <c r="C905" s="10" t="s">
        <v>3930</v>
      </c>
      <c r="D905" s="10">
        <v>3779</v>
      </c>
      <c r="E905" s="10" t="s">
        <v>3946</v>
      </c>
      <c r="F905" s="10" t="s">
        <v>3932</v>
      </c>
      <c r="G905" s="10" t="s">
        <v>3505</v>
      </c>
      <c r="H905" s="10" t="s">
        <v>3936</v>
      </c>
      <c r="I905" s="10" t="s">
        <v>2336</v>
      </c>
    </row>
    <row r="906" spans="1:9" x14ac:dyDescent="0.25">
      <c r="A906">
        <v>586</v>
      </c>
      <c r="B906" s="10" t="s">
        <v>3258</v>
      </c>
      <c r="C906" s="10" t="s">
        <v>3930</v>
      </c>
      <c r="D906" s="10">
        <v>3781</v>
      </c>
      <c r="E906" s="10" t="s">
        <v>3947</v>
      </c>
      <c r="F906" s="10" t="s">
        <v>3948</v>
      </c>
      <c r="G906" s="10" t="s">
        <v>2850</v>
      </c>
      <c r="H906" s="10" t="s">
        <v>3949</v>
      </c>
      <c r="I906" s="10" t="s">
        <v>2240</v>
      </c>
    </row>
    <row r="907" spans="1:9" x14ac:dyDescent="0.25">
      <c r="A907">
        <v>587</v>
      </c>
      <c r="B907" s="10" t="s">
        <v>3258</v>
      </c>
      <c r="C907" s="10" t="s">
        <v>3930</v>
      </c>
      <c r="D907" s="10">
        <v>3782</v>
      </c>
      <c r="E907" s="10" t="s">
        <v>3950</v>
      </c>
      <c r="F907" s="10" t="s">
        <v>3932</v>
      </c>
      <c r="G907" s="10" t="s">
        <v>3951</v>
      </c>
      <c r="H907" s="10" t="s">
        <v>3952</v>
      </c>
      <c r="I907" s="10" t="s">
        <v>2263</v>
      </c>
    </row>
    <row r="908" spans="1:9" x14ac:dyDescent="0.25">
      <c r="A908">
        <v>588</v>
      </c>
      <c r="B908" s="10" t="s">
        <v>3258</v>
      </c>
      <c r="C908" s="10" t="s">
        <v>3930</v>
      </c>
      <c r="D908" s="10">
        <v>3783</v>
      </c>
      <c r="E908" s="10" t="s">
        <v>3953</v>
      </c>
      <c r="F908" s="10" t="s">
        <v>3954</v>
      </c>
      <c r="G908" s="10" t="s">
        <v>3955</v>
      </c>
      <c r="H908" s="10" t="s">
        <v>3952</v>
      </c>
      <c r="I908" s="10" t="s">
        <v>2263</v>
      </c>
    </row>
    <row r="909" spans="1:9" x14ac:dyDescent="0.25">
      <c r="A909">
        <v>589</v>
      </c>
      <c r="B909" s="10" t="s">
        <v>3258</v>
      </c>
      <c r="C909" s="10" t="s">
        <v>3930</v>
      </c>
      <c r="D909" s="10">
        <v>3784</v>
      </c>
      <c r="E909" s="10" t="s">
        <v>3956</v>
      </c>
      <c r="F909" s="10" t="s">
        <v>3957</v>
      </c>
      <c r="G909" s="10" t="s">
        <v>3021</v>
      </c>
      <c r="H909" s="10" t="s">
        <v>3958</v>
      </c>
      <c r="I909" s="10" t="s">
        <v>2554</v>
      </c>
    </row>
    <row r="910" spans="1:9" x14ac:dyDescent="0.25">
      <c r="A910">
        <v>1160</v>
      </c>
      <c r="B910" s="10" t="s">
        <v>2207</v>
      </c>
      <c r="C910" s="10" t="s">
        <v>3959</v>
      </c>
      <c r="D910" s="10">
        <v>3785</v>
      </c>
      <c r="E910" s="10" t="s">
        <v>3960</v>
      </c>
      <c r="F910" s="10" t="s">
        <v>2365</v>
      </c>
      <c r="G910" s="10" t="s">
        <v>2366</v>
      </c>
      <c r="H910" s="10" t="s">
        <v>2420</v>
      </c>
      <c r="I910" s="10" t="s">
        <v>2241</v>
      </c>
    </row>
    <row r="911" spans="1:9" x14ac:dyDescent="0.25">
      <c r="A911">
        <v>590</v>
      </c>
      <c r="B911" s="10" t="s">
        <v>3258</v>
      </c>
      <c r="C911" s="10" t="s">
        <v>3930</v>
      </c>
      <c r="D911" s="10">
        <v>3786</v>
      </c>
      <c r="E911" s="10" t="s">
        <v>3961</v>
      </c>
      <c r="F911" s="10" t="s">
        <v>3957</v>
      </c>
      <c r="G911" s="10" t="s">
        <v>3021</v>
      </c>
      <c r="H911" s="10" t="s">
        <v>3958</v>
      </c>
      <c r="I911" s="10" t="s">
        <v>2554</v>
      </c>
    </row>
    <row r="912" spans="1:9" x14ac:dyDescent="0.25">
      <c r="A912">
        <v>1161</v>
      </c>
      <c r="B912" s="10" t="s">
        <v>2207</v>
      </c>
      <c r="C912" s="10" t="s">
        <v>3959</v>
      </c>
      <c r="D912" s="10">
        <v>3787</v>
      </c>
      <c r="E912" s="10" t="s">
        <v>3962</v>
      </c>
      <c r="F912" s="10" t="s">
        <v>2365</v>
      </c>
      <c r="G912" s="10" t="s">
        <v>2366</v>
      </c>
      <c r="H912" s="10" t="s">
        <v>2420</v>
      </c>
      <c r="I912" s="10" t="s">
        <v>2241</v>
      </c>
    </row>
    <row r="913" spans="1:9" x14ac:dyDescent="0.25">
      <c r="A913">
        <v>1162</v>
      </c>
      <c r="B913" s="10" t="s">
        <v>2207</v>
      </c>
      <c r="C913" s="10" t="s">
        <v>3959</v>
      </c>
      <c r="D913" s="10">
        <v>3789</v>
      </c>
      <c r="E913" s="10" t="s">
        <v>3963</v>
      </c>
      <c r="F913" s="10" t="s">
        <v>2365</v>
      </c>
      <c r="G913" s="10" t="s">
        <v>2366</v>
      </c>
      <c r="H913" s="10" t="s">
        <v>2420</v>
      </c>
      <c r="I913" s="10" t="s">
        <v>2241</v>
      </c>
    </row>
    <row r="914" spans="1:9" x14ac:dyDescent="0.25">
      <c r="A914">
        <v>591</v>
      </c>
      <c r="B914" s="10" t="s">
        <v>3258</v>
      </c>
      <c r="C914" s="10" t="s">
        <v>3930</v>
      </c>
      <c r="D914" s="10">
        <v>3790</v>
      </c>
      <c r="E914" s="10" t="s">
        <v>3964</v>
      </c>
      <c r="F914" s="10" t="s">
        <v>3965</v>
      </c>
      <c r="G914" s="10" t="s">
        <v>2409</v>
      </c>
      <c r="H914" s="10" t="s">
        <v>3966</v>
      </c>
      <c r="I914" s="10" t="s">
        <v>2218</v>
      </c>
    </row>
    <row r="915" spans="1:9" x14ac:dyDescent="0.25">
      <c r="A915">
        <v>575</v>
      </c>
      <c r="B915" s="10" t="s">
        <v>3258</v>
      </c>
      <c r="C915" s="10" t="s">
        <v>3967</v>
      </c>
      <c r="D915" s="10">
        <v>3791</v>
      </c>
      <c r="E915" s="10" t="s">
        <v>3968</v>
      </c>
      <c r="F915" s="10" t="s">
        <v>2690</v>
      </c>
      <c r="G915" s="10" t="s">
        <v>2856</v>
      </c>
      <c r="H915" s="10" t="s">
        <v>3969</v>
      </c>
      <c r="I915" s="10" t="s">
        <v>2707</v>
      </c>
    </row>
    <row r="916" spans="1:9" x14ac:dyDescent="0.25">
      <c r="A916">
        <v>576</v>
      </c>
      <c r="B916" s="10" t="s">
        <v>3258</v>
      </c>
      <c r="C916" s="10" t="s">
        <v>3967</v>
      </c>
      <c r="D916" s="10">
        <v>3792</v>
      </c>
      <c r="E916" s="10" t="s">
        <v>3970</v>
      </c>
      <c r="F916" s="10" t="s">
        <v>2690</v>
      </c>
      <c r="G916" s="10" t="s">
        <v>2856</v>
      </c>
      <c r="H916" s="10" t="s">
        <v>3969</v>
      </c>
      <c r="I916" s="10" t="s">
        <v>2707</v>
      </c>
    </row>
    <row r="917" spans="1:9" x14ac:dyDescent="0.25">
      <c r="A917">
        <v>577</v>
      </c>
      <c r="B917" s="10" t="s">
        <v>3258</v>
      </c>
      <c r="C917" s="10" t="s">
        <v>3967</v>
      </c>
      <c r="D917" s="10">
        <v>3793</v>
      </c>
      <c r="E917" s="10" t="s">
        <v>3971</v>
      </c>
      <c r="F917" s="10" t="s">
        <v>2690</v>
      </c>
      <c r="G917" s="10" t="s">
        <v>2856</v>
      </c>
      <c r="H917" s="10" t="s">
        <v>3969</v>
      </c>
      <c r="I917" s="10" t="s">
        <v>2707</v>
      </c>
    </row>
    <row r="918" spans="1:9" x14ac:dyDescent="0.25">
      <c r="A918">
        <v>592</v>
      </c>
      <c r="B918" s="10" t="s">
        <v>3258</v>
      </c>
      <c r="C918" s="10" t="s">
        <v>3930</v>
      </c>
      <c r="D918" s="10">
        <v>3794</v>
      </c>
      <c r="E918" s="10" t="s">
        <v>3972</v>
      </c>
      <c r="F918" s="10" t="s">
        <v>2744</v>
      </c>
      <c r="G918" s="10" t="s">
        <v>2545</v>
      </c>
      <c r="H918" s="10" t="s">
        <v>3973</v>
      </c>
      <c r="I918" s="10" t="s">
        <v>2182</v>
      </c>
    </row>
    <row r="919" spans="1:9" x14ac:dyDescent="0.25">
      <c r="A919">
        <v>742</v>
      </c>
      <c r="B919" s="10" t="s">
        <v>2633</v>
      </c>
      <c r="C919" s="10" t="s">
        <v>3898</v>
      </c>
      <c r="D919" s="10">
        <v>3801</v>
      </c>
      <c r="E919" s="10" t="s">
        <v>3974</v>
      </c>
      <c r="F919" s="10" t="s">
        <v>2720</v>
      </c>
      <c r="G919" s="10" t="s">
        <v>2665</v>
      </c>
      <c r="H919" s="10" t="s">
        <v>2475</v>
      </c>
      <c r="I919" s="10" t="s">
        <v>2496</v>
      </c>
    </row>
    <row r="920" spans="1:9" x14ac:dyDescent="0.25">
      <c r="A920">
        <v>566</v>
      </c>
      <c r="B920" s="10" t="s">
        <v>3258</v>
      </c>
      <c r="C920" s="10" t="s">
        <v>3879</v>
      </c>
      <c r="D920" s="10">
        <v>3802</v>
      </c>
      <c r="E920" s="10" t="s">
        <v>3975</v>
      </c>
      <c r="F920" s="10" t="s">
        <v>2400</v>
      </c>
      <c r="G920" s="10" t="s">
        <v>2401</v>
      </c>
      <c r="H920" s="10" t="s">
        <v>3976</v>
      </c>
      <c r="I920" s="10" t="s">
        <v>2403</v>
      </c>
    </row>
    <row r="921" spans="1:9" x14ac:dyDescent="0.25">
      <c r="A921">
        <v>1163</v>
      </c>
      <c r="B921" s="10" t="s">
        <v>2207</v>
      </c>
      <c r="C921" s="10" t="s">
        <v>3959</v>
      </c>
      <c r="D921" s="10">
        <v>3804</v>
      </c>
      <c r="E921" s="10" t="s">
        <v>3977</v>
      </c>
      <c r="F921" s="10" t="s">
        <v>3978</v>
      </c>
      <c r="G921" s="10" t="s">
        <v>3979</v>
      </c>
      <c r="H921" s="10" t="s">
        <v>3980</v>
      </c>
      <c r="I921" s="10" t="s">
        <v>2118</v>
      </c>
    </row>
    <row r="922" spans="1:9" x14ac:dyDescent="0.25">
      <c r="A922">
        <v>1164</v>
      </c>
      <c r="B922" s="10" t="s">
        <v>2207</v>
      </c>
      <c r="C922" s="10" t="s">
        <v>3959</v>
      </c>
      <c r="D922" s="10">
        <v>3805</v>
      </c>
      <c r="E922" s="10" t="s">
        <v>3981</v>
      </c>
      <c r="F922" s="10" t="s">
        <v>3978</v>
      </c>
      <c r="G922" s="10" t="s">
        <v>3979</v>
      </c>
      <c r="H922" s="10" t="s">
        <v>3980</v>
      </c>
      <c r="I922" s="10" t="s">
        <v>2118</v>
      </c>
    </row>
    <row r="923" spans="1:9" x14ac:dyDescent="0.25">
      <c r="A923">
        <v>649</v>
      </c>
      <c r="B923" s="10" t="s">
        <v>3258</v>
      </c>
      <c r="C923" s="10" t="s">
        <v>3259</v>
      </c>
      <c r="D923" s="10">
        <v>3806</v>
      </c>
      <c r="E923" s="10" t="s">
        <v>3982</v>
      </c>
      <c r="F923" s="10" t="s">
        <v>2507</v>
      </c>
      <c r="G923" s="10" t="s">
        <v>2329</v>
      </c>
      <c r="H923" s="10" t="s">
        <v>3913</v>
      </c>
      <c r="I923" s="10" t="s">
        <v>2477</v>
      </c>
    </row>
    <row r="924" spans="1:9" x14ac:dyDescent="0.25">
      <c r="A924">
        <v>650</v>
      </c>
      <c r="B924" s="10" t="s">
        <v>3258</v>
      </c>
      <c r="C924" s="10" t="s">
        <v>3259</v>
      </c>
      <c r="D924" s="10">
        <v>3807</v>
      </c>
      <c r="E924" s="10" t="s">
        <v>3983</v>
      </c>
      <c r="F924" s="10" t="s">
        <v>3193</v>
      </c>
      <c r="G924" s="10" t="s">
        <v>2860</v>
      </c>
      <c r="H924" s="10" t="s">
        <v>3923</v>
      </c>
      <c r="I924" s="10" t="s">
        <v>2336</v>
      </c>
    </row>
    <row r="925" spans="1:9" x14ac:dyDescent="0.25">
      <c r="A925">
        <v>1165</v>
      </c>
      <c r="B925" s="10" t="s">
        <v>2207</v>
      </c>
      <c r="C925" s="10" t="s">
        <v>3959</v>
      </c>
      <c r="D925" s="10">
        <v>3808</v>
      </c>
      <c r="E925" s="10" t="s">
        <v>3984</v>
      </c>
      <c r="F925" s="10" t="s">
        <v>3978</v>
      </c>
      <c r="G925" s="10" t="s">
        <v>3979</v>
      </c>
      <c r="H925" s="10" t="s">
        <v>3980</v>
      </c>
      <c r="I925" s="10" t="s">
        <v>2118</v>
      </c>
    </row>
    <row r="926" spans="1:9" x14ac:dyDescent="0.25">
      <c r="A926">
        <v>651</v>
      </c>
      <c r="B926" s="10" t="s">
        <v>3258</v>
      </c>
      <c r="C926" s="10" t="s">
        <v>3259</v>
      </c>
      <c r="D926" s="10">
        <v>3810</v>
      </c>
      <c r="E926" s="10" t="s">
        <v>3985</v>
      </c>
      <c r="F926" s="10" t="s">
        <v>3986</v>
      </c>
      <c r="G926" s="10" t="s">
        <v>2640</v>
      </c>
      <c r="H926" s="10" t="s">
        <v>3722</v>
      </c>
      <c r="I926" s="10" t="s">
        <v>2547</v>
      </c>
    </row>
    <row r="927" spans="1:9" x14ac:dyDescent="0.25">
      <c r="A927">
        <v>652</v>
      </c>
      <c r="B927" s="10" t="s">
        <v>3258</v>
      </c>
      <c r="C927" s="10" t="s">
        <v>3259</v>
      </c>
      <c r="D927" s="10">
        <v>3811</v>
      </c>
      <c r="E927" s="10" t="s">
        <v>3987</v>
      </c>
      <c r="F927" s="10" t="s">
        <v>3986</v>
      </c>
      <c r="G927" s="10" t="s">
        <v>2640</v>
      </c>
      <c r="H927" s="10" t="s">
        <v>3988</v>
      </c>
      <c r="I927" s="10" t="s">
        <v>2547</v>
      </c>
    </row>
    <row r="928" spans="1:9" x14ac:dyDescent="0.25">
      <c r="A928">
        <v>653</v>
      </c>
      <c r="B928" s="10" t="s">
        <v>3258</v>
      </c>
      <c r="C928" s="10" t="s">
        <v>3259</v>
      </c>
      <c r="D928" s="10">
        <v>3812</v>
      </c>
      <c r="E928" s="10" t="s">
        <v>3989</v>
      </c>
      <c r="F928" s="10" t="s">
        <v>3990</v>
      </c>
      <c r="G928" s="10" t="s">
        <v>2303</v>
      </c>
      <c r="H928" s="10" t="s">
        <v>2142</v>
      </c>
      <c r="I928" s="10" t="s">
        <v>2231</v>
      </c>
    </row>
    <row r="929" spans="1:9" x14ac:dyDescent="0.25">
      <c r="A929">
        <v>654</v>
      </c>
      <c r="B929" s="10" t="s">
        <v>3258</v>
      </c>
      <c r="C929" s="10" t="s">
        <v>3259</v>
      </c>
      <c r="D929" s="10">
        <v>3813</v>
      </c>
      <c r="E929" s="10" t="s">
        <v>3991</v>
      </c>
      <c r="F929" s="10" t="s">
        <v>2928</v>
      </c>
      <c r="G929" s="10" t="s">
        <v>2537</v>
      </c>
      <c r="H929" s="10" t="s">
        <v>3992</v>
      </c>
      <c r="I929" s="10" t="s">
        <v>2241</v>
      </c>
    </row>
    <row r="930" spans="1:9" x14ac:dyDescent="0.25">
      <c r="A930">
        <v>655</v>
      </c>
      <c r="B930" s="10" t="s">
        <v>3258</v>
      </c>
      <c r="C930" s="10" t="s">
        <v>3259</v>
      </c>
      <c r="D930" s="10">
        <v>3814</v>
      </c>
      <c r="E930" s="10" t="s">
        <v>3993</v>
      </c>
      <c r="F930" s="10" t="s">
        <v>3839</v>
      </c>
      <c r="G930" s="10" t="s">
        <v>3994</v>
      </c>
      <c r="H930" s="10" t="s">
        <v>3995</v>
      </c>
      <c r="I930" s="10" t="s">
        <v>2276</v>
      </c>
    </row>
    <row r="931" spans="1:9" x14ac:dyDescent="0.25">
      <c r="A931">
        <v>743</v>
      </c>
      <c r="B931" s="10" t="s">
        <v>2633</v>
      </c>
      <c r="C931" s="10" t="s">
        <v>3898</v>
      </c>
      <c r="D931" s="10">
        <v>3815</v>
      </c>
      <c r="E931" s="10" t="s">
        <v>3996</v>
      </c>
      <c r="F931" s="10">
        <v>28.95</v>
      </c>
      <c r="G931" s="10">
        <v>1.21</v>
      </c>
      <c r="H931" s="10">
        <v>0.98</v>
      </c>
      <c r="I931" s="10">
        <v>1.59</v>
      </c>
    </row>
    <row r="932" spans="1:9" x14ac:dyDescent="0.25">
      <c r="A932">
        <v>533</v>
      </c>
      <c r="B932" s="10" t="s">
        <v>3258</v>
      </c>
      <c r="C932" s="10" t="s">
        <v>3997</v>
      </c>
      <c r="D932" s="10">
        <v>3816</v>
      </c>
      <c r="E932" s="10" t="s">
        <v>3998</v>
      </c>
      <c r="F932" s="10" t="s">
        <v>3999</v>
      </c>
      <c r="G932" s="10" t="s">
        <v>2707</v>
      </c>
      <c r="H932" s="10" t="s">
        <v>4000</v>
      </c>
      <c r="I932" s="10" t="s">
        <v>2425</v>
      </c>
    </row>
    <row r="933" spans="1:9" x14ac:dyDescent="0.25">
      <c r="A933">
        <v>534</v>
      </c>
      <c r="B933" s="10" t="s">
        <v>3258</v>
      </c>
      <c r="C933" s="10" t="s">
        <v>3997</v>
      </c>
      <c r="D933" s="10">
        <v>3817</v>
      </c>
      <c r="E933" s="10" t="s">
        <v>4001</v>
      </c>
      <c r="F933" s="10" t="s">
        <v>3999</v>
      </c>
      <c r="G933" s="10" t="s">
        <v>2707</v>
      </c>
      <c r="H933" s="10" t="s">
        <v>4000</v>
      </c>
      <c r="I933" s="10" t="s">
        <v>2425</v>
      </c>
    </row>
    <row r="934" spans="1:9" x14ac:dyDescent="0.25">
      <c r="A934">
        <v>535</v>
      </c>
      <c r="B934" s="10" t="s">
        <v>3258</v>
      </c>
      <c r="C934" s="10" t="s">
        <v>3997</v>
      </c>
      <c r="D934" s="10">
        <v>3819</v>
      </c>
      <c r="E934" s="10" t="s">
        <v>4002</v>
      </c>
      <c r="F934" s="10" t="s">
        <v>3999</v>
      </c>
      <c r="G934" s="10" t="s">
        <v>2707</v>
      </c>
      <c r="H934" s="10" t="s">
        <v>4000</v>
      </c>
      <c r="I934" s="10" t="s">
        <v>2425</v>
      </c>
    </row>
    <row r="935" spans="1:9" x14ac:dyDescent="0.25">
      <c r="A935">
        <v>536</v>
      </c>
      <c r="B935" s="10" t="s">
        <v>3258</v>
      </c>
      <c r="C935" s="10" t="s">
        <v>3997</v>
      </c>
      <c r="D935" s="10">
        <v>3820</v>
      </c>
      <c r="E935" s="10" t="s">
        <v>4003</v>
      </c>
      <c r="F935" s="10" t="s">
        <v>3999</v>
      </c>
      <c r="G935" s="10" t="s">
        <v>2707</v>
      </c>
      <c r="H935" s="10" t="s">
        <v>4000</v>
      </c>
      <c r="I935" s="10" t="s">
        <v>2425</v>
      </c>
    </row>
    <row r="936" spans="1:9" x14ac:dyDescent="0.25">
      <c r="A936">
        <v>544</v>
      </c>
      <c r="B936" s="10" t="s">
        <v>3258</v>
      </c>
      <c r="C936" s="10" t="s">
        <v>4004</v>
      </c>
      <c r="D936" s="10">
        <v>3821</v>
      </c>
      <c r="E936" s="10" t="s">
        <v>4005</v>
      </c>
      <c r="F936" s="10" t="s">
        <v>2446</v>
      </c>
      <c r="G936" s="10" t="s">
        <v>2447</v>
      </c>
      <c r="H936" s="10" t="s">
        <v>3868</v>
      </c>
      <c r="I936" s="10" t="s">
        <v>2449</v>
      </c>
    </row>
    <row r="937" spans="1:9" x14ac:dyDescent="0.25">
      <c r="A937">
        <v>549</v>
      </c>
      <c r="B937" s="10" t="s">
        <v>3258</v>
      </c>
      <c r="C937" s="10" t="s">
        <v>4006</v>
      </c>
      <c r="D937" s="10">
        <v>3822</v>
      </c>
      <c r="E937" s="10" t="s">
        <v>4007</v>
      </c>
      <c r="F937" s="10" t="s">
        <v>2412</v>
      </c>
      <c r="G937" s="10" t="s">
        <v>2860</v>
      </c>
      <c r="H937" s="10" t="s">
        <v>2319</v>
      </c>
      <c r="I937" s="10" t="s">
        <v>2477</v>
      </c>
    </row>
    <row r="938" spans="1:9" x14ac:dyDescent="0.25">
      <c r="A938">
        <v>545</v>
      </c>
      <c r="B938" s="10" t="s">
        <v>3258</v>
      </c>
      <c r="C938" s="10" t="s">
        <v>4004</v>
      </c>
      <c r="D938" s="10">
        <v>3823</v>
      </c>
      <c r="E938" s="10" t="s">
        <v>4008</v>
      </c>
      <c r="F938" s="10" t="s">
        <v>2446</v>
      </c>
      <c r="G938" s="10" t="s">
        <v>2447</v>
      </c>
      <c r="H938" s="10" t="s">
        <v>3868</v>
      </c>
      <c r="I938" s="10" t="s">
        <v>2449</v>
      </c>
    </row>
    <row r="939" spans="1:9" x14ac:dyDescent="0.25">
      <c r="A939">
        <v>546</v>
      </c>
      <c r="B939" s="10" t="s">
        <v>3258</v>
      </c>
      <c r="C939" s="10" t="s">
        <v>4004</v>
      </c>
      <c r="D939" s="10">
        <v>3824</v>
      </c>
      <c r="E939" s="10" t="s">
        <v>4009</v>
      </c>
      <c r="F939" s="10" t="s">
        <v>2446</v>
      </c>
      <c r="G939" s="10" t="s">
        <v>2447</v>
      </c>
      <c r="H939" s="10" t="s">
        <v>3868</v>
      </c>
      <c r="I939" s="10" t="s">
        <v>2449</v>
      </c>
    </row>
    <row r="940" spans="1:9" x14ac:dyDescent="0.25">
      <c r="A940">
        <v>547</v>
      </c>
      <c r="B940" s="10" t="s">
        <v>3258</v>
      </c>
      <c r="C940" s="10" t="s">
        <v>4010</v>
      </c>
      <c r="D940" s="10">
        <v>3825</v>
      </c>
      <c r="E940" s="10" t="s">
        <v>4011</v>
      </c>
      <c r="F940" s="10" t="s">
        <v>4012</v>
      </c>
      <c r="G940" s="10" t="s">
        <v>4013</v>
      </c>
      <c r="H940" s="10" t="s">
        <v>3131</v>
      </c>
      <c r="I940" s="10" t="s">
        <v>2425</v>
      </c>
    </row>
    <row r="941" spans="1:9" x14ac:dyDescent="0.25">
      <c r="A941">
        <v>548</v>
      </c>
      <c r="B941" s="10" t="s">
        <v>3258</v>
      </c>
      <c r="C941" s="10" t="s">
        <v>4010</v>
      </c>
      <c r="D941" s="10">
        <v>3826</v>
      </c>
      <c r="E941" s="10" t="s">
        <v>4014</v>
      </c>
      <c r="F941" s="10" t="s">
        <v>4012</v>
      </c>
      <c r="G941" s="10" t="s">
        <v>4013</v>
      </c>
      <c r="H941" s="10" t="s">
        <v>3131</v>
      </c>
      <c r="I941" s="10" t="s">
        <v>2425</v>
      </c>
    </row>
    <row r="942" spans="1:9" x14ac:dyDescent="0.25">
      <c r="A942">
        <v>550</v>
      </c>
      <c r="B942" s="10" t="s">
        <v>3258</v>
      </c>
      <c r="C942" s="10" t="s">
        <v>4006</v>
      </c>
      <c r="D942" s="10">
        <v>3827</v>
      </c>
      <c r="E942" s="10" t="s">
        <v>4015</v>
      </c>
      <c r="F942" s="10" t="s">
        <v>2412</v>
      </c>
      <c r="G942" s="10" t="s">
        <v>2860</v>
      </c>
      <c r="H942" s="10" t="s">
        <v>2319</v>
      </c>
      <c r="I942" s="10" t="s">
        <v>2477</v>
      </c>
    </row>
    <row r="943" spans="1:9" x14ac:dyDescent="0.25">
      <c r="A943">
        <v>537</v>
      </c>
      <c r="B943" s="10" t="s">
        <v>3258</v>
      </c>
      <c r="C943" s="10" t="s">
        <v>3997</v>
      </c>
      <c r="D943" s="10">
        <v>3828</v>
      </c>
      <c r="E943" s="10" t="s">
        <v>4016</v>
      </c>
      <c r="F943" s="10" t="s">
        <v>2830</v>
      </c>
      <c r="G943" s="10" t="s">
        <v>2831</v>
      </c>
      <c r="H943" s="10" t="s">
        <v>4000</v>
      </c>
      <c r="I943" s="10" t="s">
        <v>2425</v>
      </c>
    </row>
    <row r="944" spans="1:9" x14ac:dyDescent="0.25">
      <c r="A944">
        <v>538</v>
      </c>
      <c r="B944" s="10" t="s">
        <v>3258</v>
      </c>
      <c r="C944" s="10" t="s">
        <v>3997</v>
      </c>
      <c r="D944" s="10">
        <v>3829</v>
      </c>
      <c r="E944" s="10" t="s">
        <v>4017</v>
      </c>
      <c r="F944" s="10" t="s">
        <v>2830</v>
      </c>
      <c r="G944" s="10" t="s">
        <v>2831</v>
      </c>
      <c r="H944" s="10" t="s">
        <v>4000</v>
      </c>
      <c r="I944" s="10" t="s">
        <v>2425</v>
      </c>
    </row>
    <row r="945" spans="1:9" x14ac:dyDescent="0.25">
      <c r="A945">
        <v>551</v>
      </c>
      <c r="B945" s="10" t="s">
        <v>3258</v>
      </c>
      <c r="C945" s="10" t="s">
        <v>4006</v>
      </c>
      <c r="D945" s="10">
        <v>3830</v>
      </c>
      <c r="E945" s="10" t="s">
        <v>4018</v>
      </c>
      <c r="F945" s="10" t="s">
        <v>2412</v>
      </c>
      <c r="G945" s="10" t="s">
        <v>2860</v>
      </c>
      <c r="H945" s="10" t="s">
        <v>2319</v>
      </c>
      <c r="I945" s="10" t="s">
        <v>2477</v>
      </c>
    </row>
    <row r="946" spans="1:9" x14ac:dyDescent="0.25">
      <c r="A946">
        <v>656</v>
      </c>
      <c r="B946" s="10" t="s">
        <v>3258</v>
      </c>
      <c r="C946" s="10" t="s">
        <v>3259</v>
      </c>
      <c r="D946" s="10">
        <v>3831</v>
      </c>
      <c r="E946" s="10" t="s">
        <v>4019</v>
      </c>
      <c r="F946" s="10" t="s">
        <v>2598</v>
      </c>
      <c r="G946" s="10" t="s">
        <v>2368</v>
      </c>
      <c r="H946" s="10" t="s">
        <v>4020</v>
      </c>
      <c r="I946" s="10" t="s">
        <v>2213</v>
      </c>
    </row>
    <row r="947" spans="1:9" x14ac:dyDescent="0.25">
      <c r="A947">
        <v>657</v>
      </c>
      <c r="B947" s="10" t="s">
        <v>3258</v>
      </c>
      <c r="C947" s="10" t="s">
        <v>3259</v>
      </c>
      <c r="D947" s="10">
        <v>3832</v>
      </c>
      <c r="E947" s="10" t="s">
        <v>4021</v>
      </c>
      <c r="F947" s="10" t="s">
        <v>4022</v>
      </c>
      <c r="G947" s="10" t="s">
        <v>3465</v>
      </c>
      <c r="H947" s="10" t="s">
        <v>3352</v>
      </c>
      <c r="I947" s="10" t="s">
        <v>3353</v>
      </c>
    </row>
    <row r="948" spans="1:9" x14ac:dyDescent="0.25">
      <c r="A948">
        <v>552</v>
      </c>
      <c r="B948" s="10" t="s">
        <v>3258</v>
      </c>
      <c r="C948" s="10" t="s">
        <v>4006</v>
      </c>
      <c r="D948" s="10">
        <v>3834</v>
      </c>
      <c r="E948" s="10" t="s">
        <v>4023</v>
      </c>
      <c r="F948" s="10" t="s">
        <v>2740</v>
      </c>
      <c r="G948" s="10" t="s">
        <v>2377</v>
      </c>
      <c r="H948" s="10" t="s">
        <v>2636</v>
      </c>
      <c r="I948" s="10" t="s">
        <v>2218</v>
      </c>
    </row>
    <row r="949" spans="1:9" x14ac:dyDescent="0.25">
      <c r="A949">
        <v>553</v>
      </c>
      <c r="B949" s="10" t="s">
        <v>3258</v>
      </c>
      <c r="C949" s="10" t="s">
        <v>4006</v>
      </c>
      <c r="D949" s="10">
        <v>3835</v>
      </c>
      <c r="E949" s="10" t="s">
        <v>4024</v>
      </c>
      <c r="F949" s="10" t="s">
        <v>2740</v>
      </c>
      <c r="G949" s="10" t="s">
        <v>2377</v>
      </c>
      <c r="H949" s="10" t="s">
        <v>2636</v>
      </c>
      <c r="I949" s="10" t="s">
        <v>2218</v>
      </c>
    </row>
    <row r="950" spans="1:9" x14ac:dyDescent="0.25">
      <c r="A950">
        <v>539</v>
      </c>
      <c r="B950" s="10" t="s">
        <v>3258</v>
      </c>
      <c r="C950" s="10" t="s">
        <v>3997</v>
      </c>
      <c r="D950" s="10">
        <v>3836</v>
      </c>
      <c r="E950" s="10" t="s">
        <v>4025</v>
      </c>
      <c r="F950" s="10" t="s">
        <v>2843</v>
      </c>
      <c r="G950" s="10" t="s">
        <v>2656</v>
      </c>
      <c r="H950" s="10" t="s">
        <v>3756</v>
      </c>
      <c r="I950" s="10" t="s">
        <v>2363</v>
      </c>
    </row>
    <row r="951" spans="1:9" x14ac:dyDescent="0.25">
      <c r="A951">
        <v>593</v>
      </c>
      <c r="B951" s="10" t="s">
        <v>3258</v>
      </c>
      <c r="C951" s="10" t="s">
        <v>3930</v>
      </c>
      <c r="D951" s="10">
        <v>3837</v>
      </c>
      <c r="E951" s="10" t="s">
        <v>4026</v>
      </c>
      <c r="F951" s="10" t="s">
        <v>4027</v>
      </c>
      <c r="G951" s="10" t="s">
        <v>2706</v>
      </c>
      <c r="H951" s="10" t="s">
        <v>4028</v>
      </c>
      <c r="I951" s="10" t="s">
        <v>2324</v>
      </c>
    </row>
    <row r="952" spans="1:9" x14ac:dyDescent="0.25">
      <c r="A952">
        <v>594</v>
      </c>
      <c r="B952" s="10" t="s">
        <v>3258</v>
      </c>
      <c r="C952" s="10" t="s">
        <v>3930</v>
      </c>
      <c r="D952" s="10">
        <v>3838</v>
      </c>
      <c r="E952" s="10" t="s">
        <v>4029</v>
      </c>
      <c r="F952" s="10" t="s">
        <v>4030</v>
      </c>
      <c r="G952" s="10" t="s">
        <v>3213</v>
      </c>
      <c r="H952" s="10" t="s">
        <v>4031</v>
      </c>
      <c r="I952" s="10" t="s">
        <v>2629</v>
      </c>
    </row>
    <row r="953" spans="1:9" x14ac:dyDescent="0.25">
      <c r="A953">
        <v>540</v>
      </c>
      <c r="B953" s="10" t="s">
        <v>3258</v>
      </c>
      <c r="C953" s="10" t="s">
        <v>3997</v>
      </c>
      <c r="D953" s="10">
        <v>3839</v>
      </c>
      <c r="E953" s="10" t="s">
        <v>4032</v>
      </c>
      <c r="F953" s="10" t="s">
        <v>2843</v>
      </c>
      <c r="G953" s="10" t="s">
        <v>2656</v>
      </c>
      <c r="H953" s="10" t="s">
        <v>3756</v>
      </c>
      <c r="I953" s="10" t="s">
        <v>2363</v>
      </c>
    </row>
    <row r="954" spans="1:9" x14ac:dyDescent="0.25">
      <c r="A954">
        <v>595</v>
      </c>
      <c r="B954" s="10" t="s">
        <v>3258</v>
      </c>
      <c r="C954" s="10" t="s">
        <v>3930</v>
      </c>
      <c r="D954" s="10">
        <v>3840</v>
      </c>
      <c r="E954" s="10" t="s">
        <v>4033</v>
      </c>
      <c r="F954" s="10" t="s">
        <v>4034</v>
      </c>
      <c r="G954" s="10" t="s">
        <v>3222</v>
      </c>
      <c r="H954" s="10" t="s">
        <v>4035</v>
      </c>
      <c r="I954" s="10" t="s">
        <v>2558</v>
      </c>
    </row>
    <row r="955" spans="1:9" x14ac:dyDescent="0.25">
      <c r="A955">
        <v>596</v>
      </c>
      <c r="B955" s="10" t="s">
        <v>3258</v>
      </c>
      <c r="C955" s="10" t="s">
        <v>3930</v>
      </c>
      <c r="D955" s="10">
        <v>3841</v>
      </c>
      <c r="E955" s="10" t="s">
        <v>4036</v>
      </c>
      <c r="F955" s="10" t="s">
        <v>3932</v>
      </c>
      <c r="G955" s="10" t="s">
        <v>3505</v>
      </c>
      <c r="H955" s="10" t="s">
        <v>3933</v>
      </c>
      <c r="I955" s="10" t="s">
        <v>2970</v>
      </c>
    </row>
    <row r="956" spans="1:9" x14ac:dyDescent="0.25">
      <c r="A956">
        <v>555</v>
      </c>
      <c r="B956" s="10" t="s">
        <v>3258</v>
      </c>
      <c r="C956" s="10" t="s">
        <v>4037</v>
      </c>
      <c r="D956" s="10">
        <v>3842</v>
      </c>
      <c r="E956" s="10" t="s">
        <v>4038</v>
      </c>
      <c r="F956" s="10" t="s">
        <v>2541</v>
      </c>
      <c r="G956" s="10" t="s">
        <v>2545</v>
      </c>
      <c r="H956" s="10" t="s">
        <v>3715</v>
      </c>
      <c r="I956" s="10" t="s">
        <v>2547</v>
      </c>
    </row>
    <row r="957" spans="1:9" x14ac:dyDescent="0.25">
      <c r="A957">
        <v>556</v>
      </c>
      <c r="B957" s="10" t="s">
        <v>3258</v>
      </c>
      <c r="C957" s="10" t="s">
        <v>4037</v>
      </c>
      <c r="D957" s="10">
        <v>3843</v>
      </c>
      <c r="E957" s="10" t="s">
        <v>4039</v>
      </c>
      <c r="F957" s="10" t="s">
        <v>2541</v>
      </c>
      <c r="G957" s="10" t="s">
        <v>2545</v>
      </c>
      <c r="H957" s="10" t="s">
        <v>3715</v>
      </c>
      <c r="I957" s="10" t="s">
        <v>2547</v>
      </c>
    </row>
    <row r="958" spans="1:9" x14ac:dyDescent="0.25">
      <c r="A958">
        <v>557</v>
      </c>
      <c r="B958" s="10" t="s">
        <v>3258</v>
      </c>
      <c r="C958" s="10" t="s">
        <v>4037</v>
      </c>
      <c r="D958" s="10">
        <v>3844</v>
      </c>
      <c r="E958" s="10" t="s">
        <v>4040</v>
      </c>
      <c r="F958" s="10" t="s">
        <v>2541</v>
      </c>
      <c r="G958" s="10" t="s">
        <v>2545</v>
      </c>
      <c r="H958" s="10" t="s">
        <v>3715</v>
      </c>
      <c r="I958" s="10" t="s">
        <v>2547</v>
      </c>
    </row>
    <row r="959" spans="1:9" x14ac:dyDescent="0.25">
      <c r="A959">
        <v>422</v>
      </c>
      <c r="B959" s="10" t="s">
        <v>2685</v>
      </c>
      <c r="C959" s="10" t="s">
        <v>4041</v>
      </c>
      <c r="D959" s="10">
        <v>3846</v>
      </c>
      <c r="E959" s="10" t="s">
        <v>4042</v>
      </c>
      <c r="F959" s="10" t="s">
        <v>3274</v>
      </c>
      <c r="G959" s="10" t="s">
        <v>4043</v>
      </c>
      <c r="H959" s="10" t="s">
        <v>3351</v>
      </c>
      <c r="I959" s="10" t="s">
        <v>4044</v>
      </c>
    </row>
    <row r="960" spans="1:9" x14ac:dyDescent="0.25">
      <c r="A960">
        <v>423</v>
      </c>
      <c r="B960" s="10" t="s">
        <v>2685</v>
      </c>
      <c r="C960" s="10" t="s">
        <v>4041</v>
      </c>
      <c r="D960" s="10">
        <v>3847</v>
      </c>
      <c r="E960" s="10" t="s">
        <v>4045</v>
      </c>
      <c r="F960" s="10" t="s">
        <v>3274</v>
      </c>
      <c r="G960" s="10" t="s">
        <v>2640</v>
      </c>
      <c r="H960" s="10" t="s">
        <v>4046</v>
      </c>
      <c r="I960" s="10" t="s">
        <v>3353</v>
      </c>
    </row>
    <row r="961" spans="1:9" x14ac:dyDescent="0.25">
      <c r="A961">
        <v>1352</v>
      </c>
      <c r="B961" s="10" t="s">
        <v>2514</v>
      </c>
      <c r="C961" s="10" t="s">
        <v>4047</v>
      </c>
      <c r="D961" s="10">
        <v>3852</v>
      </c>
      <c r="E961" s="10" t="s">
        <v>4048</v>
      </c>
      <c r="F961" s="10" t="s">
        <v>3251</v>
      </c>
      <c r="G961" s="10" t="s">
        <v>3568</v>
      </c>
      <c r="H961" s="10" t="s">
        <v>4049</v>
      </c>
      <c r="I961" s="10" t="s">
        <v>2368</v>
      </c>
    </row>
    <row r="962" spans="1:9" x14ac:dyDescent="0.25">
      <c r="A962">
        <v>1353</v>
      </c>
      <c r="B962" s="10" t="s">
        <v>2514</v>
      </c>
      <c r="C962" s="10" t="s">
        <v>4047</v>
      </c>
      <c r="D962" s="10">
        <v>3854</v>
      </c>
      <c r="E962" s="10" t="s">
        <v>4050</v>
      </c>
      <c r="F962" s="10" t="s">
        <v>3251</v>
      </c>
      <c r="G962" s="10" t="s">
        <v>3568</v>
      </c>
      <c r="H962" s="10" t="s">
        <v>4049</v>
      </c>
      <c r="I962" s="10" t="s">
        <v>2368</v>
      </c>
    </row>
    <row r="963" spans="1:9" x14ac:dyDescent="0.25">
      <c r="A963">
        <v>787</v>
      </c>
      <c r="B963" s="10" t="s">
        <v>2633</v>
      </c>
      <c r="C963" s="10" t="s">
        <v>4051</v>
      </c>
      <c r="D963" s="10">
        <v>3855</v>
      </c>
      <c r="E963" s="10" t="s">
        <v>4052</v>
      </c>
      <c r="F963" s="10">
        <v>28.5</v>
      </c>
      <c r="G963" s="10">
        <v>0.79</v>
      </c>
      <c r="H963" s="10">
        <v>5.81</v>
      </c>
      <c r="I963" s="10">
        <v>1.0900000000000001</v>
      </c>
    </row>
    <row r="964" spans="1:9" x14ac:dyDescent="0.25">
      <c r="A964">
        <v>541</v>
      </c>
      <c r="B964" s="10" t="s">
        <v>3258</v>
      </c>
      <c r="C964" s="10" t="s">
        <v>3997</v>
      </c>
      <c r="D964" s="10">
        <v>3856</v>
      </c>
      <c r="E964" s="10" t="s">
        <v>4053</v>
      </c>
      <c r="F964" s="10" t="s">
        <v>2541</v>
      </c>
      <c r="G964" s="10" t="s">
        <v>2542</v>
      </c>
      <c r="H964" s="10" t="s">
        <v>2891</v>
      </c>
      <c r="I964" s="10" t="s">
        <v>2368</v>
      </c>
    </row>
    <row r="965" spans="1:9" x14ac:dyDescent="0.25">
      <c r="A965">
        <v>788</v>
      </c>
      <c r="B965" s="10" t="s">
        <v>2633</v>
      </c>
      <c r="C965" s="10" t="s">
        <v>4051</v>
      </c>
      <c r="D965" s="10">
        <v>3857</v>
      </c>
      <c r="E965" s="10" t="s">
        <v>4054</v>
      </c>
      <c r="F965" s="10" t="s">
        <v>2690</v>
      </c>
      <c r="G965" s="10" t="s">
        <v>2856</v>
      </c>
      <c r="H965" s="10" t="s">
        <v>4055</v>
      </c>
      <c r="I965" s="10" t="s">
        <v>2707</v>
      </c>
    </row>
    <row r="966" spans="1:9" x14ac:dyDescent="0.25">
      <c r="A966">
        <v>554</v>
      </c>
      <c r="B966" s="10" t="s">
        <v>3258</v>
      </c>
      <c r="C966" s="10" t="s">
        <v>4006</v>
      </c>
      <c r="D966" s="10">
        <v>3858</v>
      </c>
      <c r="E966" s="10" t="s">
        <v>4056</v>
      </c>
      <c r="F966" s="10" t="s">
        <v>3611</v>
      </c>
      <c r="G966" s="10" t="s">
        <v>2218</v>
      </c>
      <c r="H966" s="10" t="s">
        <v>4057</v>
      </c>
      <c r="I966" s="10" t="s">
        <v>2880</v>
      </c>
    </row>
    <row r="967" spans="1:9" x14ac:dyDescent="0.25">
      <c r="A967">
        <v>789</v>
      </c>
      <c r="B967" s="10" t="s">
        <v>2633</v>
      </c>
      <c r="C967" s="10" t="s">
        <v>4051</v>
      </c>
      <c r="D967" s="10">
        <v>3859</v>
      </c>
      <c r="E967" s="10" t="s">
        <v>4058</v>
      </c>
      <c r="F967" s="10" t="s">
        <v>4059</v>
      </c>
      <c r="G967" s="10" t="s">
        <v>4060</v>
      </c>
      <c r="H967" s="10" t="s">
        <v>4061</v>
      </c>
      <c r="I967" s="10" t="s">
        <v>2368</v>
      </c>
    </row>
    <row r="968" spans="1:9" x14ac:dyDescent="0.25">
      <c r="A968">
        <v>558</v>
      </c>
      <c r="B968" s="10" t="s">
        <v>3258</v>
      </c>
      <c r="C968" s="10" t="s">
        <v>4037</v>
      </c>
      <c r="D968" s="10">
        <v>3860</v>
      </c>
      <c r="E968" s="10" t="s">
        <v>4062</v>
      </c>
      <c r="F968" s="10" t="s">
        <v>4063</v>
      </c>
      <c r="G968" s="10" t="s">
        <v>4064</v>
      </c>
      <c r="H968" s="10" t="s">
        <v>4065</v>
      </c>
      <c r="I968" s="10" t="s">
        <v>2415</v>
      </c>
    </row>
    <row r="969" spans="1:9" x14ac:dyDescent="0.25">
      <c r="A969">
        <v>559</v>
      </c>
      <c r="B969" s="10" t="s">
        <v>3258</v>
      </c>
      <c r="C969" s="10" t="s">
        <v>4037</v>
      </c>
      <c r="D969" s="10">
        <v>3861</v>
      </c>
      <c r="E969" s="10" t="s">
        <v>4066</v>
      </c>
      <c r="F969" s="10" t="s">
        <v>4063</v>
      </c>
      <c r="G969" s="10" t="s">
        <v>4064</v>
      </c>
      <c r="H969" s="10" t="s">
        <v>4065</v>
      </c>
      <c r="I969" s="10" t="s">
        <v>2415</v>
      </c>
    </row>
    <row r="970" spans="1:9" x14ac:dyDescent="0.25">
      <c r="A970">
        <v>780</v>
      </c>
      <c r="B970" s="10" t="s">
        <v>2633</v>
      </c>
      <c r="C970" s="10" t="s">
        <v>2634</v>
      </c>
      <c r="D970" s="10">
        <v>3862</v>
      </c>
      <c r="E970" s="10" t="s">
        <v>4067</v>
      </c>
      <c r="F970" s="10" t="s">
        <v>3193</v>
      </c>
      <c r="G970" s="10" t="s">
        <v>4068</v>
      </c>
      <c r="H970" s="10" t="s">
        <v>2425</v>
      </c>
      <c r="I970" s="10" t="s">
        <v>2449</v>
      </c>
    </row>
    <row r="971" spans="1:9" x14ac:dyDescent="0.25">
      <c r="A971">
        <v>760</v>
      </c>
      <c r="B971" s="10" t="s">
        <v>2633</v>
      </c>
      <c r="C971" s="10" t="s">
        <v>4069</v>
      </c>
      <c r="D971" s="10">
        <v>3864</v>
      </c>
      <c r="E971" s="10" t="s">
        <v>4070</v>
      </c>
      <c r="F971" s="10" t="s">
        <v>3330</v>
      </c>
      <c r="G971" s="10" t="s">
        <v>3331</v>
      </c>
      <c r="H971" s="10" t="s">
        <v>2250</v>
      </c>
      <c r="I971" s="10" t="s">
        <v>2336</v>
      </c>
    </row>
    <row r="972" spans="1:9" x14ac:dyDescent="0.25">
      <c r="A972">
        <v>597</v>
      </c>
      <c r="B972" s="10" t="s">
        <v>3258</v>
      </c>
      <c r="C972" s="10" t="s">
        <v>3930</v>
      </c>
      <c r="D972" s="10">
        <v>3865</v>
      </c>
      <c r="E972" s="10" t="s">
        <v>4071</v>
      </c>
      <c r="F972" s="10" t="s">
        <v>4072</v>
      </c>
      <c r="G972" s="10" t="s">
        <v>3075</v>
      </c>
      <c r="H972" s="10" t="s">
        <v>4028</v>
      </c>
      <c r="I972" s="10" t="s">
        <v>2324</v>
      </c>
    </row>
    <row r="973" spans="1:9" x14ac:dyDescent="0.25">
      <c r="A973">
        <v>781</v>
      </c>
      <c r="B973" s="10" t="s">
        <v>2633</v>
      </c>
      <c r="C973" s="10" t="s">
        <v>2634</v>
      </c>
      <c r="D973" s="10">
        <v>3867</v>
      </c>
      <c r="E973" s="10" t="s">
        <v>4073</v>
      </c>
      <c r="F973" s="10" t="s">
        <v>2470</v>
      </c>
      <c r="G973" s="10" t="s">
        <v>2629</v>
      </c>
      <c r="H973" s="10" t="s">
        <v>2631</v>
      </c>
      <c r="I973" s="10" t="s">
        <v>2631</v>
      </c>
    </row>
    <row r="974" spans="1:9" x14ac:dyDescent="0.25">
      <c r="A974">
        <v>782</v>
      </c>
      <c r="B974" s="10" t="s">
        <v>2633</v>
      </c>
      <c r="C974" s="10" t="s">
        <v>2634</v>
      </c>
      <c r="D974" s="10">
        <v>3868</v>
      </c>
      <c r="E974" s="10" t="s">
        <v>4074</v>
      </c>
      <c r="F974" s="10" t="s">
        <v>2932</v>
      </c>
      <c r="G974" s="10" t="s">
        <v>4075</v>
      </c>
      <c r="H974" s="10" t="s">
        <v>4076</v>
      </c>
      <c r="I974" s="10" t="s">
        <v>2341</v>
      </c>
    </row>
    <row r="975" spans="1:9" x14ac:dyDescent="0.25">
      <c r="A975">
        <v>783</v>
      </c>
      <c r="B975" s="10" t="s">
        <v>2633</v>
      </c>
      <c r="C975" s="10" t="s">
        <v>2634</v>
      </c>
      <c r="D975" s="10">
        <v>3869</v>
      </c>
      <c r="E975" s="10" t="s">
        <v>4077</v>
      </c>
      <c r="F975" s="10" t="s">
        <v>2470</v>
      </c>
      <c r="G975" s="10" t="s">
        <v>2629</v>
      </c>
      <c r="H975" s="10" t="s">
        <v>2631</v>
      </c>
      <c r="I975" s="10" t="s">
        <v>2631</v>
      </c>
    </row>
    <row r="976" spans="1:9" x14ac:dyDescent="0.25">
      <c r="A976">
        <v>784</v>
      </c>
      <c r="B976" s="10" t="s">
        <v>2633</v>
      </c>
      <c r="C976" s="10" t="s">
        <v>2634</v>
      </c>
      <c r="D976" s="10">
        <v>3870</v>
      </c>
      <c r="E976" s="10" t="s">
        <v>4078</v>
      </c>
      <c r="F976" s="10" t="s">
        <v>2932</v>
      </c>
      <c r="G976" s="10" t="s">
        <v>4075</v>
      </c>
      <c r="H976" s="10" t="s">
        <v>4076</v>
      </c>
      <c r="I976" s="10" t="s">
        <v>2341</v>
      </c>
    </row>
    <row r="977" spans="1:9" x14ac:dyDescent="0.25">
      <c r="A977">
        <v>785</v>
      </c>
      <c r="B977" s="10" t="s">
        <v>2633</v>
      </c>
      <c r="C977" s="10" t="s">
        <v>2634</v>
      </c>
      <c r="D977" s="10">
        <v>3871</v>
      </c>
      <c r="E977" s="10" t="s">
        <v>4079</v>
      </c>
      <c r="F977" s="10" t="s">
        <v>2284</v>
      </c>
      <c r="G977" s="10" t="s">
        <v>2221</v>
      </c>
      <c r="H977" s="10" t="s">
        <v>2223</v>
      </c>
      <c r="I977" s="10" t="s">
        <v>2223</v>
      </c>
    </row>
    <row r="978" spans="1:9" x14ac:dyDescent="0.25">
      <c r="A978">
        <v>560</v>
      </c>
      <c r="B978" s="10" t="s">
        <v>3258</v>
      </c>
      <c r="C978" s="10" t="s">
        <v>4037</v>
      </c>
      <c r="D978" s="10">
        <v>3874</v>
      </c>
      <c r="E978" s="10" t="s">
        <v>4080</v>
      </c>
      <c r="F978" s="10" t="s">
        <v>3036</v>
      </c>
      <c r="G978" s="10" t="s">
        <v>3037</v>
      </c>
      <c r="H978" s="10" t="s">
        <v>2496</v>
      </c>
      <c r="I978" s="10" t="s">
        <v>3039</v>
      </c>
    </row>
    <row r="979" spans="1:9" x14ac:dyDescent="0.25">
      <c r="A979">
        <v>598</v>
      </c>
      <c r="B979" s="10" t="s">
        <v>3258</v>
      </c>
      <c r="C979" s="10" t="s">
        <v>3930</v>
      </c>
      <c r="D979" s="10">
        <v>3875</v>
      </c>
      <c r="E979" s="10" t="s">
        <v>4081</v>
      </c>
      <c r="F979" s="10" t="s">
        <v>4027</v>
      </c>
      <c r="G979" s="10" t="s">
        <v>2706</v>
      </c>
      <c r="H979" s="10" t="s">
        <v>4028</v>
      </c>
      <c r="I979" s="10" t="s">
        <v>2324</v>
      </c>
    </row>
    <row r="980" spans="1:9" x14ac:dyDescent="0.25">
      <c r="A980">
        <v>718</v>
      </c>
      <c r="B980" s="10" t="s">
        <v>4082</v>
      </c>
      <c r="C980" s="10" t="s">
        <v>4083</v>
      </c>
      <c r="D980" s="10">
        <v>3876</v>
      </c>
      <c r="E980" s="10" t="s">
        <v>4084</v>
      </c>
      <c r="F980" s="10" t="s">
        <v>2466</v>
      </c>
      <c r="G980" s="10" t="s">
        <v>2467</v>
      </c>
      <c r="H980" s="10" t="s">
        <v>4085</v>
      </c>
      <c r="I980" s="10" t="s">
        <v>2319</v>
      </c>
    </row>
    <row r="981" spans="1:9" x14ac:dyDescent="0.25">
      <c r="A981">
        <v>561</v>
      </c>
      <c r="B981" s="10" t="s">
        <v>3258</v>
      </c>
      <c r="C981" s="10" t="s">
        <v>4037</v>
      </c>
      <c r="D981" s="10">
        <v>3877</v>
      </c>
      <c r="E981" s="10" t="s">
        <v>4086</v>
      </c>
      <c r="F981" s="10" t="s">
        <v>3036</v>
      </c>
      <c r="G981" s="10" t="s">
        <v>3037</v>
      </c>
      <c r="H981" s="10" t="s">
        <v>2496</v>
      </c>
      <c r="I981" s="10" t="s">
        <v>3039</v>
      </c>
    </row>
    <row r="982" spans="1:9" x14ac:dyDescent="0.25">
      <c r="A982">
        <v>761</v>
      </c>
      <c r="B982" s="10" t="s">
        <v>2633</v>
      </c>
      <c r="C982" s="10" t="s">
        <v>4069</v>
      </c>
      <c r="D982" s="10">
        <v>3878</v>
      </c>
      <c r="E982" s="10" t="s">
        <v>4087</v>
      </c>
      <c r="F982" s="10" t="s">
        <v>3330</v>
      </c>
      <c r="G982" s="10" t="s">
        <v>3331</v>
      </c>
      <c r="H982" s="10" t="s">
        <v>2250</v>
      </c>
      <c r="I982" s="10" t="s">
        <v>2336</v>
      </c>
    </row>
    <row r="983" spans="1:9" x14ac:dyDescent="0.25">
      <c r="A983">
        <v>762</v>
      </c>
      <c r="B983" s="10" t="s">
        <v>2633</v>
      </c>
      <c r="C983" s="10" t="s">
        <v>4069</v>
      </c>
      <c r="D983" s="10">
        <v>3879</v>
      </c>
      <c r="E983" s="10" t="s">
        <v>4088</v>
      </c>
      <c r="F983" s="10" t="s">
        <v>3330</v>
      </c>
      <c r="G983" s="10" t="s">
        <v>3331</v>
      </c>
      <c r="H983" s="10" t="s">
        <v>2250</v>
      </c>
      <c r="I983" s="10" t="s">
        <v>2336</v>
      </c>
    </row>
    <row r="984" spans="1:9" x14ac:dyDescent="0.25">
      <c r="A984">
        <v>763</v>
      </c>
      <c r="B984" s="10" t="s">
        <v>2633</v>
      </c>
      <c r="C984" s="10" t="s">
        <v>4069</v>
      </c>
      <c r="D984" s="10">
        <v>3880</v>
      </c>
      <c r="E984" s="10" t="s">
        <v>4089</v>
      </c>
      <c r="F984" s="10" t="s">
        <v>3330</v>
      </c>
      <c r="G984" s="10" t="s">
        <v>3331</v>
      </c>
      <c r="H984" s="10" t="s">
        <v>2250</v>
      </c>
      <c r="I984" s="10" t="s">
        <v>2336</v>
      </c>
    </row>
    <row r="985" spans="1:9" x14ac:dyDescent="0.25">
      <c r="A985">
        <v>764</v>
      </c>
      <c r="B985" s="10" t="s">
        <v>2633</v>
      </c>
      <c r="C985" s="10" t="s">
        <v>4069</v>
      </c>
      <c r="D985" s="10">
        <v>3881</v>
      </c>
      <c r="E985" s="10" t="s">
        <v>4090</v>
      </c>
      <c r="F985" s="10" t="s">
        <v>3330</v>
      </c>
      <c r="G985" s="10" t="s">
        <v>3331</v>
      </c>
      <c r="H985" s="10" t="s">
        <v>2250</v>
      </c>
      <c r="I985" s="10" t="s">
        <v>2336</v>
      </c>
    </row>
    <row r="986" spans="1:9" x14ac:dyDescent="0.25">
      <c r="A986">
        <v>567</v>
      </c>
      <c r="B986" s="10" t="s">
        <v>3258</v>
      </c>
      <c r="C986" s="10" t="s">
        <v>3879</v>
      </c>
      <c r="D986" s="10">
        <v>3882</v>
      </c>
      <c r="E986" s="10" t="s">
        <v>4091</v>
      </c>
      <c r="F986" s="10" t="s">
        <v>2924</v>
      </c>
      <c r="G986" s="10" t="s">
        <v>4092</v>
      </c>
      <c r="H986" s="10" t="s">
        <v>3039</v>
      </c>
      <c r="I986" s="10" t="s">
        <v>4093</v>
      </c>
    </row>
    <row r="987" spans="1:9" x14ac:dyDescent="0.25">
      <c r="A987">
        <v>568</v>
      </c>
      <c r="B987" s="10" t="s">
        <v>3258</v>
      </c>
      <c r="C987" s="10" t="s">
        <v>3879</v>
      </c>
      <c r="D987" s="10">
        <v>3883</v>
      </c>
      <c r="E987" s="10" t="s">
        <v>4094</v>
      </c>
      <c r="F987" s="10" t="s">
        <v>2932</v>
      </c>
      <c r="G987" s="10" t="s">
        <v>4075</v>
      </c>
      <c r="H987" s="10" t="s">
        <v>3469</v>
      </c>
      <c r="I987" s="10" t="s">
        <v>2341</v>
      </c>
    </row>
    <row r="988" spans="1:9" x14ac:dyDescent="0.25">
      <c r="A988">
        <v>569</v>
      </c>
      <c r="B988" s="10" t="s">
        <v>3258</v>
      </c>
      <c r="C988" s="10" t="s">
        <v>3879</v>
      </c>
      <c r="D988" s="10">
        <v>3884</v>
      </c>
      <c r="E988" s="10" t="s">
        <v>4095</v>
      </c>
      <c r="F988" s="10" t="s">
        <v>2400</v>
      </c>
      <c r="G988" s="10" t="s">
        <v>2401</v>
      </c>
      <c r="H988" s="10" t="s">
        <v>3976</v>
      </c>
      <c r="I988" s="10" t="s">
        <v>2403</v>
      </c>
    </row>
    <row r="989" spans="1:9" x14ac:dyDescent="0.25">
      <c r="A989">
        <v>570</v>
      </c>
      <c r="B989" s="10" t="s">
        <v>3258</v>
      </c>
      <c r="C989" s="10" t="s">
        <v>3879</v>
      </c>
      <c r="D989" s="10">
        <v>3885</v>
      </c>
      <c r="E989" s="10" t="s">
        <v>4096</v>
      </c>
      <c r="F989" s="10" t="s">
        <v>2573</v>
      </c>
      <c r="G989" s="10" t="s">
        <v>2291</v>
      </c>
      <c r="H989" s="10" t="s">
        <v>3642</v>
      </c>
      <c r="I989" s="10" t="s">
        <v>2449</v>
      </c>
    </row>
    <row r="990" spans="1:9" x14ac:dyDescent="0.25">
      <c r="A990">
        <v>571</v>
      </c>
      <c r="B990" s="10" t="s">
        <v>3258</v>
      </c>
      <c r="C990" s="10" t="s">
        <v>3879</v>
      </c>
      <c r="D990" s="10">
        <v>3886</v>
      </c>
      <c r="E990" s="10" t="s">
        <v>4097</v>
      </c>
      <c r="F990" s="10" t="s">
        <v>2573</v>
      </c>
      <c r="G990" s="10" t="s">
        <v>2291</v>
      </c>
      <c r="H990" s="10" t="s">
        <v>3642</v>
      </c>
      <c r="I990" s="10" t="s">
        <v>2449</v>
      </c>
    </row>
    <row r="991" spans="1:9" x14ac:dyDescent="0.25">
      <c r="A991">
        <v>727</v>
      </c>
      <c r="B991" s="10" t="s">
        <v>2633</v>
      </c>
      <c r="C991" s="10" t="s">
        <v>4098</v>
      </c>
      <c r="D991" s="10">
        <v>3888</v>
      </c>
      <c r="E991" s="10" t="s">
        <v>4099</v>
      </c>
      <c r="F991" s="10" t="s">
        <v>3308</v>
      </c>
      <c r="G991" s="10" t="s">
        <v>2313</v>
      </c>
      <c r="H991" s="10" t="s">
        <v>2191</v>
      </c>
      <c r="I991" s="10" t="s">
        <v>2477</v>
      </c>
    </row>
    <row r="992" spans="1:9" x14ac:dyDescent="0.25">
      <c r="A992">
        <v>728</v>
      </c>
      <c r="B992" s="10" t="s">
        <v>2633</v>
      </c>
      <c r="C992" s="10" t="s">
        <v>4098</v>
      </c>
      <c r="D992" s="10">
        <v>3889</v>
      </c>
      <c r="E992" s="10" t="s">
        <v>4100</v>
      </c>
      <c r="F992" s="10" t="s">
        <v>2865</v>
      </c>
      <c r="G992" s="10" t="s">
        <v>2866</v>
      </c>
      <c r="H992" s="10" t="s">
        <v>4101</v>
      </c>
      <c r="I992" s="10" t="s">
        <v>2383</v>
      </c>
    </row>
    <row r="993" spans="1:9" x14ac:dyDescent="0.25">
      <c r="A993">
        <v>744</v>
      </c>
      <c r="B993" s="10" t="s">
        <v>2633</v>
      </c>
      <c r="C993" s="10" t="s">
        <v>3898</v>
      </c>
      <c r="D993" s="10">
        <v>3890</v>
      </c>
      <c r="E993" s="10" t="s">
        <v>4102</v>
      </c>
      <c r="F993" s="10" t="s">
        <v>2390</v>
      </c>
      <c r="G993" s="10" t="s">
        <v>2391</v>
      </c>
      <c r="H993" s="10" t="s">
        <v>4103</v>
      </c>
      <c r="I993" s="10" t="s">
        <v>2118</v>
      </c>
    </row>
    <row r="994" spans="1:9" x14ac:dyDescent="0.25">
      <c r="A994">
        <v>563</v>
      </c>
      <c r="B994" s="10" t="s">
        <v>3258</v>
      </c>
      <c r="C994" s="10" t="s">
        <v>4104</v>
      </c>
      <c r="D994" s="10">
        <v>3892</v>
      </c>
      <c r="E994" s="10" t="s">
        <v>4105</v>
      </c>
      <c r="F994" s="10" t="s">
        <v>2279</v>
      </c>
      <c r="G994" s="10" t="s">
        <v>4106</v>
      </c>
      <c r="H994" s="10" t="s">
        <v>2546</v>
      </c>
      <c r="I994" s="10" t="s">
        <v>4107</v>
      </c>
    </row>
    <row r="995" spans="1:9" x14ac:dyDescent="0.25">
      <c r="A995">
        <v>564</v>
      </c>
      <c r="B995" s="10" t="s">
        <v>3258</v>
      </c>
      <c r="C995" s="10" t="s">
        <v>4104</v>
      </c>
      <c r="D995" s="10">
        <v>3893</v>
      </c>
      <c r="E995" s="10" t="s">
        <v>4108</v>
      </c>
      <c r="F995" s="10" t="s">
        <v>2279</v>
      </c>
      <c r="G995" s="10" t="s">
        <v>4106</v>
      </c>
      <c r="H995" s="10" t="s">
        <v>2546</v>
      </c>
      <c r="I995" s="10" t="s">
        <v>4107</v>
      </c>
    </row>
    <row r="996" spans="1:9" x14ac:dyDescent="0.25">
      <c r="A996">
        <v>542</v>
      </c>
      <c r="B996" s="10" t="s">
        <v>3258</v>
      </c>
      <c r="C996" s="10" t="s">
        <v>3997</v>
      </c>
      <c r="D996" s="10">
        <v>3903</v>
      </c>
      <c r="E996" s="10" t="s">
        <v>4109</v>
      </c>
      <c r="F996" s="10" t="s">
        <v>2347</v>
      </c>
      <c r="G996" s="10" t="s">
        <v>2621</v>
      </c>
      <c r="H996" s="10" t="s">
        <v>2630</v>
      </c>
      <c r="I996" s="10" t="s">
        <v>2329</v>
      </c>
    </row>
    <row r="997" spans="1:9" x14ac:dyDescent="0.25">
      <c r="A997">
        <v>562</v>
      </c>
      <c r="B997" s="10" t="s">
        <v>3258</v>
      </c>
      <c r="C997" s="10" t="s">
        <v>4037</v>
      </c>
      <c r="D997" s="10">
        <v>3904</v>
      </c>
      <c r="E997" s="10" t="s">
        <v>4110</v>
      </c>
      <c r="F997" s="10" t="s">
        <v>2456</v>
      </c>
      <c r="G997" s="10" t="s">
        <v>3325</v>
      </c>
      <c r="H997" s="10" t="s">
        <v>4111</v>
      </c>
      <c r="I997" s="10" t="s">
        <v>2491</v>
      </c>
    </row>
    <row r="998" spans="1:9" x14ac:dyDescent="0.25">
      <c r="A998">
        <v>729</v>
      </c>
      <c r="B998" s="10" t="s">
        <v>2633</v>
      </c>
      <c r="C998" s="10" t="s">
        <v>4112</v>
      </c>
      <c r="D998" s="10">
        <v>3905</v>
      </c>
      <c r="E998" s="10" t="s">
        <v>4113</v>
      </c>
      <c r="F998" s="10" t="s">
        <v>4114</v>
      </c>
      <c r="G998" s="10" t="s">
        <v>4115</v>
      </c>
      <c r="H998" s="10" t="s">
        <v>4116</v>
      </c>
      <c r="I998" s="10" t="s">
        <v>2916</v>
      </c>
    </row>
    <row r="999" spans="1:9" x14ac:dyDescent="0.25">
      <c r="A999">
        <v>778</v>
      </c>
      <c r="B999" s="10" t="s">
        <v>2633</v>
      </c>
      <c r="C999" s="10" t="s">
        <v>3354</v>
      </c>
      <c r="D999" s="10">
        <v>3907</v>
      </c>
      <c r="E999" s="10" t="s">
        <v>4117</v>
      </c>
      <c r="F999" s="10">
        <v>22.35</v>
      </c>
      <c r="G999" s="10">
        <v>0.93</v>
      </c>
      <c r="H999" s="10">
        <v>2.95</v>
      </c>
      <c r="I999" s="10">
        <v>1.29</v>
      </c>
    </row>
    <row r="1000" spans="1:9" x14ac:dyDescent="0.25">
      <c r="A1000">
        <v>757</v>
      </c>
      <c r="B1000" s="10" t="s">
        <v>2633</v>
      </c>
      <c r="C1000" s="10" t="s">
        <v>4118</v>
      </c>
      <c r="D1000" s="10">
        <v>3909</v>
      </c>
      <c r="E1000" s="10" t="s">
        <v>4119</v>
      </c>
      <c r="F1000" s="10" t="s">
        <v>4059</v>
      </c>
      <c r="G1000" s="10" t="s">
        <v>3635</v>
      </c>
      <c r="H1000" s="10" t="s">
        <v>2554</v>
      </c>
      <c r="I1000" s="10" t="s">
        <v>2324</v>
      </c>
    </row>
    <row r="1001" spans="1:9" x14ac:dyDescent="0.25">
      <c r="A1001">
        <v>730</v>
      </c>
      <c r="B1001" s="10" t="s">
        <v>2633</v>
      </c>
      <c r="C1001" s="10" t="s">
        <v>4112</v>
      </c>
      <c r="D1001" s="10">
        <v>3910</v>
      </c>
      <c r="E1001" s="10" t="s">
        <v>4120</v>
      </c>
      <c r="F1001" s="10" t="s">
        <v>3287</v>
      </c>
      <c r="G1001" s="10" t="s">
        <v>4121</v>
      </c>
      <c r="H1001" s="10" t="s">
        <v>2895</v>
      </c>
      <c r="I1001" s="10" t="s">
        <v>3469</v>
      </c>
    </row>
    <row r="1002" spans="1:9" x14ac:dyDescent="0.25">
      <c r="A1002">
        <v>731</v>
      </c>
      <c r="B1002" s="10" t="s">
        <v>2633</v>
      </c>
      <c r="C1002" s="10" t="s">
        <v>4112</v>
      </c>
      <c r="D1002" s="10">
        <v>3911</v>
      </c>
      <c r="E1002" s="10" t="s">
        <v>4122</v>
      </c>
      <c r="F1002" s="10" t="s">
        <v>3801</v>
      </c>
      <c r="G1002" s="10" t="s">
        <v>2888</v>
      </c>
      <c r="H1002" s="10" t="s">
        <v>4057</v>
      </c>
      <c r="I1002" s="10" t="s">
        <v>2666</v>
      </c>
    </row>
    <row r="1003" spans="1:9" x14ac:dyDescent="0.25">
      <c r="A1003">
        <v>732</v>
      </c>
      <c r="B1003" s="10" t="s">
        <v>2633</v>
      </c>
      <c r="C1003" s="10" t="s">
        <v>4112</v>
      </c>
      <c r="D1003" s="10">
        <v>3912</v>
      </c>
      <c r="E1003" s="10" t="s">
        <v>4123</v>
      </c>
      <c r="F1003" s="10" t="s">
        <v>4124</v>
      </c>
      <c r="G1003" s="10" t="s">
        <v>2555</v>
      </c>
      <c r="H1003" s="10" t="s">
        <v>4125</v>
      </c>
      <c r="I1003" s="10" t="s">
        <v>2477</v>
      </c>
    </row>
    <row r="1004" spans="1:9" x14ac:dyDescent="0.25">
      <c r="A1004">
        <v>733</v>
      </c>
      <c r="B1004" s="10" t="s">
        <v>2633</v>
      </c>
      <c r="C1004" s="10" t="s">
        <v>4112</v>
      </c>
      <c r="D1004" s="10">
        <v>3913</v>
      </c>
      <c r="E1004" s="10" t="s">
        <v>4126</v>
      </c>
      <c r="F1004" s="10" t="s">
        <v>2400</v>
      </c>
      <c r="G1004" s="10" t="s">
        <v>2401</v>
      </c>
      <c r="H1004" s="10" t="s">
        <v>4127</v>
      </c>
      <c r="I1004" s="10" t="s">
        <v>2403</v>
      </c>
    </row>
    <row r="1005" spans="1:9" x14ac:dyDescent="0.25">
      <c r="A1005">
        <v>734</v>
      </c>
      <c r="B1005" s="10" t="s">
        <v>2633</v>
      </c>
      <c r="C1005" s="10" t="s">
        <v>4112</v>
      </c>
      <c r="D1005" s="10">
        <v>3914</v>
      </c>
      <c r="E1005" s="10" t="s">
        <v>4128</v>
      </c>
      <c r="F1005" s="10" t="s">
        <v>2865</v>
      </c>
      <c r="G1005" s="10" t="s">
        <v>4129</v>
      </c>
      <c r="H1005" s="10" t="s">
        <v>3351</v>
      </c>
      <c r="I1005" s="10" t="s">
        <v>3390</v>
      </c>
    </row>
    <row r="1006" spans="1:9" x14ac:dyDescent="0.25">
      <c r="A1006">
        <v>1705</v>
      </c>
      <c r="B1006" s="10" t="s">
        <v>2593</v>
      </c>
      <c r="C1006" s="10" t="s">
        <v>2594</v>
      </c>
      <c r="D1006" s="10">
        <v>3915</v>
      </c>
      <c r="E1006" s="10" t="s">
        <v>4130</v>
      </c>
      <c r="F1006" s="10" t="s">
        <v>2220</v>
      </c>
      <c r="G1006" s="10" t="s">
        <v>2475</v>
      </c>
      <c r="H1006" s="10" t="s">
        <v>2647</v>
      </c>
      <c r="I1006" s="10" t="s">
        <v>2477</v>
      </c>
    </row>
    <row r="1007" spans="1:9" x14ac:dyDescent="0.25">
      <c r="A1007">
        <v>1706</v>
      </c>
      <c r="B1007" s="10" t="s">
        <v>2593</v>
      </c>
      <c r="C1007" s="10" t="s">
        <v>2594</v>
      </c>
      <c r="D1007" s="10">
        <v>3916</v>
      </c>
      <c r="E1007" s="10" t="s">
        <v>4131</v>
      </c>
      <c r="F1007" s="10" t="s">
        <v>3081</v>
      </c>
      <c r="G1007" s="10" t="s">
        <v>2656</v>
      </c>
      <c r="H1007" s="10" t="s">
        <v>2211</v>
      </c>
      <c r="I1007" s="10" t="s">
        <v>2363</v>
      </c>
    </row>
    <row r="1008" spans="1:9" x14ac:dyDescent="0.25">
      <c r="A1008">
        <v>758</v>
      </c>
      <c r="B1008" s="10" t="s">
        <v>2633</v>
      </c>
      <c r="C1008" s="10" t="s">
        <v>4118</v>
      </c>
      <c r="D1008" s="10">
        <v>3917</v>
      </c>
      <c r="E1008" s="10" t="s">
        <v>4132</v>
      </c>
      <c r="F1008" s="10" t="s">
        <v>2390</v>
      </c>
      <c r="G1008" s="10" t="s">
        <v>2391</v>
      </c>
      <c r="H1008" s="10" t="s">
        <v>2558</v>
      </c>
      <c r="I1008" s="10" t="s">
        <v>2118</v>
      </c>
    </row>
    <row r="1009" spans="1:9" x14ac:dyDescent="0.25">
      <c r="A1009">
        <v>1296</v>
      </c>
      <c r="B1009" s="10" t="s">
        <v>2997</v>
      </c>
      <c r="C1009" s="10" t="s">
        <v>4133</v>
      </c>
      <c r="D1009" s="10">
        <v>3918</v>
      </c>
      <c r="E1009" s="10" t="s">
        <v>4134</v>
      </c>
      <c r="F1009" s="10" t="s">
        <v>4135</v>
      </c>
      <c r="G1009" s="10" t="s">
        <v>2621</v>
      </c>
      <c r="H1009" s="10" t="s">
        <v>3092</v>
      </c>
      <c r="I1009" s="10" t="s">
        <v>2329</v>
      </c>
    </row>
    <row r="1010" spans="1:9" x14ac:dyDescent="0.25">
      <c r="A1010">
        <v>1297</v>
      </c>
      <c r="B1010" s="10" t="s">
        <v>2997</v>
      </c>
      <c r="C1010" s="10" t="s">
        <v>4133</v>
      </c>
      <c r="D1010" s="10">
        <v>3919</v>
      </c>
      <c r="E1010" s="10" t="s">
        <v>4136</v>
      </c>
      <c r="F1010" s="10" t="s">
        <v>3653</v>
      </c>
      <c r="G1010" s="10" t="s">
        <v>3238</v>
      </c>
      <c r="H1010" s="10" t="s">
        <v>4137</v>
      </c>
      <c r="I1010" s="10" t="s">
        <v>2213</v>
      </c>
    </row>
    <row r="1011" spans="1:9" x14ac:dyDescent="0.25">
      <c r="A1011">
        <v>1662</v>
      </c>
      <c r="B1011" s="10" t="s">
        <v>2593</v>
      </c>
      <c r="C1011" s="10" t="s">
        <v>2992</v>
      </c>
      <c r="D1011" s="10">
        <v>3920</v>
      </c>
      <c r="E1011" s="10" t="s">
        <v>4138</v>
      </c>
      <c r="F1011" s="10" t="s">
        <v>2417</v>
      </c>
      <c r="G1011" s="10" t="s">
        <v>2418</v>
      </c>
      <c r="H1011" s="10" t="s">
        <v>4139</v>
      </c>
      <c r="I1011" s="10" t="s">
        <v>2420</v>
      </c>
    </row>
    <row r="1012" spans="1:9" x14ac:dyDescent="0.25">
      <c r="A1012">
        <v>1698</v>
      </c>
      <c r="B1012" s="10" t="s">
        <v>2593</v>
      </c>
      <c r="C1012" s="10" t="s">
        <v>2696</v>
      </c>
      <c r="D1012" s="10">
        <v>3921</v>
      </c>
      <c r="E1012" s="10" t="s">
        <v>4140</v>
      </c>
      <c r="F1012" s="10" t="s">
        <v>2924</v>
      </c>
      <c r="G1012" s="10" t="s">
        <v>2706</v>
      </c>
      <c r="H1012" s="10" t="s">
        <v>3343</v>
      </c>
      <c r="I1012" s="10" t="s">
        <v>2707</v>
      </c>
    </row>
    <row r="1013" spans="1:9" x14ac:dyDescent="0.25">
      <c r="A1013">
        <v>759</v>
      </c>
      <c r="B1013" s="10" t="s">
        <v>2633</v>
      </c>
      <c r="C1013" s="10" t="s">
        <v>4118</v>
      </c>
      <c r="D1013" s="10">
        <v>3922</v>
      </c>
      <c r="E1013" s="10" t="s">
        <v>4141</v>
      </c>
      <c r="F1013" s="10" t="s">
        <v>2690</v>
      </c>
      <c r="G1013" s="10" t="s">
        <v>2691</v>
      </c>
      <c r="H1013" s="10" t="s">
        <v>2829</v>
      </c>
      <c r="I1013" s="10" t="s">
        <v>2315</v>
      </c>
    </row>
    <row r="1014" spans="1:9" x14ac:dyDescent="0.25">
      <c r="A1014">
        <v>1699</v>
      </c>
      <c r="B1014" s="10" t="s">
        <v>2593</v>
      </c>
      <c r="C1014" s="10" t="s">
        <v>2696</v>
      </c>
      <c r="D1014" s="10">
        <v>3923</v>
      </c>
      <c r="E1014" s="10" t="s">
        <v>4142</v>
      </c>
      <c r="F1014" s="10" t="s">
        <v>2446</v>
      </c>
      <c r="G1014" s="10" t="s">
        <v>2447</v>
      </c>
      <c r="H1014" s="10" t="s">
        <v>3516</v>
      </c>
      <c r="I1014" s="10" t="s">
        <v>2449</v>
      </c>
    </row>
    <row r="1015" spans="1:9" x14ac:dyDescent="0.25">
      <c r="A1015">
        <v>1663</v>
      </c>
      <c r="B1015" s="10" t="s">
        <v>2593</v>
      </c>
      <c r="C1015" s="10" t="s">
        <v>2992</v>
      </c>
      <c r="D1015" s="10">
        <v>3926</v>
      </c>
      <c r="E1015" s="10" t="s">
        <v>4143</v>
      </c>
      <c r="F1015" s="10" t="s">
        <v>2220</v>
      </c>
      <c r="G1015" s="10" t="s">
        <v>2475</v>
      </c>
      <c r="H1015" s="10" t="s">
        <v>3199</v>
      </c>
      <c r="I1015" s="10" t="s">
        <v>2477</v>
      </c>
    </row>
    <row r="1016" spans="1:9" x14ac:dyDescent="0.25">
      <c r="A1016">
        <v>1664</v>
      </c>
      <c r="B1016" s="10" t="s">
        <v>2593</v>
      </c>
      <c r="C1016" s="10" t="s">
        <v>2992</v>
      </c>
      <c r="D1016" s="10">
        <v>3927</v>
      </c>
      <c r="E1016" s="10" t="s">
        <v>4144</v>
      </c>
      <c r="F1016" s="10" t="s">
        <v>3221</v>
      </c>
      <c r="G1016" s="10" t="s">
        <v>2501</v>
      </c>
      <c r="H1016" s="10" t="s">
        <v>4145</v>
      </c>
      <c r="I1016" s="10" t="s">
        <v>2503</v>
      </c>
    </row>
    <row r="1017" spans="1:9" x14ac:dyDescent="0.25">
      <c r="A1017">
        <v>1665</v>
      </c>
      <c r="B1017" s="10" t="s">
        <v>2593</v>
      </c>
      <c r="C1017" s="10" t="s">
        <v>2992</v>
      </c>
      <c r="D1017" s="10">
        <v>3928</v>
      </c>
      <c r="E1017" s="10" t="s">
        <v>4146</v>
      </c>
      <c r="F1017" s="10" t="s">
        <v>2380</v>
      </c>
      <c r="G1017" s="10" t="s">
        <v>2725</v>
      </c>
      <c r="H1017" s="10" t="s">
        <v>3542</v>
      </c>
      <c r="I1017" s="10" t="s">
        <v>2304</v>
      </c>
    </row>
    <row r="1018" spans="1:9" x14ac:dyDescent="0.25">
      <c r="A1018">
        <v>1666</v>
      </c>
      <c r="B1018" s="10" t="s">
        <v>2593</v>
      </c>
      <c r="C1018" s="10" t="s">
        <v>2992</v>
      </c>
      <c r="D1018" s="10">
        <v>3929</v>
      </c>
      <c r="E1018" s="10" t="s">
        <v>4147</v>
      </c>
      <c r="F1018" s="10" t="s">
        <v>2220</v>
      </c>
      <c r="G1018" s="10" t="s">
        <v>2418</v>
      </c>
      <c r="H1018" s="10" t="s">
        <v>4148</v>
      </c>
      <c r="I1018" s="10" t="s">
        <v>2420</v>
      </c>
    </row>
    <row r="1019" spans="1:9" x14ac:dyDescent="0.25">
      <c r="A1019">
        <v>1667</v>
      </c>
      <c r="B1019" s="10" t="s">
        <v>2593</v>
      </c>
      <c r="C1019" s="10" t="s">
        <v>2992</v>
      </c>
      <c r="D1019" s="10">
        <v>3930</v>
      </c>
      <c r="E1019" s="10" t="s">
        <v>4149</v>
      </c>
      <c r="F1019" s="10" t="s">
        <v>2210</v>
      </c>
      <c r="G1019" s="10" t="s">
        <v>2706</v>
      </c>
      <c r="H1019" s="10" t="s">
        <v>3298</v>
      </c>
      <c r="I1019" s="10" t="s">
        <v>2707</v>
      </c>
    </row>
    <row r="1020" spans="1:9" x14ac:dyDescent="0.25">
      <c r="A1020">
        <v>1190</v>
      </c>
      <c r="B1020" s="10" t="s">
        <v>2207</v>
      </c>
      <c r="C1020" s="10" t="s">
        <v>2208</v>
      </c>
      <c r="D1020" s="10">
        <v>3931</v>
      </c>
      <c r="E1020" s="10" t="s">
        <v>4150</v>
      </c>
      <c r="F1020" s="10" t="s">
        <v>2390</v>
      </c>
      <c r="G1020" s="10" t="s">
        <v>4151</v>
      </c>
      <c r="H1020" s="10" t="s">
        <v>2850</v>
      </c>
      <c r="I1020" s="10" t="s">
        <v>2850</v>
      </c>
    </row>
    <row r="1021" spans="1:9" x14ac:dyDescent="0.25">
      <c r="A1021">
        <v>491</v>
      </c>
      <c r="B1021" s="10" t="s">
        <v>3881</v>
      </c>
      <c r="C1021" s="10" t="s">
        <v>3881</v>
      </c>
      <c r="D1021" s="10">
        <v>3932</v>
      </c>
      <c r="E1021" s="10" t="s">
        <v>4152</v>
      </c>
      <c r="F1021" s="10" t="s">
        <v>4153</v>
      </c>
      <c r="G1021" s="10" t="s">
        <v>2259</v>
      </c>
      <c r="H1021" s="10" t="s">
        <v>4154</v>
      </c>
      <c r="I1021" s="10" t="s">
        <v>2315</v>
      </c>
    </row>
    <row r="1022" spans="1:9" x14ac:dyDescent="0.25">
      <c r="A1022">
        <v>1191</v>
      </c>
      <c r="B1022" s="10" t="s">
        <v>2207</v>
      </c>
      <c r="C1022" s="10" t="s">
        <v>2208</v>
      </c>
      <c r="D1022" s="10">
        <v>3933</v>
      </c>
      <c r="E1022" s="10" t="s">
        <v>4155</v>
      </c>
      <c r="F1022" s="10" t="s">
        <v>3395</v>
      </c>
      <c r="G1022" s="10" t="s">
        <v>2829</v>
      </c>
      <c r="H1022" s="10" t="s">
        <v>2941</v>
      </c>
      <c r="I1022" s="10" t="s">
        <v>2329</v>
      </c>
    </row>
    <row r="1023" spans="1:9" x14ac:dyDescent="0.25">
      <c r="A1023">
        <v>747</v>
      </c>
      <c r="B1023" s="10" t="s">
        <v>2633</v>
      </c>
      <c r="C1023" s="10" t="s">
        <v>4156</v>
      </c>
      <c r="D1023" s="10">
        <v>3934</v>
      </c>
      <c r="E1023" s="10" t="s">
        <v>4157</v>
      </c>
      <c r="F1023" s="10">
        <v>35.950000000000003</v>
      </c>
      <c r="G1023" s="10">
        <v>0.75</v>
      </c>
      <c r="H1023" s="10">
        <v>1.98</v>
      </c>
      <c r="I1023" s="10">
        <v>0.99</v>
      </c>
    </row>
    <row r="1024" spans="1:9" x14ac:dyDescent="0.25">
      <c r="A1024">
        <v>1192</v>
      </c>
      <c r="B1024" s="10" t="s">
        <v>2207</v>
      </c>
      <c r="C1024" s="10" t="s">
        <v>2208</v>
      </c>
      <c r="D1024" s="10">
        <v>3935</v>
      </c>
      <c r="E1024" s="10" t="s">
        <v>4158</v>
      </c>
      <c r="F1024" s="10">
        <v>19.350000000000001</v>
      </c>
      <c r="G1024" s="10">
        <v>0.81</v>
      </c>
      <c r="H1024" s="10">
        <v>1.0900000000000001</v>
      </c>
      <c r="I1024" s="10">
        <v>1.0900000000000001</v>
      </c>
    </row>
    <row r="1025" spans="1:9" x14ac:dyDescent="0.25">
      <c r="A1025">
        <v>748</v>
      </c>
      <c r="B1025" s="10" t="s">
        <v>2633</v>
      </c>
      <c r="C1025" s="10" t="s">
        <v>4156</v>
      </c>
      <c r="D1025" s="10">
        <v>3936</v>
      </c>
      <c r="E1025" s="10" t="s">
        <v>4159</v>
      </c>
      <c r="F1025" s="10">
        <v>35.950000000000003</v>
      </c>
      <c r="G1025" s="10">
        <v>0.75</v>
      </c>
      <c r="H1025" s="10">
        <v>1.98</v>
      </c>
      <c r="I1025" s="10">
        <v>0.99</v>
      </c>
    </row>
    <row r="1026" spans="1:9" x14ac:dyDescent="0.25">
      <c r="A1026">
        <v>1193</v>
      </c>
      <c r="B1026" s="10" t="s">
        <v>2207</v>
      </c>
      <c r="C1026" s="10" t="s">
        <v>2208</v>
      </c>
      <c r="D1026" s="10">
        <v>3937</v>
      </c>
      <c r="E1026" s="10" t="s">
        <v>4160</v>
      </c>
      <c r="F1026" s="10">
        <v>15.15</v>
      </c>
      <c r="G1026" s="10">
        <v>1.26</v>
      </c>
      <c r="H1026" s="10">
        <v>0.85</v>
      </c>
      <c r="I1026" s="10">
        <v>1.69</v>
      </c>
    </row>
    <row r="1027" spans="1:9" x14ac:dyDescent="0.25">
      <c r="A1027">
        <v>1194</v>
      </c>
      <c r="B1027" s="10" t="s">
        <v>2207</v>
      </c>
      <c r="C1027" s="10" t="s">
        <v>2208</v>
      </c>
      <c r="D1027" s="10">
        <v>3938</v>
      </c>
      <c r="E1027" s="10" t="s">
        <v>4161</v>
      </c>
      <c r="F1027" s="10">
        <v>14.95</v>
      </c>
      <c r="G1027" s="10">
        <v>3.74</v>
      </c>
      <c r="H1027" s="10">
        <v>0.62</v>
      </c>
      <c r="I1027" s="10">
        <v>4.99</v>
      </c>
    </row>
    <row r="1028" spans="1:9" x14ac:dyDescent="0.25">
      <c r="A1028">
        <v>1195</v>
      </c>
      <c r="B1028" s="10" t="s">
        <v>2207</v>
      </c>
      <c r="C1028" s="10" t="s">
        <v>2208</v>
      </c>
      <c r="D1028" s="10">
        <v>3939</v>
      </c>
      <c r="E1028" s="10" t="s">
        <v>4162</v>
      </c>
      <c r="F1028" s="10">
        <v>21.45</v>
      </c>
      <c r="G1028" s="10">
        <v>0.89</v>
      </c>
      <c r="H1028" s="10">
        <v>1.19</v>
      </c>
      <c r="I1028" s="10">
        <v>1.19</v>
      </c>
    </row>
    <row r="1029" spans="1:9" x14ac:dyDescent="0.25">
      <c r="A1029">
        <v>1298</v>
      </c>
      <c r="B1029" s="10" t="s">
        <v>3380</v>
      </c>
      <c r="C1029" s="10" t="s">
        <v>4163</v>
      </c>
      <c r="D1029" s="10">
        <v>3941</v>
      </c>
      <c r="E1029" s="10" t="s">
        <v>4164</v>
      </c>
      <c r="F1029" s="10">
        <v>11.95</v>
      </c>
      <c r="G1029" s="10">
        <v>0.6</v>
      </c>
      <c r="H1029" s="10">
        <v>1.81</v>
      </c>
      <c r="I1029" s="10">
        <v>0.79</v>
      </c>
    </row>
    <row r="1030" spans="1:9" x14ac:dyDescent="0.25">
      <c r="A1030">
        <v>706</v>
      </c>
      <c r="B1030" s="10" t="s">
        <v>4082</v>
      </c>
      <c r="C1030" s="10" t="s">
        <v>1115</v>
      </c>
      <c r="D1030" s="10">
        <v>3942</v>
      </c>
      <c r="E1030" s="10" t="s">
        <v>4165</v>
      </c>
      <c r="F1030" s="10" t="s">
        <v>4166</v>
      </c>
      <c r="G1030" s="10" t="s">
        <v>2329</v>
      </c>
      <c r="H1030" s="10" t="s">
        <v>4167</v>
      </c>
      <c r="I1030" s="10" t="s">
        <v>2503</v>
      </c>
    </row>
    <row r="1031" spans="1:9" x14ac:dyDescent="0.25">
      <c r="A1031">
        <v>749</v>
      </c>
      <c r="B1031" s="10" t="s">
        <v>2633</v>
      </c>
      <c r="C1031" s="10" t="s">
        <v>4156</v>
      </c>
      <c r="D1031" s="10">
        <v>3948</v>
      </c>
      <c r="E1031" s="10" t="s">
        <v>4168</v>
      </c>
      <c r="F1031" s="10">
        <v>29.95</v>
      </c>
      <c r="G1031" s="10">
        <v>0.62</v>
      </c>
      <c r="H1031" s="10">
        <v>3.38</v>
      </c>
      <c r="I1031" s="10" t="s">
        <v>4169</v>
      </c>
    </row>
    <row r="1032" spans="1:9" x14ac:dyDescent="0.25">
      <c r="A1032">
        <v>707</v>
      </c>
      <c r="B1032" s="10" t="s">
        <v>4082</v>
      </c>
      <c r="C1032" s="10" t="s">
        <v>1115</v>
      </c>
      <c r="D1032" s="10">
        <v>3950</v>
      </c>
      <c r="E1032" s="10" t="s">
        <v>4170</v>
      </c>
      <c r="F1032" s="10" t="s">
        <v>2607</v>
      </c>
      <c r="G1032" s="10" t="s">
        <v>3994</v>
      </c>
      <c r="H1032" s="10" t="s">
        <v>3449</v>
      </c>
      <c r="I1032" s="10" t="s">
        <v>2206</v>
      </c>
    </row>
    <row r="1033" spans="1:9" x14ac:dyDescent="0.25">
      <c r="A1033">
        <v>1299</v>
      </c>
      <c r="B1033" s="10" t="s">
        <v>3380</v>
      </c>
      <c r="C1033" s="10" t="s">
        <v>4163</v>
      </c>
      <c r="D1033" s="10">
        <v>3951</v>
      </c>
      <c r="E1033" s="10" t="s">
        <v>4171</v>
      </c>
      <c r="F1033" s="10" t="s">
        <v>2493</v>
      </c>
      <c r="G1033" s="10" t="s">
        <v>2494</v>
      </c>
      <c r="H1033" s="10" t="s">
        <v>2967</v>
      </c>
      <c r="I1033" s="10" t="s">
        <v>2496</v>
      </c>
    </row>
    <row r="1034" spans="1:9" x14ac:dyDescent="0.25">
      <c r="A1034">
        <v>1300</v>
      </c>
      <c r="B1034" s="10" t="s">
        <v>3380</v>
      </c>
      <c r="C1034" s="10" t="s">
        <v>4163</v>
      </c>
      <c r="D1034" s="10">
        <v>3952</v>
      </c>
      <c r="E1034" s="10" t="s">
        <v>4172</v>
      </c>
      <c r="F1034" s="10" t="s">
        <v>3193</v>
      </c>
      <c r="G1034" s="10" t="s">
        <v>4013</v>
      </c>
      <c r="H1034" s="10" t="s">
        <v>2425</v>
      </c>
      <c r="I1034" s="10" t="s">
        <v>2425</v>
      </c>
    </row>
    <row r="1035" spans="1:9" x14ac:dyDescent="0.25">
      <c r="A1035">
        <v>750</v>
      </c>
      <c r="B1035" s="10" t="s">
        <v>2633</v>
      </c>
      <c r="C1035" s="10" t="s">
        <v>4156</v>
      </c>
      <c r="D1035" s="10">
        <v>3953</v>
      </c>
      <c r="E1035" s="10" t="s">
        <v>4173</v>
      </c>
      <c r="F1035" s="10" t="s">
        <v>2690</v>
      </c>
      <c r="G1035" s="10" t="s">
        <v>2691</v>
      </c>
      <c r="H1035" s="10" t="s">
        <v>2558</v>
      </c>
      <c r="I1035" s="10" t="s">
        <v>2315</v>
      </c>
    </row>
    <row r="1036" spans="1:9" x14ac:dyDescent="0.25">
      <c r="A1036">
        <v>488</v>
      </c>
      <c r="B1036" s="10" t="s">
        <v>3881</v>
      </c>
      <c r="C1036" s="10" t="s">
        <v>3881</v>
      </c>
      <c r="D1036" s="10">
        <v>3955</v>
      </c>
      <c r="E1036" s="10" t="s">
        <v>4174</v>
      </c>
      <c r="F1036" s="10" t="s">
        <v>3477</v>
      </c>
      <c r="G1036" s="10" t="s">
        <v>3465</v>
      </c>
      <c r="H1036" s="10" t="s">
        <v>4175</v>
      </c>
      <c r="I1036" s="10" t="s">
        <v>2880</v>
      </c>
    </row>
    <row r="1037" spans="1:9" x14ac:dyDescent="0.25">
      <c r="A1037">
        <v>489</v>
      </c>
      <c r="B1037" s="10" t="s">
        <v>3881</v>
      </c>
      <c r="C1037" s="10" t="s">
        <v>3881</v>
      </c>
      <c r="D1037" s="10">
        <v>3956</v>
      </c>
      <c r="E1037" s="10" t="s">
        <v>4176</v>
      </c>
      <c r="F1037" s="10" t="s">
        <v>4177</v>
      </c>
      <c r="G1037" s="10" t="s">
        <v>3450</v>
      </c>
      <c r="H1037" s="10" t="s">
        <v>4178</v>
      </c>
      <c r="I1037" s="10" t="s">
        <v>2231</v>
      </c>
    </row>
    <row r="1038" spans="1:9" x14ac:dyDescent="0.25">
      <c r="A1038">
        <v>490</v>
      </c>
      <c r="B1038" s="10" t="s">
        <v>3881</v>
      </c>
      <c r="C1038" s="10" t="s">
        <v>3881</v>
      </c>
      <c r="D1038" s="10">
        <v>3957</v>
      </c>
      <c r="E1038" s="10" t="s">
        <v>4179</v>
      </c>
      <c r="F1038" s="10" t="s">
        <v>2507</v>
      </c>
      <c r="G1038" s="10" t="s">
        <v>2377</v>
      </c>
      <c r="H1038" s="10" t="s">
        <v>4180</v>
      </c>
      <c r="I1038" s="10" t="s">
        <v>2218</v>
      </c>
    </row>
    <row r="1039" spans="1:9" x14ac:dyDescent="0.25">
      <c r="A1039">
        <v>1301</v>
      </c>
      <c r="B1039" s="10" t="s">
        <v>3380</v>
      </c>
      <c r="C1039" s="10" t="s">
        <v>4163</v>
      </c>
      <c r="D1039" s="10">
        <v>3958</v>
      </c>
      <c r="E1039" s="10" t="s">
        <v>4181</v>
      </c>
      <c r="F1039" s="10" t="s">
        <v>3193</v>
      </c>
      <c r="G1039" s="10" t="s">
        <v>4013</v>
      </c>
      <c r="H1039" s="10" t="s">
        <v>2425</v>
      </c>
      <c r="I1039" s="10" t="s">
        <v>2425</v>
      </c>
    </row>
    <row r="1040" spans="1:9" x14ac:dyDescent="0.25">
      <c r="A1040">
        <v>1302</v>
      </c>
      <c r="B1040" s="10" t="s">
        <v>3380</v>
      </c>
      <c r="C1040" s="10" t="s">
        <v>4163</v>
      </c>
      <c r="D1040" s="10">
        <v>3959</v>
      </c>
      <c r="E1040" s="10" t="s">
        <v>4182</v>
      </c>
      <c r="F1040" s="10" t="s">
        <v>3193</v>
      </c>
      <c r="G1040" s="10" t="s">
        <v>4013</v>
      </c>
      <c r="H1040" s="10" t="s">
        <v>2425</v>
      </c>
      <c r="I1040" s="10" t="s">
        <v>2425</v>
      </c>
    </row>
    <row r="1041" spans="1:9" x14ac:dyDescent="0.25">
      <c r="A1041">
        <v>751</v>
      </c>
      <c r="B1041" s="10" t="s">
        <v>2633</v>
      </c>
      <c r="C1041" s="10" t="s">
        <v>4156</v>
      </c>
      <c r="D1041" s="10">
        <v>3961</v>
      </c>
      <c r="E1041" s="10" t="s">
        <v>4183</v>
      </c>
      <c r="F1041" s="10">
        <v>29.95</v>
      </c>
      <c r="G1041" s="10">
        <v>0.62</v>
      </c>
      <c r="H1041" s="10">
        <v>3.38</v>
      </c>
      <c r="I1041" s="10" t="s">
        <v>4169</v>
      </c>
    </row>
    <row r="1042" spans="1:9" x14ac:dyDescent="0.25">
      <c r="A1042">
        <v>1303</v>
      </c>
      <c r="B1042" s="10" t="s">
        <v>3380</v>
      </c>
      <c r="C1042" s="10" t="s">
        <v>4163</v>
      </c>
      <c r="D1042" s="10">
        <v>3962</v>
      </c>
      <c r="E1042" s="10" t="s">
        <v>4184</v>
      </c>
      <c r="F1042" s="10" t="s">
        <v>3193</v>
      </c>
      <c r="G1042" s="10" t="s">
        <v>4013</v>
      </c>
      <c r="H1042" s="10" t="s">
        <v>2425</v>
      </c>
      <c r="I1042" s="10" t="s">
        <v>2425</v>
      </c>
    </row>
    <row r="1043" spans="1:9" x14ac:dyDescent="0.25">
      <c r="A1043">
        <v>752</v>
      </c>
      <c r="B1043" s="10" t="s">
        <v>2633</v>
      </c>
      <c r="C1043" s="10" t="s">
        <v>4156</v>
      </c>
      <c r="D1043" s="10">
        <v>3963</v>
      </c>
      <c r="E1043" s="10" t="s">
        <v>4185</v>
      </c>
      <c r="F1043" s="10" t="s">
        <v>2220</v>
      </c>
      <c r="G1043" s="10" t="s">
        <v>2418</v>
      </c>
      <c r="H1043" s="10" t="s">
        <v>2583</v>
      </c>
      <c r="I1043" s="10" t="s">
        <v>2420</v>
      </c>
    </row>
    <row r="1044" spans="1:9" x14ac:dyDescent="0.25">
      <c r="A1044">
        <v>1304</v>
      </c>
      <c r="B1044" s="10" t="s">
        <v>3380</v>
      </c>
      <c r="C1044" s="10" t="s">
        <v>4163</v>
      </c>
      <c r="D1044" s="10">
        <v>3964</v>
      </c>
      <c r="E1044" s="10" t="s">
        <v>3422</v>
      </c>
      <c r="F1044" s="10" t="s">
        <v>3193</v>
      </c>
      <c r="G1044" s="10" t="s">
        <v>4013</v>
      </c>
      <c r="H1044" s="10" t="s">
        <v>2425</v>
      </c>
      <c r="I1044" s="10" t="s">
        <v>2425</v>
      </c>
    </row>
    <row r="1045" spans="1:9" x14ac:dyDescent="0.25">
      <c r="A1045">
        <v>1305</v>
      </c>
      <c r="B1045" s="10" t="s">
        <v>3380</v>
      </c>
      <c r="C1045" s="10" t="s">
        <v>4163</v>
      </c>
      <c r="D1045" s="10">
        <v>3965</v>
      </c>
      <c r="E1045" s="10" t="s">
        <v>4186</v>
      </c>
      <c r="F1045" s="10" t="s">
        <v>3193</v>
      </c>
      <c r="G1045" s="10" t="s">
        <v>4013</v>
      </c>
      <c r="H1045" s="10" t="s">
        <v>2425</v>
      </c>
      <c r="I1045" s="10" t="s">
        <v>2425</v>
      </c>
    </row>
    <row r="1046" spans="1:9" x14ac:dyDescent="0.25">
      <c r="A1046">
        <v>1306</v>
      </c>
      <c r="B1046" s="10" t="s">
        <v>3380</v>
      </c>
      <c r="C1046" s="10" t="s">
        <v>4163</v>
      </c>
      <c r="D1046" s="10">
        <v>3966</v>
      </c>
      <c r="E1046" s="10" t="s">
        <v>3425</v>
      </c>
      <c r="F1046" s="10" t="s">
        <v>3193</v>
      </c>
      <c r="G1046" s="10" t="s">
        <v>4013</v>
      </c>
      <c r="H1046" s="10" t="s">
        <v>2425</v>
      </c>
      <c r="I1046" s="10" t="s">
        <v>2425</v>
      </c>
    </row>
    <row r="1047" spans="1:9" x14ac:dyDescent="0.25">
      <c r="A1047">
        <v>1307</v>
      </c>
      <c r="B1047" s="10" t="s">
        <v>3380</v>
      </c>
      <c r="C1047" s="10" t="s">
        <v>4163</v>
      </c>
      <c r="D1047" s="10">
        <v>3967</v>
      </c>
      <c r="E1047" s="10" t="s">
        <v>4187</v>
      </c>
      <c r="F1047" s="10" t="s">
        <v>3221</v>
      </c>
      <c r="G1047" s="10" t="s">
        <v>2599</v>
      </c>
      <c r="H1047" s="10" t="s">
        <v>2310</v>
      </c>
      <c r="I1047" s="10" t="s">
        <v>2310</v>
      </c>
    </row>
    <row r="1048" spans="1:9" x14ac:dyDescent="0.25">
      <c r="A1048">
        <v>754</v>
      </c>
      <c r="B1048" s="10" t="s">
        <v>2633</v>
      </c>
      <c r="C1048" s="10" t="s">
        <v>4188</v>
      </c>
      <c r="D1048" s="10">
        <v>3968</v>
      </c>
      <c r="E1048" s="10" t="s">
        <v>4189</v>
      </c>
      <c r="F1048" s="10" t="s">
        <v>3287</v>
      </c>
      <c r="G1048" s="10" t="s">
        <v>3288</v>
      </c>
      <c r="H1048" s="10" t="s">
        <v>4190</v>
      </c>
      <c r="I1048" s="10" t="s">
        <v>2319</v>
      </c>
    </row>
    <row r="1049" spans="1:9" x14ac:dyDescent="0.25">
      <c r="A1049">
        <v>755</v>
      </c>
      <c r="B1049" s="10" t="s">
        <v>2633</v>
      </c>
      <c r="C1049" s="10" t="s">
        <v>4188</v>
      </c>
      <c r="D1049" s="10">
        <v>3969</v>
      </c>
      <c r="E1049" s="10" t="s">
        <v>4191</v>
      </c>
      <c r="F1049" s="10">
        <v>43.95</v>
      </c>
      <c r="G1049" s="10">
        <v>0.92</v>
      </c>
      <c r="H1049" s="10">
        <v>3.17</v>
      </c>
      <c r="I1049" s="10">
        <v>1.19</v>
      </c>
    </row>
    <row r="1050" spans="1:9" x14ac:dyDescent="0.25">
      <c r="A1050">
        <v>756</v>
      </c>
      <c r="B1050" s="10" t="s">
        <v>2633</v>
      </c>
      <c r="C1050" s="10" t="s">
        <v>4188</v>
      </c>
      <c r="D1050" s="10">
        <v>3970</v>
      </c>
      <c r="E1050" s="10" t="s">
        <v>4192</v>
      </c>
      <c r="F1050" s="10" t="s">
        <v>2828</v>
      </c>
      <c r="G1050" s="10" t="s">
        <v>3343</v>
      </c>
      <c r="H1050" s="10" t="s">
        <v>2439</v>
      </c>
      <c r="I1050" s="10" t="s">
        <v>2223</v>
      </c>
    </row>
    <row r="1051" spans="1:9" x14ac:dyDescent="0.25">
      <c r="A1051">
        <v>1308</v>
      </c>
      <c r="B1051" s="10" t="s">
        <v>3380</v>
      </c>
      <c r="C1051" s="10" t="s">
        <v>4163</v>
      </c>
      <c r="D1051" s="10">
        <v>3971</v>
      </c>
      <c r="E1051" s="10" t="s">
        <v>4193</v>
      </c>
      <c r="F1051" s="10" t="s">
        <v>3978</v>
      </c>
      <c r="G1051" s="10" t="s">
        <v>2706</v>
      </c>
      <c r="H1051" s="10" t="s">
        <v>4055</v>
      </c>
      <c r="I1051" s="10" t="s">
        <v>2707</v>
      </c>
    </row>
    <row r="1052" spans="1:9" x14ac:dyDescent="0.25">
      <c r="A1052">
        <v>1309</v>
      </c>
      <c r="B1052" s="10" t="s">
        <v>3380</v>
      </c>
      <c r="C1052" s="10" t="s">
        <v>4163</v>
      </c>
      <c r="D1052" s="10">
        <v>3972</v>
      </c>
      <c r="E1052" s="10" t="s">
        <v>4194</v>
      </c>
      <c r="F1052" s="10">
        <v>12.95</v>
      </c>
      <c r="G1052" s="10">
        <v>0.65</v>
      </c>
      <c r="H1052" s="10">
        <v>2.0299999999999998</v>
      </c>
      <c r="I1052" s="10">
        <v>0.89</v>
      </c>
    </row>
    <row r="1053" spans="1:9" x14ac:dyDescent="0.25">
      <c r="A1053">
        <v>1310</v>
      </c>
      <c r="B1053" s="10" t="s">
        <v>3380</v>
      </c>
      <c r="C1053" s="10" t="s">
        <v>4163</v>
      </c>
      <c r="D1053" s="10">
        <v>3973</v>
      </c>
      <c r="E1053" s="10" t="s">
        <v>4195</v>
      </c>
      <c r="F1053" s="10" t="s">
        <v>4196</v>
      </c>
      <c r="G1053" s="10" t="s">
        <v>2255</v>
      </c>
      <c r="H1053" s="10" t="s">
        <v>4061</v>
      </c>
      <c r="I1053" s="10" t="s">
        <v>2368</v>
      </c>
    </row>
    <row r="1054" spans="1:9" x14ac:dyDescent="0.25">
      <c r="A1054">
        <v>1311</v>
      </c>
      <c r="B1054" s="10" t="s">
        <v>3380</v>
      </c>
      <c r="C1054" s="10" t="s">
        <v>4163</v>
      </c>
      <c r="D1054" s="10">
        <v>3974</v>
      </c>
      <c r="E1054" s="10" t="s">
        <v>4197</v>
      </c>
      <c r="F1054" s="10">
        <v>11.95</v>
      </c>
      <c r="G1054" s="10">
        <v>0.6</v>
      </c>
      <c r="H1054" s="10">
        <v>1.81</v>
      </c>
      <c r="I1054" s="10">
        <v>0.79</v>
      </c>
    </row>
    <row r="1055" spans="1:9" x14ac:dyDescent="0.25">
      <c r="A1055">
        <v>1312</v>
      </c>
      <c r="B1055" s="10" t="s">
        <v>3380</v>
      </c>
      <c r="C1055" s="10" t="s">
        <v>4163</v>
      </c>
      <c r="D1055" s="10">
        <v>3975</v>
      </c>
      <c r="E1055" s="10" t="s">
        <v>4198</v>
      </c>
      <c r="F1055" s="10" t="s">
        <v>4196</v>
      </c>
      <c r="G1055" s="10" t="s">
        <v>2255</v>
      </c>
      <c r="H1055" s="10" t="s">
        <v>4061</v>
      </c>
      <c r="I1055" s="10" t="s">
        <v>2368</v>
      </c>
    </row>
    <row r="1056" spans="1:9" x14ac:dyDescent="0.25">
      <c r="A1056">
        <v>1313</v>
      </c>
      <c r="B1056" s="10" t="s">
        <v>3380</v>
      </c>
      <c r="C1056" s="10" t="s">
        <v>4163</v>
      </c>
      <c r="D1056" s="10">
        <v>3976</v>
      </c>
      <c r="E1056" s="10" t="s">
        <v>4199</v>
      </c>
      <c r="F1056" s="10" t="s">
        <v>3978</v>
      </c>
      <c r="G1056" s="10" t="s">
        <v>2706</v>
      </c>
      <c r="H1056" s="10" t="s">
        <v>4055</v>
      </c>
      <c r="I1056" s="10" t="s">
        <v>2707</v>
      </c>
    </row>
    <row r="1057" spans="1:9" x14ac:dyDescent="0.25">
      <c r="A1057">
        <v>1314</v>
      </c>
      <c r="B1057" s="10" t="s">
        <v>3380</v>
      </c>
      <c r="C1057" s="10" t="s">
        <v>4163</v>
      </c>
      <c r="D1057" s="10">
        <v>3977</v>
      </c>
      <c r="E1057" s="10" t="s">
        <v>4200</v>
      </c>
      <c r="F1057" s="10">
        <v>12.95</v>
      </c>
      <c r="G1057" s="10">
        <v>0.65</v>
      </c>
      <c r="H1057" s="10">
        <v>2.0299999999999998</v>
      </c>
      <c r="I1057" s="10">
        <v>0.89</v>
      </c>
    </row>
    <row r="1058" spans="1:9" x14ac:dyDescent="0.25">
      <c r="A1058">
        <v>1315</v>
      </c>
      <c r="B1058" s="10" t="s">
        <v>3380</v>
      </c>
      <c r="C1058" s="10" t="s">
        <v>4163</v>
      </c>
      <c r="D1058" s="10">
        <v>3978</v>
      </c>
      <c r="E1058" s="10" t="s">
        <v>4201</v>
      </c>
      <c r="F1058" s="10">
        <v>12.95</v>
      </c>
      <c r="G1058" s="10">
        <v>0.65</v>
      </c>
      <c r="H1058" s="10">
        <v>2.0299999999999998</v>
      </c>
      <c r="I1058" s="10">
        <v>0.89</v>
      </c>
    </row>
    <row r="1059" spans="1:9" x14ac:dyDescent="0.25">
      <c r="A1059">
        <v>1316</v>
      </c>
      <c r="B1059" s="10" t="s">
        <v>3380</v>
      </c>
      <c r="C1059" s="10" t="s">
        <v>4163</v>
      </c>
      <c r="D1059" s="10">
        <v>3979</v>
      </c>
      <c r="E1059" s="10" t="s">
        <v>4202</v>
      </c>
      <c r="F1059" s="10">
        <v>12.95</v>
      </c>
      <c r="G1059" s="10">
        <v>0.65</v>
      </c>
      <c r="H1059" s="10">
        <v>2.0299999999999998</v>
      </c>
      <c r="I1059" s="10">
        <v>0.89</v>
      </c>
    </row>
    <row r="1060" spans="1:9" x14ac:dyDescent="0.25">
      <c r="A1060">
        <v>1317</v>
      </c>
      <c r="B1060" s="10" t="s">
        <v>3380</v>
      </c>
      <c r="C1060" s="10" t="s">
        <v>4163</v>
      </c>
      <c r="D1060" s="10">
        <v>3980</v>
      </c>
      <c r="E1060" s="10" t="s">
        <v>4203</v>
      </c>
      <c r="F1060" s="10">
        <v>12.95</v>
      </c>
      <c r="G1060" s="10">
        <v>0.65</v>
      </c>
      <c r="H1060" s="10">
        <v>2.0299999999999998</v>
      </c>
      <c r="I1060" s="10">
        <v>0.89</v>
      </c>
    </row>
    <row r="1061" spans="1:9" x14ac:dyDescent="0.25">
      <c r="A1061">
        <v>1318</v>
      </c>
      <c r="B1061" s="10" t="s">
        <v>3380</v>
      </c>
      <c r="C1061" s="10" t="s">
        <v>4163</v>
      </c>
      <c r="D1061" s="10">
        <v>3981</v>
      </c>
      <c r="E1061" s="10" t="s">
        <v>4204</v>
      </c>
      <c r="F1061" s="10">
        <v>12.95</v>
      </c>
      <c r="G1061" s="10">
        <v>0.65</v>
      </c>
      <c r="H1061" s="10">
        <v>2.0299999999999998</v>
      </c>
      <c r="I1061" s="10">
        <v>0.89</v>
      </c>
    </row>
    <row r="1062" spans="1:9" x14ac:dyDescent="0.25">
      <c r="A1062">
        <v>1319</v>
      </c>
      <c r="B1062" s="10" t="s">
        <v>3380</v>
      </c>
      <c r="C1062" s="10" t="s">
        <v>4163</v>
      </c>
      <c r="D1062" s="10">
        <v>3982</v>
      </c>
      <c r="E1062" s="10" t="s">
        <v>4205</v>
      </c>
      <c r="F1062" s="10">
        <v>12.95</v>
      </c>
      <c r="G1062" s="10">
        <v>0.65</v>
      </c>
      <c r="H1062" s="10">
        <v>2.0299999999999998</v>
      </c>
      <c r="I1062" s="10">
        <v>0.89</v>
      </c>
    </row>
    <row r="1063" spans="1:9" x14ac:dyDescent="0.25">
      <c r="A1063">
        <v>1320</v>
      </c>
      <c r="B1063" s="10" t="s">
        <v>3380</v>
      </c>
      <c r="C1063" s="10" t="s">
        <v>4163</v>
      </c>
      <c r="D1063" s="10">
        <v>3983</v>
      </c>
      <c r="E1063" s="10" t="s">
        <v>4206</v>
      </c>
      <c r="F1063" s="10" t="s">
        <v>4196</v>
      </c>
      <c r="G1063" s="10" t="s">
        <v>2255</v>
      </c>
      <c r="H1063" s="10" t="s">
        <v>4061</v>
      </c>
      <c r="I1063" s="10" t="s">
        <v>2368</v>
      </c>
    </row>
    <row r="1064" spans="1:9" x14ac:dyDescent="0.25">
      <c r="A1064">
        <v>406</v>
      </c>
      <c r="B1064" s="10" t="s">
        <v>2685</v>
      </c>
      <c r="C1064" s="10" t="s">
        <v>4207</v>
      </c>
      <c r="D1064" s="10">
        <v>3984</v>
      </c>
      <c r="E1064" s="10" t="s">
        <v>4208</v>
      </c>
      <c r="F1064" s="10" t="s">
        <v>2371</v>
      </c>
      <c r="G1064" s="10" t="s">
        <v>2231</v>
      </c>
      <c r="H1064" s="10" t="s">
        <v>2707</v>
      </c>
      <c r="I1064" s="10" t="s">
        <v>2251</v>
      </c>
    </row>
    <row r="1065" spans="1:9" x14ac:dyDescent="0.25">
      <c r="A1065">
        <v>407</v>
      </c>
      <c r="B1065" s="10" t="s">
        <v>2685</v>
      </c>
      <c r="C1065" s="10" t="s">
        <v>4207</v>
      </c>
      <c r="D1065" s="10">
        <v>3985</v>
      </c>
      <c r="E1065" s="10" t="s">
        <v>4209</v>
      </c>
      <c r="F1065" s="10">
        <v>19.5</v>
      </c>
      <c r="G1065" s="10">
        <v>0.81</v>
      </c>
      <c r="H1065" s="10">
        <v>2.92</v>
      </c>
      <c r="I1065" s="10" t="s">
        <v>4210</v>
      </c>
    </row>
    <row r="1066" spans="1:9" x14ac:dyDescent="0.25">
      <c r="A1066">
        <v>386</v>
      </c>
      <c r="B1066" s="10" t="s">
        <v>2685</v>
      </c>
      <c r="C1066" s="10" t="s">
        <v>4211</v>
      </c>
      <c r="D1066" s="10">
        <v>3986</v>
      </c>
      <c r="E1066" s="10" t="s">
        <v>3177</v>
      </c>
      <c r="F1066" s="10">
        <v>22.95</v>
      </c>
      <c r="G1066" s="10">
        <v>0.96</v>
      </c>
      <c r="H1066" s="10">
        <v>1.72</v>
      </c>
      <c r="I1066" s="10">
        <v>1.29</v>
      </c>
    </row>
    <row r="1067" spans="1:9" x14ac:dyDescent="0.25">
      <c r="A1067">
        <v>387</v>
      </c>
      <c r="B1067" s="10" t="s">
        <v>2685</v>
      </c>
      <c r="C1067" s="10" t="s">
        <v>4211</v>
      </c>
      <c r="D1067" s="10">
        <v>3988</v>
      </c>
      <c r="E1067" s="10" t="s">
        <v>4212</v>
      </c>
      <c r="F1067" s="10">
        <v>22.95</v>
      </c>
      <c r="G1067" s="10">
        <v>0.96</v>
      </c>
      <c r="H1067" s="10">
        <v>1.72</v>
      </c>
      <c r="I1067" s="10">
        <v>1.29</v>
      </c>
    </row>
    <row r="1068" spans="1:9" x14ac:dyDescent="0.25">
      <c r="A1068">
        <v>388</v>
      </c>
      <c r="B1068" s="10" t="s">
        <v>2685</v>
      </c>
      <c r="C1068" s="10" t="s">
        <v>4211</v>
      </c>
      <c r="D1068" s="10">
        <v>3990</v>
      </c>
      <c r="E1068" s="10" t="s">
        <v>4213</v>
      </c>
      <c r="F1068" s="10">
        <v>22.95</v>
      </c>
      <c r="G1068" s="10">
        <v>0.96</v>
      </c>
      <c r="H1068" s="10">
        <v>1.72</v>
      </c>
      <c r="I1068" s="10">
        <v>1.29</v>
      </c>
    </row>
    <row r="1069" spans="1:9" x14ac:dyDescent="0.25">
      <c r="A1069">
        <v>1534</v>
      </c>
      <c r="B1069" s="10" t="s">
        <v>2671</v>
      </c>
      <c r="C1069" s="10" t="s">
        <v>4214</v>
      </c>
      <c r="D1069" s="10">
        <v>3993</v>
      </c>
      <c r="E1069" s="10" t="s">
        <v>4215</v>
      </c>
      <c r="F1069" s="10">
        <v>1077.95</v>
      </c>
      <c r="G1069" s="10">
        <v>0.62</v>
      </c>
      <c r="H1069" s="10">
        <v>3.38</v>
      </c>
      <c r="I1069" s="10" t="s">
        <v>4216</v>
      </c>
    </row>
    <row r="1070" spans="1:9" x14ac:dyDescent="0.25">
      <c r="A1070">
        <v>708</v>
      </c>
      <c r="B1070" s="10" t="s">
        <v>4082</v>
      </c>
      <c r="C1070" s="10" t="s">
        <v>1115</v>
      </c>
      <c r="D1070" s="10">
        <v>3995</v>
      </c>
      <c r="E1070" s="10" t="s">
        <v>4217</v>
      </c>
      <c r="F1070" s="10" t="s">
        <v>2380</v>
      </c>
      <c r="G1070" s="10" t="s">
        <v>2888</v>
      </c>
      <c r="H1070" s="10" t="s">
        <v>4218</v>
      </c>
      <c r="I1070" s="10" t="s">
        <v>2666</v>
      </c>
    </row>
    <row r="1071" spans="1:9" x14ac:dyDescent="0.25">
      <c r="A1071">
        <v>389</v>
      </c>
      <c r="B1071" s="10" t="s">
        <v>2685</v>
      </c>
      <c r="C1071" s="10" t="s">
        <v>4211</v>
      </c>
      <c r="D1071" s="10">
        <v>3996</v>
      </c>
      <c r="E1071" s="10" t="s">
        <v>4219</v>
      </c>
      <c r="F1071" s="10">
        <v>22.95</v>
      </c>
      <c r="G1071" s="10">
        <v>0.96</v>
      </c>
      <c r="H1071" s="10">
        <v>1.72</v>
      </c>
      <c r="I1071" s="10">
        <v>1.29</v>
      </c>
    </row>
    <row r="1072" spans="1:9" x14ac:dyDescent="0.25">
      <c r="A1072">
        <v>390</v>
      </c>
      <c r="B1072" s="10" t="s">
        <v>2685</v>
      </c>
      <c r="C1072" s="10" t="s">
        <v>4211</v>
      </c>
      <c r="D1072" s="10">
        <v>3998</v>
      </c>
      <c r="E1072" s="10" t="s">
        <v>4220</v>
      </c>
      <c r="F1072" s="10">
        <v>22.95</v>
      </c>
      <c r="G1072" s="10">
        <v>0.96</v>
      </c>
      <c r="H1072" s="10">
        <v>1.72</v>
      </c>
      <c r="I1072" s="10">
        <v>1.29</v>
      </c>
    </row>
    <row r="1073" spans="1:9" x14ac:dyDescent="0.25">
      <c r="A1073">
        <v>391</v>
      </c>
      <c r="B1073" s="10" t="s">
        <v>2685</v>
      </c>
      <c r="C1073" s="10" t="s">
        <v>4211</v>
      </c>
      <c r="D1073" s="10">
        <v>4000</v>
      </c>
      <c r="E1073" s="10" t="s">
        <v>4221</v>
      </c>
      <c r="F1073" s="10">
        <v>22.95</v>
      </c>
      <c r="G1073" s="10">
        <v>0.96</v>
      </c>
      <c r="H1073" s="10">
        <v>1.72</v>
      </c>
      <c r="I1073" s="10">
        <v>1.29</v>
      </c>
    </row>
    <row r="1074" spans="1:9" x14ac:dyDescent="0.25">
      <c r="A1074">
        <v>403</v>
      </c>
      <c r="B1074" s="10" t="s">
        <v>2685</v>
      </c>
      <c r="C1074" s="10" t="s">
        <v>4222</v>
      </c>
      <c r="D1074" s="10">
        <v>4002</v>
      </c>
      <c r="E1074" s="10" t="s">
        <v>4223</v>
      </c>
      <c r="F1074" s="10">
        <v>22.95</v>
      </c>
      <c r="G1074" s="10">
        <v>0.96</v>
      </c>
      <c r="H1074" s="10">
        <v>1.72</v>
      </c>
      <c r="I1074" s="10">
        <v>1.29</v>
      </c>
    </row>
    <row r="1075" spans="1:9" x14ac:dyDescent="0.25">
      <c r="A1075">
        <v>404</v>
      </c>
      <c r="B1075" s="10" t="s">
        <v>2685</v>
      </c>
      <c r="C1075" s="10" t="s">
        <v>4222</v>
      </c>
      <c r="D1075" s="10">
        <v>4003</v>
      </c>
      <c r="E1075" s="10" t="s">
        <v>4224</v>
      </c>
      <c r="F1075" s="10" t="s">
        <v>3364</v>
      </c>
      <c r="G1075" s="10" t="s">
        <v>2213</v>
      </c>
      <c r="H1075" s="10" t="s">
        <v>2318</v>
      </c>
      <c r="I1075" s="10" t="s">
        <v>2431</v>
      </c>
    </row>
    <row r="1076" spans="1:9" x14ac:dyDescent="0.25">
      <c r="A1076">
        <v>392</v>
      </c>
      <c r="B1076" s="10" t="s">
        <v>2685</v>
      </c>
      <c r="C1076" s="10" t="s">
        <v>4211</v>
      </c>
      <c r="D1076" s="10">
        <v>4004</v>
      </c>
      <c r="E1076" s="10" t="s">
        <v>4225</v>
      </c>
      <c r="F1076" s="10">
        <v>22.95</v>
      </c>
      <c r="G1076" s="10">
        <v>0.96</v>
      </c>
      <c r="H1076" s="10">
        <v>1.72</v>
      </c>
      <c r="I1076" s="10">
        <v>1.29</v>
      </c>
    </row>
    <row r="1077" spans="1:9" x14ac:dyDescent="0.25">
      <c r="A1077">
        <v>408</v>
      </c>
      <c r="B1077" s="10" t="s">
        <v>2685</v>
      </c>
      <c r="C1077" s="10" t="s">
        <v>4207</v>
      </c>
      <c r="D1077" s="10">
        <v>4006</v>
      </c>
      <c r="E1077" s="10" t="s">
        <v>4226</v>
      </c>
      <c r="F1077" s="10" t="s">
        <v>3405</v>
      </c>
      <c r="G1077" s="10" t="s">
        <v>2213</v>
      </c>
      <c r="H1077" s="10" t="s">
        <v>2530</v>
      </c>
      <c r="I1077" s="10" t="s">
        <v>2431</v>
      </c>
    </row>
    <row r="1078" spans="1:9" x14ac:dyDescent="0.25">
      <c r="A1078">
        <v>409</v>
      </c>
      <c r="B1078" s="10" t="s">
        <v>2685</v>
      </c>
      <c r="C1078" s="10" t="s">
        <v>4207</v>
      </c>
      <c r="D1078" s="10">
        <v>4008</v>
      </c>
      <c r="E1078" s="10" t="s">
        <v>4227</v>
      </c>
      <c r="F1078" s="10" t="s">
        <v>3081</v>
      </c>
      <c r="G1078" s="10" t="s">
        <v>4228</v>
      </c>
      <c r="H1078" s="10" t="s">
        <v>2621</v>
      </c>
      <c r="I1078" s="10" t="s">
        <v>3336</v>
      </c>
    </row>
    <row r="1079" spans="1:9" x14ac:dyDescent="0.25">
      <c r="A1079">
        <v>410</v>
      </c>
      <c r="B1079" s="10" t="s">
        <v>2685</v>
      </c>
      <c r="C1079" s="10" t="s">
        <v>4207</v>
      </c>
      <c r="D1079" s="10">
        <v>4012</v>
      </c>
      <c r="E1079" s="10" t="s">
        <v>4229</v>
      </c>
      <c r="F1079" s="10">
        <v>19.5</v>
      </c>
      <c r="G1079" s="10">
        <v>0.81</v>
      </c>
      <c r="H1079" s="10">
        <v>2.92</v>
      </c>
      <c r="I1079" s="10">
        <v>2.19</v>
      </c>
    </row>
    <row r="1080" spans="1:9" x14ac:dyDescent="0.25">
      <c r="A1080">
        <v>411</v>
      </c>
      <c r="B1080" s="10" t="s">
        <v>2685</v>
      </c>
      <c r="C1080" s="10" t="s">
        <v>4207</v>
      </c>
      <c r="D1080" s="10">
        <v>4015</v>
      </c>
      <c r="E1080" s="10" t="s">
        <v>4230</v>
      </c>
      <c r="F1080" s="10" t="s">
        <v>4231</v>
      </c>
      <c r="G1080" s="10" t="s">
        <v>4228</v>
      </c>
      <c r="H1080" s="10" t="s">
        <v>4232</v>
      </c>
      <c r="I1080" s="10" t="s">
        <v>3336</v>
      </c>
    </row>
    <row r="1081" spans="1:9" x14ac:dyDescent="0.25">
      <c r="A1081">
        <v>412</v>
      </c>
      <c r="B1081" s="10" t="s">
        <v>2685</v>
      </c>
      <c r="C1081" s="10" t="s">
        <v>4207</v>
      </c>
      <c r="D1081" s="10">
        <v>4018</v>
      </c>
      <c r="E1081" s="10" t="s">
        <v>4233</v>
      </c>
      <c r="F1081" s="10" t="s">
        <v>2390</v>
      </c>
      <c r="G1081" s="10" t="s">
        <v>4151</v>
      </c>
      <c r="H1081" s="10" t="s">
        <v>2425</v>
      </c>
      <c r="I1081" s="10" t="s">
        <v>2707</v>
      </c>
    </row>
    <row r="1082" spans="1:9" x14ac:dyDescent="0.25">
      <c r="A1082">
        <v>393</v>
      </c>
      <c r="B1082" s="10" t="s">
        <v>2685</v>
      </c>
      <c r="C1082" s="10" t="s">
        <v>4211</v>
      </c>
      <c r="D1082" s="10">
        <v>4021</v>
      </c>
      <c r="E1082" s="10" t="s">
        <v>4234</v>
      </c>
      <c r="F1082" s="10">
        <v>22.95</v>
      </c>
      <c r="G1082" s="10">
        <v>0.96</v>
      </c>
      <c r="H1082" s="10">
        <v>1.72</v>
      </c>
      <c r="I1082" s="10">
        <v>1.29</v>
      </c>
    </row>
    <row r="1083" spans="1:9" x14ac:dyDescent="0.25">
      <c r="A1083">
        <v>413</v>
      </c>
      <c r="B1083" s="10" t="s">
        <v>2685</v>
      </c>
      <c r="C1083" s="10" t="s">
        <v>4207</v>
      </c>
      <c r="D1083" s="10">
        <v>4025</v>
      </c>
      <c r="E1083" s="10" t="s">
        <v>4235</v>
      </c>
      <c r="F1083" s="10" t="s">
        <v>2553</v>
      </c>
      <c r="G1083" s="10" t="s">
        <v>4236</v>
      </c>
      <c r="H1083" s="10" t="s">
        <v>2748</v>
      </c>
      <c r="I1083" s="10" t="s">
        <v>4237</v>
      </c>
    </row>
    <row r="1084" spans="1:9" x14ac:dyDescent="0.25">
      <c r="A1084">
        <v>414</v>
      </c>
      <c r="B1084" s="10" t="s">
        <v>2685</v>
      </c>
      <c r="C1084" s="10" t="s">
        <v>4207</v>
      </c>
      <c r="D1084" s="10">
        <v>4037</v>
      </c>
      <c r="E1084" s="10" t="s">
        <v>4238</v>
      </c>
      <c r="F1084" s="10" t="s">
        <v>3740</v>
      </c>
      <c r="G1084" s="10" t="s">
        <v>4239</v>
      </c>
      <c r="H1084" s="10" t="s">
        <v>2626</v>
      </c>
      <c r="I1084" s="10" t="s">
        <v>3131</v>
      </c>
    </row>
    <row r="1085" spans="1:9" x14ac:dyDescent="0.25">
      <c r="A1085">
        <v>415</v>
      </c>
      <c r="B1085" s="10" t="s">
        <v>2685</v>
      </c>
      <c r="C1085" s="10" t="s">
        <v>4207</v>
      </c>
      <c r="D1085" s="10">
        <v>4039</v>
      </c>
      <c r="E1085" s="10" t="s">
        <v>4240</v>
      </c>
      <c r="F1085" s="10" t="s">
        <v>3081</v>
      </c>
      <c r="G1085" s="10" t="s">
        <v>4228</v>
      </c>
      <c r="H1085" s="10" t="s">
        <v>2829</v>
      </c>
      <c r="I1085" s="10" t="s">
        <v>2205</v>
      </c>
    </row>
    <row r="1086" spans="1:9" x14ac:dyDescent="0.25">
      <c r="A1086">
        <v>416</v>
      </c>
      <c r="B1086" s="10" t="s">
        <v>2685</v>
      </c>
      <c r="C1086" s="10" t="s">
        <v>4207</v>
      </c>
      <c r="D1086" s="10">
        <v>4056</v>
      </c>
      <c r="E1086" s="10" t="s">
        <v>4241</v>
      </c>
      <c r="F1086" s="10">
        <v>22.75</v>
      </c>
      <c r="G1086" s="10">
        <v>0.95</v>
      </c>
      <c r="H1086" s="10">
        <v>1.72</v>
      </c>
      <c r="I1086" s="10">
        <v>1.29</v>
      </c>
    </row>
    <row r="1087" spans="1:9" x14ac:dyDescent="0.25">
      <c r="A1087">
        <v>395</v>
      </c>
      <c r="B1087" s="10" t="s">
        <v>2685</v>
      </c>
      <c r="C1087" s="10" t="s">
        <v>4242</v>
      </c>
      <c r="D1087" s="10">
        <v>4060</v>
      </c>
      <c r="E1087" s="10" t="s">
        <v>4243</v>
      </c>
      <c r="F1087" s="10">
        <v>9.9499999999999993</v>
      </c>
      <c r="G1087" s="10">
        <v>2.4900000000000002</v>
      </c>
      <c r="H1087" s="10">
        <v>0.75</v>
      </c>
      <c r="I1087" s="10">
        <v>3.39</v>
      </c>
    </row>
    <row r="1088" spans="1:9" x14ac:dyDescent="0.25">
      <c r="A1088">
        <v>396</v>
      </c>
      <c r="B1088" s="10" t="s">
        <v>2685</v>
      </c>
      <c r="C1088" s="10" t="s">
        <v>4242</v>
      </c>
      <c r="D1088" s="10">
        <v>4063</v>
      </c>
      <c r="E1088" s="10" t="s">
        <v>4244</v>
      </c>
      <c r="F1088" s="10">
        <v>9.9499999999999993</v>
      </c>
      <c r="G1088" s="10">
        <v>2.4900000000000002</v>
      </c>
      <c r="H1088" s="10">
        <v>0.75</v>
      </c>
      <c r="I1088" s="10">
        <v>3.39</v>
      </c>
    </row>
    <row r="1089" spans="1:9" x14ac:dyDescent="0.25">
      <c r="A1089">
        <v>397</v>
      </c>
      <c r="B1089" s="10" t="s">
        <v>2685</v>
      </c>
      <c r="C1089" s="10" t="s">
        <v>4242</v>
      </c>
      <c r="D1089" s="10">
        <v>4100</v>
      </c>
      <c r="E1089" s="10" t="s">
        <v>4245</v>
      </c>
      <c r="F1089" s="10">
        <v>9.5</v>
      </c>
      <c r="G1089" s="10">
        <v>1.19</v>
      </c>
      <c r="H1089" s="10">
        <v>0.38</v>
      </c>
      <c r="I1089" s="10">
        <v>1.59</v>
      </c>
    </row>
    <row r="1090" spans="1:9" x14ac:dyDescent="0.25">
      <c r="A1090">
        <v>398</v>
      </c>
      <c r="B1090" s="10" t="s">
        <v>2685</v>
      </c>
      <c r="C1090" s="10" t="s">
        <v>4242</v>
      </c>
      <c r="D1090" s="10">
        <v>4101</v>
      </c>
      <c r="E1090" s="10" t="s">
        <v>4246</v>
      </c>
      <c r="F1090" s="10">
        <v>9.5</v>
      </c>
      <c r="G1090" s="10">
        <v>1.19</v>
      </c>
      <c r="H1090" s="10">
        <v>0.38</v>
      </c>
      <c r="I1090" s="10">
        <v>1.59</v>
      </c>
    </row>
    <row r="1091" spans="1:9" x14ac:dyDescent="0.25">
      <c r="A1091">
        <v>399</v>
      </c>
      <c r="B1091" s="10" t="s">
        <v>2685</v>
      </c>
      <c r="C1091" s="10" t="s">
        <v>4242</v>
      </c>
      <c r="D1091" s="10">
        <v>4102</v>
      </c>
      <c r="E1091" s="10" t="s">
        <v>4247</v>
      </c>
      <c r="F1091" s="10">
        <v>9.5</v>
      </c>
      <c r="G1091" s="10">
        <v>1.19</v>
      </c>
      <c r="H1091" s="10">
        <v>0.38</v>
      </c>
      <c r="I1091" s="10">
        <v>1.59</v>
      </c>
    </row>
    <row r="1092" spans="1:9" x14ac:dyDescent="0.25">
      <c r="A1092">
        <v>400</v>
      </c>
      <c r="B1092" s="10" t="s">
        <v>2685</v>
      </c>
      <c r="C1092" s="10" t="s">
        <v>4242</v>
      </c>
      <c r="D1092" s="10">
        <v>4103</v>
      </c>
      <c r="E1092" s="10" t="s">
        <v>4248</v>
      </c>
      <c r="F1092" s="10">
        <v>9.5</v>
      </c>
      <c r="G1092" s="10">
        <v>1.19</v>
      </c>
      <c r="H1092" s="10">
        <v>0.38</v>
      </c>
      <c r="I1092" s="10">
        <v>1.59</v>
      </c>
    </row>
    <row r="1093" spans="1:9" x14ac:dyDescent="0.25">
      <c r="A1093">
        <v>405</v>
      </c>
      <c r="B1093" s="10" t="s">
        <v>2685</v>
      </c>
      <c r="C1093" s="10" t="s">
        <v>4222</v>
      </c>
      <c r="D1093" s="10">
        <v>4104</v>
      </c>
      <c r="E1093" s="10" t="s">
        <v>4249</v>
      </c>
      <c r="F1093" s="10">
        <v>9.5</v>
      </c>
      <c r="G1093" s="10">
        <v>1.19</v>
      </c>
      <c r="H1093" s="10">
        <v>0.38</v>
      </c>
      <c r="I1093" s="10">
        <v>1.59</v>
      </c>
    </row>
    <row r="1094" spans="1:9" x14ac:dyDescent="0.25">
      <c r="A1094">
        <v>401</v>
      </c>
      <c r="B1094" s="10" t="s">
        <v>2685</v>
      </c>
      <c r="C1094" s="10" t="s">
        <v>4242</v>
      </c>
      <c r="D1094" s="10">
        <v>4105</v>
      </c>
      <c r="E1094" s="10" t="s">
        <v>4250</v>
      </c>
      <c r="F1094" s="10">
        <v>9.5</v>
      </c>
      <c r="G1094" s="10">
        <v>1.19</v>
      </c>
      <c r="H1094" s="10">
        <v>0.38</v>
      </c>
      <c r="I1094" s="10">
        <v>1.59</v>
      </c>
    </row>
    <row r="1095" spans="1:9" x14ac:dyDescent="0.25">
      <c r="A1095">
        <v>402</v>
      </c>
      <c r="B1095" s="10" t="s">
        <v>2685</v>
      </c>
      <c r="C1095" s="10" t="s">
        <v>4242</v>
      </c>
      <c r="D1095" s="10">
        <v>4106</v>
      </c>
      <c r="E1095" s="10" t="s">
        <v>4251</v>
      </c>
      <c r="F1095" s="10">
        <v>9.5</v>
      </c>
      <c r="G1095" s="10">
        <v>1.19</v>
      </c>
      <c r="H1095" s="10">
        <v>0.38</v>
      </c>
      <c r="I1095" s="10">
        <v>1.59</v>
      </c>
    </row>
    <row r="1096" spans="1:9" x14ac:dyDescent="0.25">
      <c r="A1096">
        <v>394</v>
      </c>
      <c r="B1096" s="10" t="s">
        <v>2685</v>
      </c>
      <c r="C1096" s="10" t="s">
        <v>4211</v>
      </c>
      <c r="D1096" s="10">
        <v>4134</v>
      </c>
      <c r="E1096" s="10" t="s">
        <v>4252</v>
      </c>
      <c r="F1096" s="10">
        <v>22.95</v>
      </c>
      <c r="G1096" s="10">
        <v>0.96</v>
      </c>
      <c r="H1096" s="10">
        <v>1.72</v>
      </c>
      <c r="I1096" s="10">
        <v>1.29</v>
      </c>
    </row>
    <row r="1097" spans="1:9" x14ac:dyDescent="0.25">
      <c r="A1097">
        <v>786</v>
      </c>
      <c r="B1097" s="10" t="s">
        <v>2633</v>
      </c>
      <c r="C1097" s="10" t="s">
        <v>2634</v>
      </c>
      <c r="D1097" s="10">
        <v>4135</v>
      </c>
      <c r="E1097" s="10" t="s">
        <v>4253</v>
      </c>
      <c r="F1097" s="10" t="s">
        <v>2262</v>
      </c>
      <c r="G1097" s="10" t="s">
        <v>2636</v>
      </c>
      <c r="H1097" s="10" t="s">
        <v>2464</v>
      </c>
      <c r="I1097" s="10" t="s">
        <v>2464</v>
      </c>
    </row>
    <row r="1098" spans="1:9" x14ac:dyDescent="0.25">
      <c r="A1098">
        <v>313</v>
      </c>
      <c r="B1098" s="10" t="s">
        <v>2685</v>
      </c>
      <c r="C1098" s="10" t="s">
        <v>4254</v>
      </c>
      <c r="D1098" s="10">
        <v>4166</v>
      </c>
      <c r="E1098" s="10" t="s">
        <v>4255</v>
      </c>
      <c r="F1098" s="10" t="s">
        <v>4256</v>
      </c>
      <c r="G1098" s="10" t="s">
        <v>4257</v>
      </c>
      <c r="H1098" s="10" t="s">
        <v>4258</v>
      </c>
      <c r="I1098" s="10" t="s">
        <v>2218</v>
      </c>
    </row>
    <row r="1099" spans="1:9" x14ac:dyDescent="0.25">
      <c r="A1099">
        <v>572</v>
      </c>
      <c r="B1099" s="10" t="s">
        <v>3258</v>
      </c>
      <c r="C1099" s="10" t="s">
        <v>3879</v>
      </c>
      <c r="D1099" s="10">
        <v>4169</v>
      </c>
      <c r="E1099" s="10" t="s">
        <v>4259</v>
      </c>
      <c r="F1099" s="10" t="s">
        <v>2400</v>
      </c>
      <c r="G1099" s="10" t="s">
        <v>2401</v>
      </c>
      <c r="H1099" s="10" t="s">
        <v>3976</v>
      </c>
      <c r="I1099" s="10" t="s">
        <v>2403</v>
      </c>
    </row>
    <row r="1100" spans="1:9" x14ac:dyDescent="0.25">
      <c r="A1100">
        <v>1722</v>
      </c>
      <c r="B1100" s="10" t="s">
        <v>3365</v>
      </c>
      <c r="C1100" s="10" t="s">
        <v>4260</v>
      </c>
      <c r="D1100" s="10">
        <v>4170</v>
      </c>
      <c r="E1100" s="10" t="s">
        <v>4261</v>
      </c>
      <c r="F1100" s="10" t="s">
        <v>2690</v>
      </c>
      <c r="G1100" s="10" t="s">
        <v>2691</v>
      </c>
      <c r="H1100" s="10" t="s">
        <v>4262</v>
      </c>
      <c r="I1100" s="10" t="s">
        <v>2315</v>
      </c>
    </row>
    <row r="1101" spans="1:9" x14ac:dyDescent="0.25">
      <c r="A1101">
        <v>314</v>
      </c>
      <c r="B1101" s="10" t="s">
        <v>2685</v>
      </c>
      <c r="C1101" s="10" t="s">
        <v>4254</v>
      </c>
      <c r="D1101" s="10">
        <v>4174</v>
      </c>
      <c r="E1101" s="10" t="s">
        <v>4263</v>
      </c>
      <c r="F1101" s="10" t="s">
        <v>4256</v>
      </c>
      <c r="G1101" s="10" t="s">
        <v>4257</v>
      </c>
      <c r="H1101" s="10" t="s">
        <v>4258</v>
      </c>
      <c r="I1101" s="10" t="s">
        <v>2218</v>
      </c>
    </row>
    <row r="1102" spans="1:9" x14ac:dyDescent="0.25">
      <c r="A1102">
        <v>315</v>
      </c>
      <c r="B1102" s="10" t="s">
        <v>2685</v>
      </c>
      <c r="C1102" s="10" t="s">
        <v>4254</v>
      </c>
      <c r="D1102" s="10">
        <v>4176</v>
      </c>
      <c r="E1102" s="10" t="s">
        <v>4264</v>
      </c>
      <c r="F1102" s="10" t="s">
        <v>4256</v>
      </c>
      <c r="G1102" s="10" t="s">
        <v>4257</v>
      </c>
      <c r="H1102" s="10" t="s">
        <v>4258</v>
      </c>
      <c r="I1102" s="10" t="s">
        <v>2218</v>
      </c>
    </row>
    <row r="1103" spans="1:9" x14ac:dyDescent="0.25">
      <c r="A1103">
        <v>316</v>
      </c>
      <c r="B1103" s="10" t="s">
        <v>2685</v>
      </c>
      <c r="C1103" s="10" t="s">
        <v>4254</v>
      </c>
      <c r="D1103" s="10">
        <v>4178</v>
      </c>
      <c r="E1103" s="10" t="s">
        <v>4265</v>
      </c>
      <c r="F1103" s="10" t="s">
        <v>4256</v>
      </c>
      <c r="G1103" s="10" t="s">
        <v>4257</v>
      </c>
      <c r="H1103" s="10" t="s">
        <v>4258</v>
      </c>
      <c r="I1103" s="10" t="s">
        <v>2218</v>
      </c>
    </row>
    <row r="1104" spans="1:9" x14ac:dyDescent="0.25">
      <c r="A1104">
        <v>1721</v>
      </c>
      <c r="B1104" s="10" t="s">
        <v>3365</v>
      </c>
      <c r="C1104" s="10" t="s">
        <v>4266</v>
      </c>
      <c r="D1104" s="10">
        <v>4231</v>
      </c>
      <c r="E1104" s="10" t="s">
        <v>4267</v>
      </c>
      <c r="F1104" s="10" t="s">
        <v>3384</v>
      </c>
      <c r="G1104" s="10" t="s">
        <v>2447</v>
      </c>
      <c r="H1104" s="10" t="s">
        <v>4268</v>
      </c>
      <c r="I1104" s="10" t="s">
        <v>2449</v>
      </c>
    </row>
    <row r="1105" spans="1:9" x14ac:dyDescent="0.25">
      <c r="A1105">
        <v>1166</v>
      </c>
      <c r="B1105" s="10" t="s">
        <v>2207</v>
      </c>
      <c r="C1105" s="10" t="s">
        <v>3959</v>
      </c>
      <c r="D1105" s="10">
        <v>4240</v>
      </c>
      <c r="E1105" s="10" t="s">
        <v>4269</v>
      </c>
      <c r="F1105" s="10" t="s">
        <v>4256</v>
      </c>
      <c r="G1105" s="10" t="s">
        <v>2447</v>
      </c>
      <c r="H1105" s="10" t="s">
        <v>3715</v>
      </c>
      <c r="I1105" s="10" t="s">
        <v>2449</v>
      </c>
    </row>
    <row r="1106" spans="1:9" x14ac:dyDescent="0.25">
      <c r="A1106">
        <v>1167</v>
      </c>
      <c r="B1106" s="10" t="s">
        <v>2207</v>
      </c>
      <c r="C1106" s="10" t="s">
        <v>3959</v>
      </c>
      <c r="D1106" s="10">
        <v>4241</v>
      </c>
      <c r="E1106" s="10" t="s">
        <v>4270</v>
      </c>
      <c r="F1106" s="10" t="s">
        <v>4256</v>
      </c>
      <c r="G1106" s="10" t="s">
        <v>2447</v>
      </c>
      <c r="H1106" s="10" t="s">
        <v>3715</v>
      </c>
      <c r="I1106" s="10" t="s">
        <v>2449</v>
      </c>
    </row>
    <row r="1107" spans="1:9" x14ac:dyDescent="0.25">
      <c r="A1107">
        <v>1168</v>
      </c>
      <c r="B1107" s="10" t="s">
        <v>2207</v>
      </c>
      <c r="C1107" s="10" t="s">
        <v>3959</v>
      </c>
      <c r="D1107" s="10">
        <v>4242</v>
      </c>
      <c r="E1107" s="10" t="s">
        <v>4271</v>
      </c>
      <c r="F1107" s="10" t="s">
        <v>4256</v>
      </c>
      <c r="G1107" s="10" t="s">
        <v>2447</v>
      </c>
      <c r="H1107" s="10" t="s">
        <v>3715</v>
      </c>
      <c r="I1107" s="10" t="s">
        <v>2449</v>
      </c>
    </row>
    <row r="1108" spans="1:9" x14ac:dyDescent="0.25">
      <c r="A1108">
        <v>1169</v>
      </c>
      <c r="B1108" s="10" t="s">
        <v>2207</v>
      </c>
      <c r="C1108" s="10" t="s">
        <v>3959</v>
      </c>
      <c r="D1108" s="10">
        <v>4243</v>
      </c>
      <c r="E1108" s="10" t="s">
        <v>4272</v>
      </c>
      <c r="F1108" s="10" t="s">
        <v>4256</v>
      </c>
      <c r="G1108" s="10" t="s">
        <v>2447</v>
      </c>
      <c r="H1108" s="10" t="s">
        <v>3715</v>
      </c>
      <c r="I1108" s="10" t="s">
        <v>2449</v>
      </c>
    </row>
    <row r="1109" spans="1:9" x14ac:dyDescent="0.25">
      <c r="A1109">
        <v>1170</v>
      </c>
      <c r="B1109" s="10" t="s">
        <v>2207</v>
      </c>
      <c r="C1109" s="10" t="s">
        <v>3959</v>
      </c>
      <c r="D1109" s="10">
        <v>4244</v>
      </c>
      <c r="E1109" s="10" t="s">
        <v>4273</v>
      </c>
      <c r="F1109" s="10" t="s">
        <v>4256</v>
      </c>
      <c r="G1109" s="10" t="s">
        <v>2447</v>
      </c>
      <c r="H1109" s="10" t="s">
        <v>3715</v>
      </c>
      <c r="I1109" s="10" t="s">
        <v>2449</v>
      </c>
    </row>
    <row r="1110" spans="1:9" x14ac:dyDescent="0.25">
      <c r="A1110">
        <v>770</v>
      </c>
      <c r="B1110" s="10" t="s">
        <v>2633</v>
      </c>
      <c r="C1110" s="10" t="s">
        <v>3572</v>
      </c>
      <c r="D1110" s="10">
        <v>4280</v>
      </c>
      <c r="E1110" s="10" t="s">
        <v>4274</v>
      </c>
      <c r="F1110" s="10" t="s">
        <v>3364</v>
      </c>
      <c r="G1110" s="10" t="s">
        <v>2273</v>
      </c>
      <c r="H1110" s="10" t="s">
        <v>4275</v>
      </c>
      <c r="I1110" s="10" t="s">
        <v>2241</v>
      </c>
    </row>
    <row r="1111" spans="1:9" x14ac:dyDescent="0.25">
      <c r="A1111">
        <v>771</v>
      </c>
      <c r="B1111" s="10" t="s">
        <v>2633</v>
      </c>
      <c r="C1111" s="10" t="s">
        <v>3572</v>
      </c>
      <c r="D1111" s="10">
        <v>4281</v>
      </c>
      <c r="E1111" s="10" t="s">
        <v>4276</v>
      </c>
      <c r="F1111" s="10" t="s">
        <v>3364</v>
      </c>
      <c r="G1111" s="10" t="s">
        <v>2273</v>
      </c>
      <c r="H1111" s="10" t="s">
        <v>4275</v>
      </c>
      <c r="I1111" s="10" t="s">
        <v>2241</v>
      </c>
    </row>
    <row r="1112" spans="1:9" x14ac:dyDescent="0.25">
      <c r="A1112">
        <v>772</v>
      </c>
      <c r="B1112" s="10" t="s">
        <v>2633</v>
      </c>
      <c r="C1112" s="10" t="s">
        <v>3572</v>
      </c>
      <c r="D1112" s="10">
        <v>4288</v>
      </c>
      <c r="E1112" s="10" t="s">
        <v>4277</v>
      </c>
      <c r="F1112" s="10" t="s">
        <v>3364</v>
      </c>
      <c r="G1112" s="10" t="s">
        <v>2273</v>
      </c>
      <c r="H1112" s="10" t="s">
        <v>4275</v>
      </c>
      <c r="I1112" s="10" t="s">
        <v>2241</v>
      </c>
    </row>
    <row r="1113" spans="1:9" x14ac:dyDescent="0.25">
      <c r="A1113">
        <v>359</v>
      </c>
      <c r="B1113" s="10" t="s">
        <v>2685</v>
      </c>
      <c r="C1113" s="10" t="s">
        <v>4278</v>
      </c>
      <c r="D1113" s="10">
        <v>4334</v>
      </c>
      <c r="E1113" s="10" t="s">
        <v>4279</v>
      </c>
      <c r="F1113" s="10" t="s">
        <v>2307</v>
      </c>
      <c r="G1113" s="10" t="s">
        <v>2308</v>
      </c>
      <c r="H1113" s="10" t="s">
        <v>2263</v>
      </c>
      <c r="I1113" s="10" t="s">
        <v>2310</v>
      </c>
    </row>
    <row r="1114" spans="1:9" x14ac:dyDescent="0.25">
      <c r="A1114">
        <v>360</v>
      </c>
      <c r="B1114" s="10" t="s">
        <v>2685</v>
      </c>
      <c r="C1114" s="10" t="s">
        <v>4278</v>
      </c>
      <c r="D1114" s="10">
        <v>4335</v>
      </c>
      <c r="E1114" s="10" t="s">
        <v>4280</v>
      </c>
      <c r="F1114" s="10" t="s">
        <v>3153</v>
      </c>
      <c r="G1114" s="10" t="s">
        <v>2831</v>
      </c>
      <c r="H1114" s="10" t="s">
        <v>3208</v>
      </c>
      <c r="I1114" s="10" t="s">
        <v>2425</v>
      </c>
    </row>
    <row r="1115" spans="1:9" x14ac:dyDescent="0.25">
      <c r="A1115">
        <v>1571</v>
      </c>
      <c r="B1115" s="10" t="s">
        <v>3875</v>
      </c>
      <c r="C1115" s="10" t="s">
        <v>4281</v>
      </c>
      <c r="D1115" s="10">
        <v>4368</v>
      </c>
      <c r="E1115" s="10" t="s">
        <v>4282</v>
      </c>
      <c r="F1115" s="10" t="s">
        <v>4283</v>
      </c>
      <c r="G1115" s="10" t="s">
        <v>2386</v>
      </c>
      <c r="H1115" s="10" t="s">
        <v>4284</v>
      </c>
      <c r="I1115" s="10" t="s">
        <v>2218</v>
      </c>
    </row>
    <row r="1116" spans="1:9" x14ac:dyDescent="0.25">
      <c r="A1116">
        <v>1572</v>
      </c>
      <c r="B1116" s="10" t="s">
        <v>3875</v>
      </c>
      <c r="C1116" s="10" t="s">
        <v>4281</v>
      </c>
      <c r="D1116" s="10">
        <v>4369</v>
      </c>
      <c r="E1116" s="10" t="s">
        <v>4285</v>
      </c>
      <c r="F1116" s="10" t="s">
        <v>4283</v>
      </c>
      <c r="G1116" s="10" t="s">
        <v>2386</v>
      </c>
      <c r="H1116" s="10" t="s">
        <v>4284</v>
      </c>
      <c r="I1116" s="10" t="s">
        <v>2218</v>
      </c>
    </row>
    <row r="1117" spans="1:9" x14ac:dyDescent="0.25">
      <c r="A1117">
        <v>1573</v>
      </c>
      <c r="B1117" s="10" t="s">
        <v>3875</v>
      </c>
      <c r="C1117" s="10" t="s">
        <v>4281</v>
      </c>
      <c r="D1117" s="10">
        <v>4370</v>
      </c>
      <c r="E1117" s="10" t="s">
        <v>4286</v>
      </c>
      <c r="F1117" s="10" t="s">
        <v>4283</v>
      </c>
      <c r="G1117" s="10" t="s">
        <v>2386</v>
      </c>
      <c r="H1117" s="10" t="s">
        <v>4284</v>
      </c>
      <c r="I1117" s="10" t="s">
        <v>2218</v>
      </c>
    </row>
    <row r="1118" spans="1:9" x14ac:dyDescent="0.25">
      <c r="A1118">
        <v>1574</v>
      </c>
      <c r="B1118" s="10" t="s">
        <v>3875</v>
      </c>
      <c r="C1118" s="10" t="s">
        <v>4281</v>
      </c>
      <c r="D1118" s="10">
        <v>4374</v>
      </c>
      <c r="E1118" s="10" t="s">
        <v>4287</v>
      </c>
      <c r="F1118" s="10" t="s">
        <v>4288</v>
      </c>
      <c r="G1118" s="10" t="s">
        <v>4151</v>
      </c>
      <c r="H1118" s="10" t="s">
        <v>4289</v>
      </c>
      <c r="I1118" s="10" t="s">
        <v>2324</v>
      </c>
    </row>
    <row r="1119" spans="1:9" x14ac:dyDescent="0.25">
      <c r="A1119">
        <v>361</v>
      </c>
      <c r="B1119" s="10" t="s">
        <v>2685</v>
      </c>
      <c r="C1119" s="10" t="s">
        <v>4278</v>
      </c>
      <c r="D1119" s="10">
        <v>4393</v>
      </c>
      <c r="E1119" s="10" t="s">
        <v>4290</v>
      </c>
      <c r="F1119" s="10" t="s">
        <v>4291</v>
      </c>
      <c r="G1119" s="10" t="s">
        <v>4292</v>
      </c>
      <c r="H1119" s="10" t="s">
        <v>3955</v>
      </c>
      <c r="I1119" s="10" t="s">
        <v>2213</v>
      </c>
    </row>
    <row r="1120" spans="1:9" x14ac:dyDescent="0.25">
      <c r="A1120">
        <v>362</v>
      </c>
      <c r="B1120" s="10" t="s">
        <v>2685</v>
      </c>
      <c r="C1120" s="10" t="s">
        <v>4278</v>
      </c>
      <c r="D1120" s="10">
        <v>4394</v>
      </c>
      <c r="E1120" s="10" t="s">
        <v>4293</v>
      </c>
      <c r="F1120" s="10" t="s">
        <v>4291</v>
      </c>
      <c r="G1120" s="10" t="s">
        <v>4292</v>
      </c>
      <c r="H1120" s="10" t="s">
        <v>3955</v>
      </c>
      <c r="I1120" s="10" t="s">
        <v>2213</v>
      </c>
    </row>
    <row r="1121" spans="1:9" x14ac:dyDescent="0.25">
      <c r="A1121">
        <v>363</v>
      </c>
      <c r="B1121" s="10" t="s">
        <v>2685</v>
      </c>
      <c r="C1121" s="10" t="s">
        <v>4278</v>
      </c>
      <c r="D1121" s="10">
        <v>4395</v>
      </c>
      <c r="E1121" s="10" t="s">
        <v>4294</v>
      </c>
      <c r="F1121" s="10" t="s">
        <v>2307</v>
      </c>
      <c r="G1121" s="10" t="s">
        <v>2308</v>
      </c>
      <c r="H1121" s="10" t="s">
        <v>2263</v>
      </c>
      <c r="I1121" s="10" t="s">
        <v>2310</v>
      </c>
    </row>
    <row r="1122" spans="1:9" x14ac:dyDescent="0.25">
      <c r="A1122">
        <v>364</v>
      </c>
      <c r="B1122" s="10" t="s">
        <v>2685</v>
      </c>
      <c r="C1122" s="10" t="s">
        <v>4278</v>
      </c>
      <c r="D1122" s="10">
        <v>4396</v>
      </c>
      <c r="E1122" s="10" t="s">
        <v>4295</v>
      </c>
      <c r="F1122" s="10" t="s">
        <v>2307</v>
      </c>
      <c r="G1122" s="10" t="s">
        <v>2308</v>
      </c>
      <c r="H1122" s="10" t="s">
        <v>2263</v>
      </c>
      <c r="I1122" s="10" t="s">
        <v>2310</v>
      </c>
    </row>
    <row r="1123" spans="1:9" x14ac:dyDescent="0.25">
      <c r="A1123">
        <v>365</v>
      </c>
      <c r="B1123" s="10" t="s">
        <v>2685</v>
      </c>
      <c r="C1123" s="10" t="s">
        <v>4278</v>
      </c>
      <c r="D1123" s="10">
        <v>4397</v>
      </c>
      <c r="E1123" s="10" t="s">
        <v>4296</v>
      </c>
      <c r="F1123" s="10" t="s">
        <v>2307</v>
      </c>
      <c r="G1123" s="10" t="s">
        <v>2308</v>
      </c>
      <c r="H1123" s="10" t="s">
        <v>2263</v>
      </c>
      <c r="I1123" s="10" t="s">
        <v>2310</v>
      </c>
    </row>
    <row r="1124" spans="1:9" x14ac:dyDescent="0.25">
      <c r="A1124">
        <v>366</v>
      </c>
      <c r="B1124" s="10" t="s">
        <v>2685</v>
      </c>
      <c r="C1124" s="10" t="s">
        <v>4278</v>
      </c>
      <c r="D1124" s="10">
        <v>4398</v>
      </c>
      <c r="E1124" s="10" t="s">
        <v>4297</v>
      </c>
      <c r="F1124" s="10" t="s">
        <v>2307</v>
      </c>
      <c r="G1124" s="10" t="s">
        <v>2308</v>
      </c>
      <c r="H1124" s="10" t="s">
        <v>2263</v>
      </c>
      <c r="I1124" s="10" t="s">
        <v>2310</v>
      </c>
    </row>
    <row r="1125" spans="1:9" x14ac:dyDescent="0.25">
      <c r="A1125">
        <v>367</v>
      </c>
      <c r="B1125" s="10" t="s">
        <v>2685</v>
      </c>
      <c r="C1125" s="10" t="s">
        <v>4278</v>
      </c>
      <c r="D1125" s="10">
        <v>4402</v>
      </c>
      <c r="E1125" s="10" t="s">
        <v>4298</v>
      </c>
      <c r="F1125" s="10" t="s">
        <v>4291</v>
      </c>
      <c r="G1125" s="10" t="s">
        <v>4292</v>
      </c>
      <c r="H1125" s="10" t="s">
        <v>3955</v>
      </c>
      <c r="I1125" s="10" t="s">
        <v>2213</v>
      </c>
    </row>
    <row r="1126" spans="1:9" x14ac:dyDescent="0.25">
      <c r="A1126">
        <v>417</v>
      </c>
      <c r="B1126" s="10" t="s">
        <v>2685</v>
      </c>
      <c r="C1126" s="10" t="s">
        <v>4299</v>
      </c>
      <c r="D1126" s="10">
        <v>4403</v>
      </c>
      <c r="E1126" s="10" t="s">
        <v>4300</v>
      </c>
      <c r="F1126" s="10">
        <v>11.5</v>
      </c>
      <c r="G1126" s="10">
        <v>2.88</v>
      </c>
      <c r="H1126" s="10">
        <v>0.86</v>
      </c>
      <c r="I1126" s="10">
        <v>3.89</v>
      </c>
    </row>
    <row r="1127" spans="1:9" x14ac:dyDescent="0.25">
      <c r="A1127">
        <v>418</v>
      </c>
      <c r="B1127" s="10" t="s">
        <v>2685</v>
      </c>
      <c r="C1127" s="10" t="s">
        <v>4299</v>
      </c>
      <c r="D1127" s="10">
        <v>4404</v>
      </c>
      <c r="E1127" s="10" t="s">
        <v>4301</v>
      </c>
      <c r="F1127" s="10">
        <v>11.5</v>
      </c>
      <c r="G1127" s="10">
        <v>2.88</v>
      </c>
      <c r="H1127" s="10">
        <v>0.86</v>
      </c>
      <c r="I1127" s="10">
        <v>3.89</v>
      </c>
    </row>
    <row r="1128" spans="1:9" x14ac:dyDescent="0.25">
      <c r="A1128">
        <v>419</v>
      </c>
      <c r="B1128" s="10" t="s">
        <v>2685</v>
      </c>
      <c r="C1128" s="10" t="s">
        <v>4299</v>
      </c>
      <c r="D1128" s="10">
        <v>4405</v>
      </c>
      <c r="E1128" s="10" t="s">
        <v>4302</v>
      </c>
      <c r="F1128" s="10">
        <v>11.5</v>
      </c>
      <c r="G1128" s="10">
        <v>2.88</v>
      </c>
      <c r="H1128" s="10">
        <v>0.86</v>
      </c>
      <c r="I1128" s="10">
        <v>3.89</v>
      </c>
    </row>
    <row r="1129" spans="1:9" x14ac:dyDescent="0.25">
      <c r="A1129">
        <v>420</v>
      </c>
      <c r="B1129" s="10" t="s">
        <v>2685</v>
      </c>
      <c r="C1129" s="10" t="s">
        <v>4299</v>
      </c>
      <c r="D1129" s="10">
        <v>4406</v>
      </c>
      <c r="E1129" s="10" t="s">
        <v>4303</v>
      </c>
      <c r="F1129" s="10">
        <v>11.5</v>
      </c>
      <c r="G1129" s="10">
        <v>2.88</v>
      </c>
      <c r="H1129" s="10">
        <v>0.86</v>
      </c>
      <c r="I1129" s="10">
        <v>3.89</v>
      </c>
    </row>
    <row r="1130" spans="1:9" x14ac:dyDescent="0.25">
      <c r="A1130">
        <v>421</v>
      </c>
      <c r="B1130" s="10" t="s">
        <v>2685</v>
      </c>
      <c r="C1130" s="10" t="s">
        <v>4299</v>
      </c>
      <c r="D1130" s="10">
        <v>4407</v>
      </c>
      <c r="E1130" s="10" t="s">
        <v>4304</v>
      </c>
      <c r="F1130" s="10">
        <v>11.5</v>
      </c>
      <c r="G1130" s="10">
        <v>2.88</v>
      </c>
      <c r="H1130" s="10">
        <v>0.86</v>
      </c>
      <c r="I1130" s="10">
        <v>3.89</v>
      </c>
    </row>
    <row r="1131" spans="1:9" x14ac:dyDescent="0.25">
      <c r="A1131">
        <v>1575</v>
      </c>
      <c r="B1131" s="10" t="s">
        <v>3875</v>
      </c>
      <c r="C1131" s="10" t="s">
        <v>4281</v>
      </c>
      <c r="D1131" s="10">
        <v>4408</v>
      </c>
      <c r="E1131" s="10" t="s">
        <v>4305</v>
      </c>
      <c r="F1131" s="10" t="s">
        <v>4288</v>
      </c>
      <c r="G1131" s="10" t="s">
        <v>4151</v>
      </c>
      <c r="H1131" s="10" t="s">
        <v>4289</v>
      </c>
      <c r="I1131" s="10" t="s">
        <v>2324</v>
      </c>
    </row>
    <row r="1132" spans="1:9" x14ac:dyDescent="0.25">
      <c r="A1132">
        <v>1576</v>
      </c>
      <c r="B1132" s="10" t="s">
        <v>3875</v>
      </c>
      <c r="C1132" s="10" t="s">
        <v>4281</v>
      </c>
      <c r="D1132" s="10">
        <v>4409</v>
      </c>
      <c r="E1132" s="10" t="s">
        <v>4306</v>
      </c>
      <c r="F1132" s="10" t="s">
        <v>4288</v>
      </c>
      <c r="G1132" s="10" t="s">
        <v>4151</v>
      </c>
      <c r="H1132" s="10" t="s">
        <v>4289</v>
      </c>
      <c r="I1132" s="10" t="s">
        <v>2324</v>
      </c>
    </row>
    <row r="1133" spans="1:9" x14ac:dyDescent="0.25">
      <c r="A1133">
        <v>1341</v>
      </c>
      <c r="B1133" s="10" t="s">
        <v>3380</v>
      </c>
      <c r="C1133" s="10" t="s">
        <v>3381</v>
      </c>
      <c r="D1133" s="10">
        <v>4497</v>
      </c>
      <c r="E1133" s="10" t="s">
        <v>4307</v>
      </c>
      <c r="F1133" s="10" t="s">
        <v>3193</v>
      </c>
      <c r="G1133" s="10" t="s">
        <v>4013</v>
      </c>
      <c r="H1133" s="10" t="s">
        <v>2425</v>
      </c>
      <c r="I1133" s="10" t="s">
        <v>2425</v>
      </c>
    </row>
    <row r="1134" spans="1:9" x14ac:dyDescent="0.25">
      <c r="A1134">
        <v>1342</v>
      </c>
      <c r="B1134" s="10" t="s">
        <v>3380</v>
      </c>
      <c r="C1134" s="10" t="s">
        <v>3381</v>
      </c>
      <c r="D1134" s="10">
        <v>4498</v>
      </c>
      <c r="E1134" s="10" t="s">
        <v>4308</v>
      </c>
      <c r="F1134" s="10" t="s">
        <v>3193</v>
      </c>
      <c r="G1134" s="10" t="s">
        <v>4013</v>
      </c>
      <c r="H1134" s="10" t="s">
        <v>2425</v>
      </c>
      <c r="I1134" s="10" t="s">
        <v>2425</v>
      </c>
    </row>
    <row r="1135" spans="1:9" x14ac:dyDescent="0.25">
      <c r="A1135">
        <v>1343</v>
      </c>
      <c r="B1135" s="10" t="s">
        <v>3380</v>
      </c>
      <c r="C1135" s="10" t="s">
        <v>3381</v>
      </c>
      <c r="D1135" s="10">
        <v>4499</v>
      </c>
      <c r="E1135" s="10" t="s">
        <v>4187</v>
      </c>
      <c r="F1135" s="10" t="s">
        <v>3193</v>
      </c>
      <c r="G1135" s="10" t="s">
        <v>4013</v>
      </c>
      <c r="H1135" s="10" t="s">
        <v>2425</v>
      </c>
      <c r="I1135" s="10" t="s">
        <v>2425</v>
      </c>
    </row>
    <row r="1136" spans="1:9" x14ac:dyDescent="0.25">
      <c r="A1136">
        <v>1344</v>
      </c>
      <c r="B1136" s="10" t="s">
        <v>3380</v>
      </c>
      <c r="C1136" s="10" t="s">
        <v>3381</v>
      </c>
      <c r="D1136" s="10">
        <v>4505</v>
      </c>
      <c r="E1136" s="10" t="s">
        <v>4309</v>
      </c>
      <c r="F1136" s="10" t="s">
        <v>2553</v>
      </c>
      <c r="G1136" s="10" t="s">
        <v>2813</v>
      </c>
      <c r="H1136" s="10" t="s">
        <v>4310</v>
      </c>
      <c r="I1136" s="10" t="s">
        <v>2850</v>
      </c>
    </row>
    <row r="1137" spans="1:9" x14ac:dyDescent="0.25">
      <c r="A1137">
        <v>1345</v>
      </c>
      <c r="B1137" s="10" t="s">
        <v>3380</v>
      </c>
      <c r="C1137" s="10" t="s">
        <v>3381</v>
      </c>
      <c r="D1137" s="10">
        <v>4506</v>
      </c>
      <c r="E1137" s="10" t="s">
        <v>4311</v>
      </c>
      <c r="F1137" s="10">
        <v>12.95</v>
      </c>
      <c r="G1137" s="10">
        <v>0.65</v>
      </c>
      <c r="H1137" s="10">
        <v>2.0299999999999998</v>
      </c>
      <c r="I1137" s="10">
        <v>0.89</v>
      </c>
    </row>
    <row r="1138" spans="1:9" x14ac:dyDescent="0.25">
      <c r="A1138">
        <v>1346</v>
      </c>
      <c r="B1138" s="10" t="s">
        <v>3380</v>
      </c>
      <c r="C1138" s="10" t="s">
        <v>3381</v>
      </c>
      <c r="D1138" s="10">
        <v>4507</v>
      </c>
      <c r="E1138" s="10" t="s">
        <v>4312</v>
      </c>
      <c r="F1138" s="10">
        <v>12.95</v>
      </c>
      <c r="G1138" s="10">
        <v>0.65</v>
      </c>
      <c r="H1138" s="10">
        <v>2.0299999999999998</v>
      </c>
      <c r="I1138" s="10">
        <v>0.89</v>
      </c>
    </row>
    <row r="1139" spans="1:9" x14ac:dyDescent="0.25">
      <c r="A1139">
        <v>1347</v>
      </c>
      <c r="B1139" s="10" t="s">
        <v>3380</v>
      </c>
      <c r="C1139" s="10" t="s">
        <v>3381</v>
      </c>
      <c r="D1139" s="10">
        <v>4508</v>
      </c>
      <c r="E1139" s="10" t="s">
        <v>4313</v>
      </c>
      <c r="F1139" s="10">
        <v>12.95</v>
      </c>
      <c r="G1139" s="10">
        <v>0.65</v>
      </c>
      <c r="H1139" s="10">
        <v>2.0299999999999998</v>
      </c>
      <c r="I1139" s="10">
        <v>0.89</v>
      </c>
    </row>
    <row r="1140" spans="1:9" x14ac:dyDescent="0.25">
      <c r="A1140">
        <v>1348</v>
      </c>
      <c r="B1140" s="10" t="s">
        <v>3380</v>
      </c>
      <c r="C1140" s="10" t="s">
        <v>3381</v>
      </c>
      <c r="D1140" s="10">
        <v>4509</v>
      </c>
      <c r="E1140" s="10" t="s">
        <v>4314</v>
      </c>
      <c r="F1140" s="10">
        <v>12.95</v>
      </c>
      <c r="G1140" s="10">
        <v>0.65</v>
      </c>
      <c r="H1140" s="10">
        <v>2.0299999999999998</v>
      </c>
      <c r="I1140" s="10">
        <v>0.89</v>
      </c>
    </row>
    <row r="1141" spans="1:9" x14ac:dyDescent="0.25">
      <c r="A1141">
        <v>166</v>
      </c>
      <c r="B1141" s="10" t="s">
        <v>2518</v>
      </c>
      <c r="C1141" s="10" t="s">
        <v>3482</v>
      </c>
      <c r="D1141" s="10">
        <v>4512</v>
      </c>
      <c r="E1141" s="10" t="s">
        <v>4315</v>
      </c>
      <c r="F1141" s="10" t="s">
        <v>3534</v>
      </c>
      <c r="G1141" s="10" t="s">
        <v>3535</v>
      </c>
      <c r="H1141" s="10" t="s">
        <v>2391</v>
      </c>
      <c r="I1141" s="10" t="s">
        <v>2812</v>
      </c>
    </row>
    <row r="1142" spans="1:9" x14ac:dyDescent="0.25">
      <c r="A1142">
        <v>808</v>
      </c>
      <c r="B1142" s="10" t="s">
        <v>4316</v>
      </c>
      <c r="C1142" s="10" t="s">
        <v>4317</v>
      </c>
      <c r="D1142" s="10">
        <v>4536</v>
      </c>
      <c r="E1142" s="10" t="s">
        <v>4318</v>
      </c>
      <c r="F1142" s="10" t="s">
        <v>2466</v>
      </c>
      <c r="G1142" s="10" t="s">
        <v>3602</v>
      </c>
      <c r="H1142" s="10" t="s">
        <v>4319</v>
      </c>
      <c r="I1142" s="10" t="s">
        <v>2287</v>
      </c>
    </row>
    <row r="1143" spans="1:9" x14ac:dyDescent="0.25">
      <c r="A1143">
        <v>809</v>
      </c>
      <c r="B1143" s="10" t="s">
        <v>4316</v>
      </c>
      <c r="C1143" s="10" t="s">
        <v>4317</v>
      </c>
      <c r="D1143" s="10">
        <v>4537</v>
      </c>
      <c r="E1143" s="10" t="s">
        <v>4320</v>
      </c>
      <c r="F1143" s="10" t="s">
        <v>2553</v>
      </c>
      <c r="G1143" s="10" t="s">
        <v>2336</v>
      </c>
      <c r="H1143" s="10" t="s">
        <v>4321</v>
      </c>
      <c r="I1143" s="10" t="s">
        <v>2812</v>
      </c>
    </row>
    <row r="1144" spans="1:9" x14ac:dyDescent="0.25">
      <c r="A1144">
        <v>810</v>
      </c>
      <c r="B1144" s="10" t="s">
        <v>4316</v>
      </c>
      <c r="C1144" s="10" t="s">
        <v>4317</v>
      </c>
      <c r="D1144" s="10">
        <v>4538</v>
      </c>
      <c r="E1144" s="10" t="s">
        <v>4322</v>
      </c>
      <c r="F1144" s="10" t="s">
        <v>2266</v>
      </c>
      <c r="G1144" s="10" t="s">
        <v>4323</v>
      </c>
      <c r="H1144" s="10" t="s">
        <v>4324</v>
      </c>
      <c r="I1144" s="10" t="s">
        <v>3131</v>
      </c>
    </row>
    <row r="1145" spans="1:9" x14ac:dyDescent="0.25">
      <c r="A1145">
        <v>811</v>
      </c>
      <c r="B1145" s="10" t="s">
        <v>4316</v>
      </c>
      <c r="C1145" s="10" t="s">
        <v>4317</v>
      </c>
      <c r="D1145" s="10">
        <v>4539</v>
      </c>
      <c r="E1145" s="10" t="s">
        <v>4325</v>
      </c>
      <c r="F1145" s="10" t="s">
        <v>2266</v>
      </c>
      <c r="G1145" s="10" t="s">
        <v>4323</v>
      </c>
      <c r="H1145" s="10" t="s">
        <v>4324</v>
      </c>
      <c r="I1145" s="10" t="s">
        <v>3131</v>
      </c>
    </row>
    <row r="1146" spans="1:9" x14ac:dyDescent="0.25">
      <c r="A1146">
        <v>709</v>
      </c>
      <c r="B1146" s="10" t="s">
        <v>4082</v>
      </c>
      <c r="C1146" s="10" t="s">
        <v>1115</v>
      </c>
      <c r="D1146" s="10">
        <v>4545</v>
      </c>
      <c r="E1146" s="10" t="s">
        <v>4326</v>
      </c>
      <c r="F1146" s="10" t="s">
        <v>2333</v>
      </c>
      <c r="G1146" s="10" t="s">
        <v>2334</v>
      </c>
      <c r="H1146" s="10" t="s">
        <v>4327</v>
      </c>
      <c r="I1146" s="10" t="s">
        <v>2336</v>
      </c>
    </row>
    <row r="1147" spans="1:9" x14ac:dyDescent="0.25">
      <c r="A1147">
        <v>812</v>
      </c>
      <c r="B1147" s="10" t="s">
        <v>4316</v>
      </c>
      <c r="C1147" s="10" t="s">
        <v>4328</v>
      </c>
      <c r="D1147" s="10">
        <v>4547</v>
      </c>
      <c r="E1147" s="10" t="s">
        <v>4329</v>
      </c>
      <c r="F1147" s="10" t="s">
        <v>2830</v>
      </c>
      <c r="G1147" s="10" t="s">
        <v>3074</v>
      </c>
      <c r="H1147" s="10" t="s">
        <v>2350</v>
      </c>
      <c r="I1147" s="10" t="s">
        <v>2350</v>
      </c>
    </row>
    <row r="1148" spans="1:9" x14ac:dyDescent="0.25">
      <c r="A1148">
        <v>813</v>
      </c>
      <c r="B1148" s="10" t="s">
        <v>4316</v>
      </c>
      <c r="C1148" s="10" t="s">
        <v>2678</v>
      </c>
      <c r="D1148" s="10">
        <v>4548</v>
      </c>
      <c r="E1148" s="10" t="s">
        <v>4330</v>
      </c>
      <c r="F1148" s="10" t="s">
        <v>2830</v>
      </c>
      <c r="G1148" s="10" t="s">
        <v>3074</v>
      </c>
      <c r="H1148" s="10" t="s">
        <v>2350</v>
      </c>
      <c r="I1148" s="10" t="s">
        <v>2350</v>
      </c>
    </row>
    <row r="1149" spans="1:9" x14ac:dyDescent="0.25">
      <c r="A1149">
        <v>814</v>
      </c>
      <c r="B1149" s="10" t="s">
        <v>4316</v>
      </c>
      <c r="C1149" s="10" t="s">
        <v>4328</v>
      </c>
      <c r="D1149" s="10">
        <v>4549</v>
      </c>
      <c r="E1149" s="10" t="s">
        <v>4331</v>
      </c>
      <c r="F1149" s="10" t="s">
        <v>2830</v>
      </c>
      <c r="G1149" s="10" t="s">
        <v>3074</v>
      </c>
      <c r="H1149" s="10" t="s">
        <v>3782</v>
      </c>
      <c r="I1149" s="10" t="s">
        <v>2350</v>
      </c>
    </row>
    <row r="1150" spans="1:9" x14ac:dyDescent="0.25">
      <c r="A1150">
        <v>877</v>
      </c>
      <c r="B1150" s="10" t="s">
        <v>3595</v>
      </c>
      <c r="C1150" s="10" t="s">
        <v>4332</v>
      </c>
      <c r="D1150" s="10">
        <v>4815</v>
      </c>
      <c r="E1150" s="10" t="s">
        <v>4333</v>
      </c>
      <c r="F1150" s="10" t="s">
        <v>4334</v>
      </c>
      <c r="G1150" s="10" t="s">
        <v>4335</v>
      </c>
      <c r="H1150" s="10" t="s">
        <v>2258</v>
      </c>
      <c r="I1150" s="10" t="s">
        <v>2258</v>
      </c>
    </row>
    <row r="1151" spans="1:9" x14ac:dyDescent="0.25">
      <c r="A1151">
        <v>878</v>
      </c>
      <c r="B1151" s="10" t="s">
        <v>3595</v>
      </c>
      <c r="C1151" s="10" t="s">
        <v>4332</v>
      </c>
      <c r="D1151" s="10">
        <v>4816</v>
      </c>
      <c r="E1151" s="10" t="s">
        <v>4336</v>
      </c>
      <c r="F1151" s="10" t="s">
        <v>2248</v>
      </c>
      <c r="G1151" s="10" t="s">
        <v>2246</v>
      </c>
      <c r="H1151" s="10" t="s">
        <v>2231</v>
      </c>
      <c r="I1151" s="10" t="s">
        <v>2231</v>
      </c>
    </row>
    <row r="1152" spans="1:9" x14ac:dyDescent="0.25">
      <c r="A1152">
        <v>879</v>
      </c>
      <c r="B1152" s="10" t="s">
        <v>3595</v>
      </c>
      <c r="C1152" s="10" t="s">
        <v>4332</v>
      </c>
      <c r="D1152" s="10">
        <v>4817</v>
      </c>
      <c r="E1152" s="10" t="s">
        <v>4337</v>
      </c>
      <c r="F1152" s="10" t="s">
        <v>2371</v>
      </c>
      <c r="G1152" s="10" t="s">
        <v>2372</v>
      </c>
      <c r="H1152" s="10" t="s">
        <v>4068</v>
      </c>
      <c r="I1152" s="10" t="s">
        <v>2374</v>
      </c>
    </row>
    <row r="1153" spans="1:9" x14ac:dyDescent="0.25">
      <c r="A1153">
        <v>880</v>
      </c>
      <c r="B1153" s="10" t="s">
        <v>3595</v>
      </c>
      <c r="C1153" s="10" t="s">
        <v>4332</v>
      </c>
      <c r="D1153" s="10">
        <v>4818</v>
      </c>
      <c r="E1153" s="10" t="s">
        <v>4338</v>
      </c>
      <c r="F1153" s="10" t="s">
        <v>2262</v>
      </c>
      <c r="G1153" s="10" t="s">
        <v>2636</v>
      </c>
      <c r="H1153" s="10" t="s">
        <v>2464</v>
      </c>
      <c r="I1153" s="10" t="s">
        <v>2464</v>
      </c>
    </row>
    <row r="1154" spans="1:9" x14ac:dyDescent="0.25">
      <c r="A1154">
        <v>881</v>
      </c>
      <c r="B1154" s="10" t="s">
        <v>3595</v>
      </c>
      <c r="C1154" s="10" t="s">
        <v>4332</v>
      </c>
      <c r="D1154" s="10">
        <v>4819</v>
      </c>
      <c r="E1154" s="10" t="s">
        <v>4339</v>
      </c>
      <c r="F1154" s="10" t="s">
        <v>2485</v>
      </c>
      <c r="G1154" s="10" t="s">
        <v>2486</v>
      </c>
      <c r="H1154" s="10" t="s">
        <v>2361</v>
      </c>
      <c r="I1154" s="10" t="s">
        <v>2319</v>
      </c>
    </row>
    <row r="1155" spans="1:9" x14ac:dyDescent="0.25">
      <c r="A1155">
        <v>1591</v>
      </c>
      <c r="B1155" s="10" t="s">
        <v>3875</v>
      </c>
      <c r="C1155" s="10" t="s">
        <v>4340</v>
      </c>
      <c r="D1155" s="10">
        <v>4845</v>
      </c>
      <c r="E1155" s="10" t="s">
        <v>4341</v>
      </c>
      <c r="F1155" s="10" t="s">
        <v>4342</v>
      </c>
      <c r="G1155" s="10" t="s">
        <v>2366</v>
      </c>
      <c r="H1155" s="10" t="s">
        <v>4343</v>
      </c>
      <c r="I1155" s="10" t="s">
        <v>2315</v>
      </c>
    </row>
    <row r="1156" spans="1:9" x14ac:dyDescent="0.25">
      <c r="A1156">
        <v>1592</v>
      </c>
      <c r="B1156" s="10" t="s">
        <v>3875</v>
      </c>
      <c r="C1156" s="10" t="s">
        <v>4340</v>
      </c>
      <c r="D1156" s="10">
        <v>4846</v>
      </c>
      <c r="E1156" s="10" t="s">
        <v>4344</v>
      </c>
      <c r="F1156" s="10" t="s">
        <v>4342</v>
      </c>
      <c r="G1156" s="10" t="s">
        <v>2366</v>
      </c>
      <c r="H1156" s="10" t="s">
        <v>4343</v>
      </c>
      <c r="I1156" s="10" t="s">
        <v>2315</v>
      </c>
    </row>
    <row r="1157" spans="1:9" x14ac:dyDescent="0.25">
      <c r="A1157">
        <v>1593</v>
      </c>
      <c r="B1157" s="10" t="s">
        <v>3875</v>
      </c>
      <c r="C1157" s="10" t="s">
        <v>4340</v>
      </c>
      <c r="D1157" s="10">
        <v>4847</v>
      </c>
      <c r="E1157" s="10" t="s">
        <v>4345</v>
      </c>
      <c r="F1157" s="10" t="s">
        <v>4342</v>
      </c>
      <c r="G1157" s="10" t="s">
        <v>2366</v>
      </c>
      <c r="H1157" s="10" t="s">
        <v>4343</v>
      </c>
      <c r="I1157" s="10" t="s">
        <v>2315</v>
      </c>
    </row>
    <row r="1158" spans="1:9" x14ac:dyDescent="0.25">
      <c r="A1158">
        <v>1594</v>
      </c>
      <c r="B1158" s="10" t="s">
        <v>3875</v>
      </c>
      <c r="C1158" s="10" t="s">
        <v>4340</v>
      </c>
      <c r="D1158" s="10">
        <v>4848</v>
      </c>
      <c r="E1158" s="10" t="s">
        <v>4346</v>
      </c>
      <c r="F1158" s="10" t="s">
        <v>4342</v>
      </c>
      <c r="G1158" s="10" t="s">
        <v>2366</v>
      </c>
      <c r="H1158" s="10" t="s">
        <v>4343</v>
      </c>
      <c r="I1158" s="10" t="s">
        <v>2315</v>
      </c>
    </row>
    <row r="1159" spans="1:9" x14ac:dyDescent="0.25">
      <c r="A1159">
        <v>1588</v>
      </c>
      <c r="B1159" s="10" t="s">
        <v>3875</v>
      </c>
      <c r="C1159" s="10" t="s">
        <v>4347</v>
      </c>
      <c r="D1159" s="10">
        <v>4852</v>
      </c>
      <c r="E1159" s="10" t="s">
        <v>4348</v>
      </c>
      <c r="F1159" s="10" t="s">
        <v>4349</v>
      </c>
      <c r="G1159" s="10" t="s">
        <v>2386</v>
      </c>
      <c r="H1159" s="10" t="s">
        <v>4350</v>
      </c>
      <c r="I1159" s="10" t="s">
        <v>2336</v>
      </c>
    </row>
    <row r="1160" spans="1:9" x14ac:dyDescent="0.25">
      <c r="A1160">
        <v>1589</v>
      </c>
      <c r="B1160" s="10" t="s">
        <v>3875</v>
      </c>
      <c r="C1160" s="10" t="s">
        <v>4347</v>
      </c>
      <c r="D1160" s="10">
        <v>4853</v>
      </c>
      <c r="E1160" s="10" t="s">
        <v>4351</v>
      </c>
      <c r="F1160" s="10" t="s">
        <v>4349</v>
      </c>
      <c r="G1160" s="10" t="s">
        <v>2386</v>
      </c>
      <c r="H1160" s="10" t="s">
        <v>4350</v>
      </c>
      <c r="I1160" s="10" t="s">
        <v>2336</v>
      </c>
    </row>
    <row r="1161" spans="1:9" x14ac:dyDescent="0.25">
      <c r="A1161">
        <v>1590</v>
      </c>
      <c r="B1161" s="10" t="s">
        <v>3875</v>
      </c>
      <c r="C1161" s="10" t="s">
        <v>4347</v>
      </c>
      <c r="D1161" s="10">
        <v>4854</v>
      </c>
      <c r="E1161" s="10" t="s">
        <v>4352</v>
      </c>
      <c r="F1161" s="10" t="s">
        <v>4349</v>
      </c>
      <c r="G1161" s="10" t="s">
        <v>2386</v>
      </c>
      <c r="H1161" s="10" t="s">
        <v>4350</v>
      </c>
      <c r="I1161" s="10" t="s">
        <v>2336</v>
      </c>
    </row>
    <row r="1162" spans="1:9" x14ac:dyDescent="0.25">
      <c r="A1162">
        <v>678</v>
      </c>
      <c r="B1162" s="10" t="s">
        <v>3386</v>
      </c>
      <c r="C1162" s="10" t="s">
        <v>4353</v>
      </c>
      <c r="D1162" s="10">
        <v>4868</v>
      </c>
      <c r="E1162" s="10" t="s">
        <v>4354</v>
      </c>
      <c r="F1162" s="10">
        <v>37.5</v>
      </c>
      <c r="G1162" s="10">
        <v>0.52</v>
      </c>
      <c r="H1162" s="10">
        <v>6.49</v>
      </c>
      <c r="I1162" s="10">
        <v>0.69</v>
      </c>
    </row>
    <row r="1163" spans="1:9" x14ac:dyDescent="0.25">
      <c r="A1163">
        <v>679</v>
      </c>
      <c r="B1163" s="10" t="s">
        <v>3386</v>
      </c>
      <c r="C1163" s="10" t="s">
        <v>4353</v>
      </c>
      <c r="D1163" s="10">
        <v>4869</v>
      </c>
      <c r="E1163" s="10" t="s">
        <v>4355</v>
      </c>
      <c r="F1163" s="10">
        <v>37.5</v>
      </c>
      <c r="G1163" s="10">
        <v>0.52</v>
      </c>
      <c r="H1163" s="10">
        <v>6.49</v>
      </c>
      <c r="I1163" s="10">
        <v>0.69</v>
      </c>
    </row>
    <row r="1164" spans="1:9" x14ac:dyDescent="0.25">
      <c r="A1164">
        <v>680</v>
      </c>
      <c r="B1164" s="10" t="s">
        <v>3386</v>
      </c>
      <c r="C1164" s="10" t="s">
        <v>4353</v>
      </c>
      <c r="D1164" s="10">
        <v>4870</v>
      </c>
      <c r="E1164" s="10" t="s">
        <v>4356</v>
      </c>
      <c r="F1164" s="10">
        <v>37.5</v>
      </c>
      <c r="G1164" s="10">
        <v>0.52</v>
      </c>
      <c r="H1164" s="10">
        <v>6.49</v>
      </c>
      <c r="I1164" s="10">
        <v>0.69</v>
      </c>
    </row>
    <row r="1165" spans="1:9" x14ac:dyDescent="0.25">
      <c r="A1165">
        <v>702</v>
      </c>
      <c r="B1165" s="10" t="s">
        <v>3386</v>
      </c>
      <c r="C1165" s="10" t="s">
        <v>3387</v>
      </c>
      <c r="D1165" s="10">
        <v>4879</v>
      </c>
      <c r="E1165" s="10" t="s">
        <v>4357</v>
      </c>
      <c r="F1165" s="10">
        <v>15.35</v>
      </c>
      <c r="G1165" s="10">
        <v>0.77</v>
      </c>
      <c r="H1165" s="10">
        <v>2.67</v>
      </c>
      <c r="I1165" s="10">
        <v>1.0900000000000001</v>
      </c>
    </row>
    <row r="1166" spans="1:9" x14ac:dyDescent="0.25">
      <c r="A1166">
        <v>703</v>
      </c>
      <c r="B1166" s="10" t="s">
        <v>3386</v>
      </c>
      <c r="C1166" s="10" t="s">
        <v>3387</v>
      </c>
      <c r="D1166" s="10">
        <v>4880</v>
      </c>
      <c r="E1166" s="10" t="s">
        <v>4358</v>
      </c>
      <c r="F1166" s="10">
        <v>15.35</v>
      </c>
      <c r="G1166" s="10">
        <v>0.77</v>
      </c>
      <c r="H1166" s="10">
        <v>2.67</v>
      </c>
      <c r="I1166" s="10">
        <v>1.0900000000000001</v>
      </c>
    </row>
    <row r="1167" spans="1:9" x14ac:dyDescent="0.25">
      <c r="A1167">
        <v>704</v>
      </c>
      <c r="B1167" s="10" t="s">
        <v>3386</v>
      </c>
      <c r="C1167" s="10" t="s">
        <v>3387</v>
      </c>
      <c r="D1167" s="10">
        <v>4881</v>
      </c>
      <c r="E1167" s="10" t="s">
        <v>4359</v>
      </c>
      <c r="F1167" s="10">
        <v>15.35</v>
      </c>
      <c r="G1167" s="10">
        <v>0.77</v>
      </c>
      <c r="H1167" s="10">
        <v>2.67</v>
      </c>
      <c r="I1167" s="10">
        <v>1.0900000000000001</v>
      </c>
    </row>
    <row r="1168" spans="1:9" x14ac:dyDescent="0.25">
      <c r="A1168">
        <v>663</v>
      </c>
      <c r="B1168" s="10" t="s">
        <v>3386</v>
      </c>
      <c r="C1168" s="10" t="s">
        <v>4360</v>
      </c>
      <c r="D1168" s="10">
        <v>4888</v>
      </c>
      <c r="E1168" s="10" t="s">
        <v>4361</v>
      </c>
      <c r="F1168" s="10" t="s">
        <v>3081</v>
      </c>
      <c r="G1168" s="10" t="s">
        <v>2656</v>
      </c>
      <c r="H1168" s="10" t="s">
        <v>2335</v>
      </c>
      <c r="I1168" s="10" t="s">
        <v>2363</v>
      </c>
    </row>
    <row r="1169" spans="1:9" x14ac:dyDescent="0.25">
      <c r="A1169">
        <v>1581</v>
      </c>
      <c r="B1169" s="10" t="s">
        <v>3875</v>
      </c>
      <c r="C1169" s="10" t="s">
        <v>4362</v>
      </c>
      <c r="D1169" s="10">
        <v>4889</v>
      </c>
      <c r="E1169" s="10" t="s">
        <v>4363</v>
      </c>
      <c r="F1169" s="10" t="s">
        <v>3153</v>
      </c>
      <c r="G1169" s="10" t="s">
        <v>2315</v>
      </c>
      <c r="H1169" s="10" t="s">
        <v>3574</v>
      </c>
      <c r="I1169" s="10" t="s">
        <v>2213</v>
      </c>
    </row>
    <row r="1170" spans="1:9" x14ac:dyDescent="0.25">
      <c r="A1170">
        <v>1528</v>
      </c>
      <c r="B1170" s="10" t="s">
        <v>2671</v>
      </c>
      <c r="C1170" s="10" t="s">
        <v>4364</v>
      </c>
      <c r="D1170" s="10">
        <v>4892</v>
      </c>
      <c r="E1170" s="10" t="s">
        <v>4365</v>
      </c>
      <c r="F1170" s="10">
        <v>75.95</v>
      </c>
      <c r="G1170" s="10">
        <v>0.84</v>
      </c>
      <c r="H1170" s="10">
        <v>0</v>
      </c>
      <c r="I1170" s="10">
        <v>0</v>
      </c>
    </row>
    <row r="1171" spans="1:9" x14ac:dyDescent="0.25">
      <c r="A1171">
        <v>1560</v>
      </c>
      <c r="B1171" s="10" t="s">
        <v>3875</v>
      </c>
      <c r="C1171" s="10" t="s">
        <v>4366</v>
      </c>
      <c r="D1171" s="10">
        <v>4894</v>
      </c>
      <c r="E1171" s="10" t="s">
        <v>2227</v>
      </c>
      <c r="F1171" s="10" t="s">
        <v>2344</v>
      </c>
      <c r="G1171" s="10" t="s">
        <v>2263</v>
      </c>
      <c r="H1171" s="10" t="s">
        <v>4367</v>
      </c>
      <c r="I1171" s="10" t="s">
        <v>2264</v>
      </c>
    </row>
    <row r="1172" spans="1:9" x14ac:dyDescent="0.25">
      <c r="A1172">
        <v>1561</v>
      </c>
      <c r="B1172" s="10" t="s">
        <v>3875</v>
      </c>
      <c r="C1172" s="10" t="s">
        <v>4368</v>
      </c>
      <c r="D1172" s="10">
        <v>4902</v>
      </c>
      <c r="E1172" s="10" t="s">
        <v>4369</v>
      </c>
      <c r="F1172" s="10" t="s">
        <v>2510</v>
      </c>
      <c r="G1172" s="10" t="s">
        <v>2329</v>
      </c>
      <c r="H1172" s="10" t="s">
        <v>4370</v>
      </c>
      <c r="I1172" s="10" t="s">
        <v>2315</v>
      </c>
    </row>
    <row r="1173" spans="1:9" x14ac:dyDescent="0.25">
      <c r="A1173">
        <v>1562</v>
      </c>
      <c r="B1173" s="10" t="s">
        <v>3875</v>
      </c>
      <c r="C1173" s="10" t="s">
        <v>4368</v>
      </c>
      <c r="D1173" s="10">
        <v>4903</v>
      </c>
      <c r="E1173" s="10" t="s">
        <v>4371</v>
      </c>
      <c r="F1173" s="10" t="s">
        <v>2510</v>
      </c>
      <c r="G1173" s="10" t="s">
        <v>2329</v>
      </c>
      <c r="H1173" s="10" t="s">
        <v>4370</v>
      </c>
      <c r="I1173" s="10" t="s">
        <v>2315</v>
      </c>
    </row>
    <row r="1174" spans="1:9" x14ac:dyDescent="0.25">
      <c r="A1174">
        <v>1577</v>
      </c>
      <c r="B1174" s="10" t="s">
        <v>3875</v>
      </c>
      <c r="C1174" s="10" t="s">
        <v>4372</v>
      </c>
      <c r="D1174" s="10">
        <v>4904</v>
      </c>
      <c r="E1174" s="10" t="s">
        <v>4373</v>
      </c>
      <c r="F1174" s="10" t="s">
        <v>2365</v>
      </c>
      <c r="G1174" s="10" t="s">
        <v>2849</v>
      </c>
      <c r="H1174" s="10" t="s">
        <v>4374</v>
      </c>
      <c r="I1174" s="10" t="s">
        <v>2850</v>
      </c>
    </row>
    <row r="1175" spans="1:9" x14ac:dyDescent="0.25">
      <c r="A1175">
        <v>1578</v>
      </c>
      <c r="B1175" s="10" t="s">
        <v>3875</v>
      </c>
      <c r="C1175" s="10" t="s">
        <v>4372</v>
      </c>
      <c r="D1175" s="10">
        <v>4905</v>
      </c>
      <c r="E1175" s="10" t="s">
        <v>4375</v>
      </c>
      <c r="F1175" s="10" t="s">
        <v>2365</v>
      </c>
      <c r="G1175" s="10" t="s">
        <v>2849</v>
      </c>
      <c r="H1175" s="10" t="s">
        <v>4374</v>
      </c>
      <c r="I1175" s="10" t="s">
        <v>2850</v>
      </c>
    </row>
    <row r="1176" spans="1:9" x14ac:dyDescent="0.25">
      <c r="A1176">
        <v>723</v>
      </c>
      <c r="B1176" s="10" t="s">
        <v>4082</v>
      </c>
      <c r="C1176" s="10" t="s">
        <v>4376</v>
      </c>
      <c r="D1176" s="10">
        <v>4906</v>
      </c>
      <c r="E1176" s="10" t="s">
        <v>4377</v>
      </c>
      <c r="F1176" s="10" t="s">
        <v>3364</v>
      </c>
      <c r="G1176" s="10" t="s">
        <v>3270</v>
      </c>
      <c r="H1176" s="10" t="s">
        <v>4378</v>
      </c>
      <c r="I1176" s="10" t="s">
        <v>2707</v>
      </c>
    </row>
    <row r="1177" spans="1:9" x14ac:dyDescent="0.25">
      <c r="A1177">
        <v>664</v>
      </c>
      <c r="B1177" s="10" t="s">
        <v>3386</v>
      </c>
      <c r="C1177" s="10" t="s">
        <v>4379</v>
      </c>
      <c r="D1177" s="10">
        <v>4907</v>
      </c>
      <c r="E1177" s="10" t="s">
        <v>4380</v>
      </c>
      <c r="F1177" s="10">
        <v>20.5</v>
      </c>
      <c r="G1177" s="10">
        <v>0.85</v>
      </c>
      <c r="H1177" s="10">
        <v>3.73</v>
      </c>
      <c r="I1177" s="10">
        <v>1.19</v>
      </c>
    </row>
    <row r="1178" spans="1:9" x14ac:dyDescent="0.25">
      <c r="A1178">
        <v>724</v>
      </c>
      <c r="B1178" s="10" t="s">
        <v>4082</v>
      </c>
      <c r="C1178" s="10" t="s">
        <v>4376</v>
      </c>
      <c r="D1178" s="10">
        <v>4908</v>
      </c>
      <c r="E1178" s="10" t="s">
        <v>4381</v>
      </c>
      <c r="F1178" s="10" t="s">
        <v>3364</v>
      </c>
      <c r="G1178" s="10" t="s">
        <v>3270</v>
      </c>
      <c r="H1178" s="10" t="s">
        <v>4378</v>
      </c>
      <c r="I1178" s="10" t="s">
        <v>2707</v>
      </c>
    </row>
    <row r="1179" spans="1:9" x14ac:dyDescent="0.25">
      <c r="A1179">
        <v>725</v>
      </c>
      <c r="B1179" s="10" t="s">
        <v>4082</v>
      </c>
      <c r="C1179" s="10" t="s">
        <v>4376</v>
      </c>
      <c r="D1179" s="10">
        <v>4909</v>
      </c>
      <c r="E1179" s="10" t="s">
        <v>4382</v>
      </c>
      <c r="F1179" s="10" t="s">
        <v>3364</v>
      </c>
      <c r="G1179" s="10" t="s">
        <v>3270</v>
      </c>
      <c r="H1179" s="10" t="s">
        <v>4378</v>
      </c>
      <c r="I1179" s="10" t="s">
        <v>2707</v>
      </c>
    </row>
    <row r="1180" spans="1:9" x14ac:dyDescent="0.25">
      <c r="A1180">
        <v>726</v>
      </c>
      <c r="B1180" s="10" t="s">
        <v>4082</v>
      </c>
      <c r="C1180" s="10" t="s">
        <v>4376</v>
      </c>
      <c r="D1180" s="10">
        <v>4910</v>
      </c>
      <c r="E1180" s="10" t="s">
        <v>4383</v>
      </c>
      <c r="F1180" s="10" t="s">
        <v>3364</v>
      </c>
      <c r="G1180" s="10" t="s">
        <v>3270</v>
      </c>
      <c r="H1180" s="10" t="s">
        <v>4378</v>
      </c>
      <c r="I1180" s="10" t="s">
        <v>2707</v>
      </c>
    </row>
    <row r="1181" spans="1:9" x14ac:dyDescent="0.25">
      <c r="A1181">
        <v>1553</v>
      </c>
      <c r="B1181" s="10" t="s">
        <v>3875</v>
      </c>
      <c r="C1181" s="10" t="s">
        <v>4384</v>
      </c>
      <c r="D1181" s="10">
        <v>4911</v>
      </c>
      <c r="E1181" s="10" t="s">
        <v>4385</v>
      </c>
      <c r="F1181" s="10" t="s">
        <v>2390</v>
      </c>
      <c r="G1181" s="10" t="s">
        <v>2391</v>
      </c>
      <c r="H1181" s="10" t="s">
        <v>4386</v>
      </c>
      <c r="I1181" s="10" t="s">
        <v>2118</v>
      </c>
    </row>
    <row r="1182" spans="1:9" x14ac:dyDescent="0.25">
      <c r="A1182">
        <v>1549</v>
      </c>
      <c r="B1182" s="10" t="s">
        <v>2671</v>
      </c>
      <c r="C1182" s="10" t="s">
        <v>3875</v>
      </c>
      <c r="D1182" s="10">
        <v>4912</v>
      </c>
      <c r="E1182" s="10" t="s">
        <v>4387</v>
      </c>
      <c r="F1182" s="10" t="s">
        <v>4388</v>
      </c>
      <c r="G1182" s="10" t="s">
        <v>2304</v>
      </c>
      <c r="H1182" s="10" t="s">
        <v>4389</v>
      </c>
      <c r="I1182" s="10" t="s">
        <v>2118</v>
      </c>
    </row>
    <row r="1183" spans="1:9" x14ac:dyDescent="0.25">
      <c r="A1183">
        <v>665</v>
      </c>
      <c r="B1183" s="10" t="s">
        <v>3386</v>
      </c>
      <c r="C1183" s="10" t="s">
        <v>4379</v>
      </c>
      <c r="D1183" s="10">
        <v>4914</v>
      </c>
      <c r="E1183" s="10" t="s">
        <v>4390</v>
      </c>
      <c r="F1183" s="10">
        <v>20.5</v>
      </c>
      <c r="G1183" s="10">
        <v>0.85</v>
      </c>
      <c r="H1183" s="10">
        <v>3.73</v>
      </c>
      <c r="I1183" s="10">
        <v>1.19</v>
      </c>
    </row>
    <row r="1184" spans="1:9" x14ac:dyDescent="0.25">
      <c r="A1184">
        <v>1563</v>
      </c>
      <c r="B1184" s="10" t="s">
        <v>3875</v>
      </c>
      <c r="C1184" s="10" t="s">
        <v>4368</v>
      </c>
      <c r="D1184" s="10">
        <v>4915</v>
      </c>
      <c r="E1184" s="10" t="s">
        <v>4391</v>
      </c>
      <c r="F1184" s="10" t="s">
        <v>2390</v>
      </c>
      <c r="G1184" s="10" t="s">
        <v>2391</v>
      </c>
      <c r="H1184" s="10" t="s">
        <v>4386</v>
      </c>
      <c r="I1184" s="10" t="s">
        <v>2118</v>
      </c>
    </row>
    <row r="1185" spans="1:9" x14ac:dyDescent="0.25">
      <c r="A1185">
        <v>1555</v>
      </c>
      <c r="B1185" s="10" t="s">
        <v>3875</v>
      </c>
      <c r="C1185" s="10" t="s">
        <v>4392</v>
      </c>
      <c r="D1185" s="10">
        <v>4917</v>
      </c>
      <c r="E1185" s="10" t="s">
        <v>4393</v>
      </c>
      <c r="F1185" s="10" t="s">
        <v>2611</v>
      </c>
      <c r="G1185" s="10" t="s">
        <v>3180</v>
      </c>
      <c r="H1185" s="10" t="s">
        <v>4394</v>
      </c>
      <c r="I1185" s="10" t="s">
        <v>2263</v>
      </c>
    </row>
    <row r="1186" spans="1:9" x14ac:dyDescent="0.25">
      <c r="A1186">
        <v>1556</v>
      </c>
      <c r="B1186" s="10" t="s">
        <v>3875</v>
      </c>
      <c r="C1186" s="10" t="s">
        <v>4392</v>
      </c>
      <c r="D1186" s="10">
        <v>4918</v>
      </c>
      <c r="E1186" s="10" t="s">
        <v>4395</v>
      </c>
      <c r="F1186" s="10" t="s">
        <v>2557</v>
      </c>
      <c r="G1186" s="10" t="s">
        <v>2477</v>
      </c>
      <c r="H1186" s="10" t="s">
        <v>2282</v>
      </c>
      <c r="I1186" s="10" t="s">
        <v>3199</v>
      </c>
    </row>
    <row r="1187" spans="1:9" x14ac:dyDescent="0.25">
      <c r="A1187">
        <v>1579</v>
      </c>
      <c r="B1187" s="10" t="s">
        <v>3875</v>
      </c>
      <c r="C1187" s="10" t="s">
        <v>1151</v>
      </c>
      <c r="D1187" s="10">
        <v>4919</v>
      </c>
      <c r="E1187" s="10" t="s">
        <v>4396</v>
      </c>
      <c r="F1187" s="10" t="s">
        <v>2215</v>
      </c>
      <c r="G1187" s="10" t="s">
        <v>2537</v>
      </c>
      <c r="H1187" s="10" t="s">
        <v>2487</v>
      </c>
      <c r="I1187" s="10" t="s">
        <v>2319</v>
      </c>
    </row>
    <row r="1188" spans="1:9" x14ac:dyDescent="0.25">
      <c r="A1188">
        <v>1564</v>
      </c>
      <c r="B1188" s="10" t="s">
        <v>3875</v>
      </c>
      <c r="C1188" s="10" t="s">
        <v>4368</v>
      </c>
      <c r="D1188" s="10">
        <v>4920</v>
      </c>
      <c r="E1188" s="10" t="s">
        <v>4397</v>
      </c>
      <c r="F1188" s="10" t="s">
        <v>3364</v>
      </c>
      <c r="G1188" s="10" t="s">
        <v>4398</v>
      </c>
      <c r="H1188" s="10" t="s">
        <v>4399</v>
      </c>
      <c r="I1188" s="10" t="s">
        <v>2324</v>
      </c>
    </row>
    <row r="1189" spans="1:9" x14ac:dyDescent="0.25">
      <c r="A1189">
        <v>1557</v>
      </c>
      <c r="B1189" s="10" t="s">
        <v>3875</v>
      </c>
      <c r="C1189" s="10" t="s">
        <v>4392</v>
      </c>
      <c r="D1189" s="10">
        <v>4921</v>
      </c>
      <c r="E1189" s="10" t="s">
        <v>4400</v>
      </c>
      <c r="F1189" s="10" t="s">
        <v>3327</v>
      </c>
      <c r="G1189" s="10" t="s">
        <v>2725</v>
      </c>
      <c r="H1189" s="10" t="s">
        <v>4401</v>
      </c>
      <c r="I1189" s="10" t="s">
        <v>2304</v>
      </c>
    </row>
    <row r="1190" spans="1:9" x14ac:dyDescent="0.25">
      <c r="A1190">
        <v>1580</v>
      </c>
      <c r="B1190" s="10" t="s">
        <v>3875</v>
      </c>
      <c r="C1190" s="10" t="s">
        <v>1151</v>
      </c>
      <c r="D1190" s="10">
        <v>4923</v>
      </c>
      <c r="E1190" s="10" t="s">
        <v>4402</v>
      </c>
      <c r="F1190" s="10" t="s">
        <v>2215</v>
      </c>
      <c r="G1190" s="10" t="s">
        <v>2537</v>
      </c>
      <c r="H1190" s="10" t="s">
        <v>2487</v>
      </c>
      <c r="I1190" s="10" t="s">
        <v>2319</v>
      </c>
    </row>
    <row r="1191" spans="1:9" x14ac:dyDescent="0.25">
      <c r="A1191">
        <v>1565</v>
      </c>
      <c r="B1191" s="10" t="s">
        <v>3875</v>
      </c>
      <c r="C1191" s="10" t="s">
        <v>4368</v>
      </c>
      <c r="D1191" s="10">
        <v>4924</v>
      </c>
      <c r="E1191" s="10" t="s">
        <v>4403</v>
      </c>
      <c r="F1191" s="10" t="s">
        <v>2470</v>
      </c>
      <c r="G1191" s="10" t="s">
        <v>3351</v>
      </c>
      <c r="H1191" s="10" t="s">
        <v>4404</v>
      </c>
      <c r="I1191" s="10" t="s">
        <v>3353</v>
      </c>
    </row>
    <row r="1192" spans="1:9" x14ac:dyDescent="0.25">
      <c r="A1192">
        <v>1566</v>
      </c>
      <c r="B1192" s="10" t="s">
        <v>3875</v>
      </c>
      <c r="C1192" s="10" t="s">
        <v>4368</v>
      </c>
      <c r="D1192" s="10">
        <v>4925</v>
      </c>
      <c r="E1192" s="10" t="s">
        <v>4405</v>
      </c>
      <c r="F1192" s="10" t="s">
        <v>2390</v>
      </c>
      <c r="G1192" s="10" t="s">
        <v>2391</v>
      </c>
      <c r="H1192" s="10" t="s">
        <v>4389</v>
      </c>
      <c r="I1192" s="10" t="s">
        <v>2118</v>
      </c>
    </row>
    <row r="1193" spans="1:9" x14ac:dyDescent="0.25">
      <c r="A1193">
        <v>1567</v>
      </c>
      <c r="B1193" s="10" t="s">
        <v>3875</v>
      </c>
      <c r="C1193" s="10" t="s">
        <v>4368</v>
      </c>
      <c r="D1193" s="10">
        <v>4927</v>
      </c>
      <c r="E1193" s="10" t="s">
        <v>4406</v>
      </c>
      <c r="F1193" s="10" t="s">
        <v>2390</v>
      </c>
      <c r="G1193" s="10" t="s">
        <v>3019</v>
      </c>
      <c r="H1193" s="10" t="s">
        <v>3590</v>
      </c>
      <c r="I1193" s="10" t="s">
        <v>2420</v>
      </c>
    </row>
    <row r="1194" spans="1:9" x14ac:dyDescent="0.25">
      <c r="A1194">
        <v>1568</v>
      </c>
      <c r="B1194" s="10" t="s">
        <v>3875</v>
      </c>
      <c r="C1194" s="10" t="s">
        <v>4368</v>
      </c>
      <c r="D1194" s="10">
        <v>4932</v>
      </c>
      <c r="E1194" s="10" t="s">
        <v>4407</v>
      </c>
      <c r="F1194" s="10" t="s">
        <v>2510</v>
      </c>
      <c r="G1194" s="10" t="s">
        <v>2329</v>
      </c>
      <c r="H1194" s="10" t="s">
        <v>4370</v>
      </c>
      <c r="I1194" s="10" t="s">
        <v>2315</v>
      </c>
    </row>
    <row r="1195" spans="1:9" x14ac:dyDescent="0.25">
      <c r="A1195">
        <v>1569</v>
      </c>
      <c r="B1195" s="10" t="s">
        <v>3875</v>
      </c>
      <c r="C1195" s="10" t="s">
        <v>4368</v>
      </c>
      <c r="D1195" s="10">
        <v>4933</v>
      </c>
      <c r="E1195" s="10" t="s">
        <v>4408</v>
      </c>
      <c r="F1195" s="10" t="s">
        <v>2510</v>
      </c>
      <c r="G1195" s="10" t="s">
        <v>2329</v>
      </c>
      <c r="H1195" s="10" t="s">
        <v>4370</v>
      </c>
      <c r="I1195" s="10" t="s">
        <v>2315</v>
      </c>
    </row>
    <row r="1196" spans="1:9" x14ac:dyDescent="0.25">
      <c r="A1196">
        <v>1570</v>
      </c>
      <c r="B1196" s="10" t="s">
        <v>3875</v>
      </c>
      <c r="C1196" s="10" t="s">
        <v>4368</v>
      </c>
      <c r="D1196" s="10">
        <v>4934</v>
      </c>
      <c r="E1196" s="10" t="s">
        <v>4409</v>
      </c>
      <c r="F1196" s="10" t="s">
        <v>2360</v>
      </c>
      <c r="G1196" s="10" t="s">
        <v>2361</v>
      </c>
      <c r="H1196" s="10" t="s">
        <v>4410</v>
      </c>
      <c r="I1196" s="10" t="s">
        <v>2363</v>
      </c>
    </row>
    <row r="1197" spans="1:9" x14ac:dyDescent="0.25">
      <c r="A1197">
        <v>1558</v>
      </c>
      <c r="B1197" s="10" t="s">
        <v>3875</v>
      </c>
      <c r="C1197" s="10" t="s">
        <v>4392</v>
      </c>
      <c r="D1197" s="10">
        <v>4935</v>
      </c>
      <c r="E1197" s="10" t="s">
        <v>4411</v>
      </c>
      <c r="F1197" s="10" t="s">
        <v>3327</v>
      </c>
      <c r="G1197" s="10" t="s">
        <v>2725</v>
      </c>
      <c r="H1197" s="10" t="s">
        <v>4401</v>
      </c>
      <c r="I1197" s="10" t="s">
        <v>2304</v>
      </c>
    </row>
    <row r="1198" spans="1:9" x14ac:dyDescent="0.25">
      <c r="A1198">
        <v>1559</v>
      </c>
      <c r="B1198" s="10" t="s">
        <v>3875</v>
      </c>
      <c r="C1198" s="10" t="s">
        <v>4392</v>
      </c>
      <c r="D1198" s="10">
        <v>4936</v>
      </c>
      <c r="E1198" s="10" t="s">
        <v>4412</v>
      </c>
      <c r="F1198" s="10" t="s">
        <v>3327</v>
      </c>
      <c r="G1198" s="10" t="s">
        <v>2725</v>
      </c>
      <c r="H1198" s="10" t="s">
        <v>4401</v>
      </c>
      <c r="I1198" s="10" t="s">
        <v>2304</v>
      </c>
    </row>
    <row r="1199" spans="1:9" x14ac:dyDescent="0.25">
      <c r="A1199">
        <v>1554</v>
      </c>
      <c r="B1199" s="10" t="s">
        <v>3875</v>
      </c>
      <c r="C1199" s="10" t="s">
        <v>4384</v>
      </c>
      <c r="D1199" s="10">
        <v>4941</v>
      </c>
      <c r="E1199" s="10" t="s">
        <v>4413</v>
      </c>
      <c r="F1199" s="10" t="s">
        <v>3364</v>
      </c>
      <c r="G1199" s="10" t="s">
        <v>2273</v>
      </c>
      <c r="H1199" s="10" t="s">
        <v>4414</v>
      </c>
      <c r="I1199" s="10" t="s">
        <v>2241</v>
      </c>
    </row>
    <row r="1200" spans="1:9" x14ac:dyDescent="0.25">
      <c r="A1200">
        <v>666</v>
      </c>
      <c r="B1200" s="10" t="s">
        <v>3386</v>
      </c>
      <c r="C1200" s="10" t="s">
        <v>4379</v>
      </c>
      <c r="D1200" s="10">
        <v>4942</v>
      </c>
      <c r="E1200" s="10" t="s">
        <v>4415</v>
      </c>
      <c r="F1200" s="10">
        <v>16.75</v>
      </c>
      <c r="G1200" s="10">
        <v>0.52</v>
      </c>
      <c r="H1200" s="10">
        <v>3.15</v>
      </c>
      <c r="I1200" s="10">
        <v>0.69</v>
      </c>
    </row>
    <row r="1201" spans="1:9" x14ac:dyDescent="0.25">
      <c r="A1201">
        <v>667</v>
      </c>
      <c r="B1201" s="10" t="s">
        <v>3386</v>
      </c>
      <c r="C1201" s="10" t="s">
        <v>4379</v>
      </c>
      <c r="D1201" s="10">
        <v>4943</v>
      </c>
      <c r="E1201" s="10" t="s">
        <v>4416</v>
      </c>
      <c r="F1201" s="10">
        <v>14.95</v>
      </c>
      <c r="G1201" s="10">
        <v>0.93</v>
      </c>
      <c r="H1201" s="10">
        <v>2.95</v>
      </c>
      <c r="I1201" s="10">
        <v>1.29</v>
      </c>
    </row>
    <row r="1202" spans="1:9" x14ac:dyDescent="0.25">
      <c r="A1202">
        <v>668</v>
      </c>
      <c r="B1202" s="10" t="s">
        <v>3386</v>
      </c>
      <c r="C1202" s="10" t="s">
        <v>4379</v>
      </c>
      <c r="D1202" s="10">
        <v>4944</v>
      </c>
      <c r="E1202" s="10" t="s">
        <v>4417</v>
      </c>
      <c r="F1202" s="10" t="s">
        <v>2371</v>
      </c>
      <c r="G1202" s="10" t="s">
        <v>2221</v>
      </c>
      <c r="H1202" s="10" t="s">
        <v>4418</v>
      </c>
      <c r="I1202" s="10" t="s">
        <v>3199</v>
      </c>
    </row>
    <row r="1203" spans="1:9" x14ac:dyDescent="0.25">
      <c r="A1203">
        <v>675</v>
      </c>
      <c r="B1203" s="10" t="s">
        <v>3386</v>
      </c>
      <c r="C1203" s="10" t="s">
        <v>4419</v>
      </c>
      <c r="D1203" s="10">
        <v>4947</v>
      </c>
      <c r="E1203" s="10" t="s">
        <v>4420</v>
      </c>
      <c r="F1203" s="10">
        <v>15.35</v>
      </c>
      <c r="G1203" s="10">
        <v>0.96</v>
      </c>
      <c r="H1203" s="10">
        <v>3.55</v>
      </c>
      <c r="I1203" s="10">
        <v>1.29</v>
      </c>
    </row>
    <row r="1204" spans="1:9" x14ac:dyDescent="0.25">
      <c r="A1204">
        <v>710</v>
      </c>
      <c r="B1204" s="10" t="s">
        <v>4082</v>
      </c>
      <c r="C1204" s="10" t="s">
        <v>1115</v>
      </c>
      <c r="D1204" s="10">
        <v>4948</v>
      </c>
      <c r="E1204" s="10" t="s">
        <v>4421</v>
      </c>
      <c r="F1204" s="10" t="s">
        <v>3359</v>
      </c>
      <c r="G1204" s="10" t="s">
        <v>3360</v>
      </c>
      <c r="H1204" s="10" t="s">
        <v>2386</v>
      </c>
      <c r="I1204" s="10" t="s">
        <v>2420</v>
      </c>
    </row>
    <row r="1205" spans="1:9" x14ac:dyDescent="0.25">
      <c r="A1205">
        <v>1529</v>
      </c>
      <c r="B1205" s="10" t="s">
        <v>2671</v>
      </c>
      <c r="C1205" s="10" t="s">
        <v>4364</v>
      </c>
      <c r="D1205" s="10">
        <v>4949</v>
      </c>
      <c r="E1205" s="10" t="s">
        <v>4422</v>
      </c>
      <c r="F1205" s="10">
        <v>448.5</v>
      </c>
      <c r="G1205" s="10">
        <v>0.93</v>
      </c>
      <c r="H1205" s="10">
        <v>2.95</v>
      </c>
      <c r="I1205" s="10">
        <v>1.29</v>
      </c>
    </row>
    <row r="1206" spans="1:9" x14ac:dyDescent="0.25">
      <c r="A1206">
        <v>669</v>
      </c>
      <c r="B1206" s="10" t="s">
        <v>3386</v>
      </c>
      <c r="C1206" s="10" t="s">
        <v>4379</v>
      </c>
      <c r="D1206" s="10">
        <v>4951</v>
      </c>
      <c r="E1206" s="10" t="s">
        <v>4423</v>
      </c>
      <c r="F1206" s="10" t="s">
        <v>3013</v>
      </c>
      <c r="G1206" s="10" t="s">
        <v>2386</v>
      </c>
      <c r="H1206" s="10" t="s">
        <v>2409</v>
      </c>
      <c r="I1206" s="10" t="s">
        <v>2269</v>
      </c>
    </row>
    <row r="1207" spans="1:9" x14ac:dyDescent="0.25">
      <c r="A1207">
        <v>1582</v>
      </c>
      <c r="B1207" s="10" t="s">
        <v>3875</v>
      </c>
      <c r="C1207" s="10" t="s">
        <v>4362</v>
      </c>
      <c r="D1207" s="10">
        <v>4956</v>
      </c>
      <c r="E1207" s="10" t="s">
        <v>4424</v>
      </c>
      <c r="F1207" s="10" t="s">
        <v>2360</v>
      </c>
      <c r="G1207" s="10" t="s">
        <v>2361</v>
      </c>
      <c r="H1207" s="10" t="s">
        <v>4425</v>
      </c>
      <c r="I1207" s="10" t="s">
        <v>2315</v>
      </c>
    </row>
    <row r="1208" spans="1:9" x14ac:dyDescent="0.25">
      <c r="A1208">
        <v>721</v>
      </c>
      <c r="B1208" s="10" t="s">
        <v>4082</v>
      </c>
      <c r="C1208" s="10" t="s">
        <v>4426</v>
      </c>
      <c r="D1208" s="10">
        <v>4961</v>
      </c>
      <c r="E1208" s="10" t="s">
        <v>4427</v>
      </c>
      <c r="F1208" s="10" t="s">
        <v>2380</v>
      </c>
      <c r="G1208" s="10" t="s">
        <v>3551</v>
      </c>
      <c r="H1208" s="10" t="s">
        <v>4428</v>
      </c>
      <c r="I1208" s="10" t="s">
        <v>2231</v>
      </c>
    </row>
    <row r="1209" spans="1:9" x14ac:dyDescent="0.25">
      <c r="A1209">
        <v>676</v>
      </c>
      <c r="B1209" s="10" t="s">
        <v>3386</v>
      </c>
      <c r="C1209" s="10" t="s">
        <v>4419</v>
      </c>
      <c r="D1209" s="10">
        <v>4962</v>
      </c>
      <c r="E1209" s="10" t="s">
        <v>4429</v>
      </c>
      <c r="F1209" s="10" t="s">
        <v>2301</v>
      </c>
      <c r="G1209" s="10" t="s">
        <v>2302</v>
      </c>
      <c r="H1209" s="10" t="s">
        <v>2444</v>
      </c>
      <c r="I1209" s="10" t="s">
        <v>2304</v>
      </c>
    </row>
    <row r="1210" spans="1:9" x14ac:dyDescent="0.25">
      <c r="A1210">
        <v>722</v>
      </c>
      <c r="B1210" s="10" t="s">
        <v>4082</v>
      </c>
      <c r="C1210" s="10" t="s">
        <v>4426</v>
      </c>
      <c r="D1210" s="10">
        <v>4963</v>
      </c>
      <c r="E1210" s="10" t="s">
        <v>4430</v>
      </c>
      <c r="F1210" s="10" t="s">
        <v>2380</v>
      </c>
      <c r="G1210" s="10" t="s">
        <v>3279</v>
      </c>
      <c r="H1210" s="10" t="s">
        <v>4431</v>
      </c>
      <c r="I1210" s="10" t="s">
        <v>2496</v>
      </c>
    </row>
    <row r="1211" spans="1:9" x14ac:dyDescent="0.25">
      <c r="A1211">
        <v>677</v>
      </c>
      <c r="B1211" s="10" t="s">
        <v>3386</v>
      </c>
      <c r="C1211" s="10" t="s">
        <v>4419</v>
      </c>
      <c r="D1211" s="10">
        <v>4967</v>
      </c>
      <c r="E1211" s="10" t="s">
        <v>4432</v>
      </c>
      <c r="F1211" s="10">
        <v>15.95</v>
      </c>
      <c r="G1211" s="10">
        <v>0.5</v>
      </c>
      <c r="H1211" s="10">
        <v>3.68</v>
      </c>
      <c r="I1211" s="10">
        <v>0.69</v>
      </c>
    </row>
    <row r="1212" spans="1:9" x14ac:dyDescent="0.25">
      <c r="A1212">
        <v>670</v>
      </c>
      <c r="B1212" s="10" t="s">
        <v>3386</v>
      </c>
      <c r="C1212" s="10" t="s">
        <v>4379</v>
      </c>
      <c r="D1212" s="10">
        <v>4968</v>
      </c>
      <c r="E1212" s="10" t="s">
        <v>4433</v>
      </c>
      <c r="F1212" s="10">
        <v>19.350000000000001</v>
      </c>
      <c r="G1212" s="10">
        <v>0.6</v>
      </c>
      <c r="H1212" s="10">
        <v>3.61</v>
      </c>
      <c r="I1212" s="10">
        <v>0.79</v>
      </c>
    </row>
    <row r="1213" spans="1:9" x14ac:dyDescent="0.25">
      <c r="A1213">
        <v>671</v>
      </c>
      <c r="B1213" s="10" t="s">
        <v>3386</v>
      </c>
      <c r="C1213" s="10" t="s">
        <v>4379</v>
      </c>
      <c r="D1213" s="10">
        <v>4969</v>
      </c>
      <c r="E1213" s="10" t="s">
        <v>4434</v>
      </c>
      <c r="F1213" s="10" t="s">
        <v>3740</v>
      </c>
      <c r="G1213" s="10" t="s">
        <v>4258</v>
      </c>
      <c r="H1213" s="10" t="s">
        <v>3343</v>
      </c>
      <c r="I1213" s="10" t="s">
        <v>2707</v>
      </c>
    </row>
    <row r="1214" spans="1:9" x14ac:dyDescent="0.25">
      <c r="A1214">
        <v>672</v>
      </c>
      <c r="B1214" s="10" t="s">
        <v>3386</v>
      </c>
      <c r="C1214" s="10" t="s">
        <v>4379</v>
      </c>
      <c r="D1214" s="10">
        <v>4970</v>
      </c>
      <c r="E1214" s="10" t="s">
        <v>4435</v>
      </c>
      <c r="F1214" s="10" t="s">
        <v>2301</v>
      </c>
      <c r="G1214" s="10" t="s">
        <v>4436</v>
      </c>
      <c r="H1214" s="10" t="s">
        <v>3047</v>
      </c>
      <c r="I1214" s="10" t="s">
        <v>2449</v>
      </c>
    </row>
    <row r="1215" spans="1:9" x14ac:dyDescent="0.25">
      <c r="A1215">
        <v>673</v>
      </c>
      <c r="B1215" s="10" t="s">
        <v>3386</v>
      </c>
      <c r="C1215" s="10" t="s">
        <v>4379</v>
      </c>
      <c r="D1215" s="10">
        <v>4972</v>
      </c>
      <c r="E1215" s="10" t="s">
        <v>4437</v>
      </c>
      <c r="F1215" s="10">
        <v>57.95</v>
      </c>
      <c r="G1215" s="10">
        <v>0.91</v>
      </c>
      <c r="H1215" s="10">
        <v>2.95</v>
      </c>
      <c r="I1215" s="10">
        <v>1.29</v>
      </c>
    </row>
    <row r="1216" spans="1:9" x14ac:dyDescent="0.25">
      <c r="A1216">
        <v>1530</v>
      </c>
      <c r="B1216" s="10" t="s">
        <v>2671</v>
      </c>
      <c r="C1216" s="10" t="s">
        <v>4364</v>
      </c>
      <c r="D1216" s="10">
        <v>4972</v>
      </c>
      <c r="E1216" s="10" t="s">
        <v>4437</v>
      </c>
      <c r="F1216" s="10">
        <v>57.95</v>
      </c>
      <c r="G1216" s="10">
        <v>0.91</v>
      </c>
      <c r="H1216" s="10">
        <v>2.95</v>
      </c>
      <c r="I1216" s="10">
        <v>1.29</v>
      </c>
    </row>
    <row r="1217" spans="1:9" x14ac:dyDescent="0.25">
      <c r="A1217">
        <v>681</v>
      </c>
      <c r="B1217" s="10" t="s">
        <v>3386</v>
      </c>
      <c r="C1217" s="10" t="s">
        <v>4353</v>
      </c>
      <c r="D1217" s="10">
        <v>4987</v>
      </c>
      <c r="E1217" s="10" t="s">
        <v>4438</v>
      </c>
      <c r="F1217" s="10">
        <v>21.5</v>
      </c>
      <c r="G1217" s="10">
        <v>0.9</v>
      </c>
      <c r="H1217" s="10">
        <v>3.89</v>
      </c>
      <c r="I1217" s="10">
        <v>1.19</v>
      </c>
    </row>
    <row r="1218" spans="1:9" x14ac:dyDescent="0.25">
      <c r="A1218">
        <v>682</v>
      </c>
      <c r="B1218" s="10" t="s">
        <v>3386</v>
      </c>
      <c r="C1218" s="10" t="s">
        <v>4353</v>
      </c>
      <c r="D1218" s="10">
        <v>4988</v>
      </c>
      <c r="E1218" s="10" t="s">
        <v>4439</v>
      </c>
      <c r="F1218" s="10">
        <v>21.5</v>
      </c>
      <c r="G1218" s="10">
        <v>0.9</v>
      </c>
      <c r="H1218" s="10">
        <v>3.89</v>
      </c>
      <c r="I1218" s="10">
        <v>1.19</v>
      </c>
    </row>
    <row r="1219" spans="1:9" x14ac:dyDescent="0.25">
      <c r="A1219">
        <v>683</v>
      </c>
      <c r="B1219" s="10" t="s">
        <v>3386</v>
      </c>
      <c r="C1219" s="10" t="s">
        <v>4353</v>
      </c>
      <c r="D1219" s="10">
        <v>4989</v>
      </c>
      <c r="E1219" s="10" t="s">
        <v>4440</v>
      </c>
      <c r="F1219" s="10">
        <v>21.5</v>
      </c>
      <c r="G1219" s="10">
        <v>0.9</v>
      </c>
      <c r="H1219" s="10">
        <v>3.89</v>
      </c>
      <c r="I1219" s="10">
        <v>1.19</v>
      </c>
    </row>
    <row r="1220" spans="1:9" x14ac:dyDescent="0.25">
      <c r="A1220">
        <v>674</v>
      </c>
      <c r="B1220" s="10" t="s">
        <v>3386</v>
      </c>
      <c r="C1220" s="10" t="s">
        <v>4379</v>
      </c>
      <c r="D1220" s="10">
        <v>4990</v>
      </c>
      <c r="E1220" s="10" t="s">
        <v>4441</v>
      </c>
      <c r="F1220" s="10" t="s">
        <v>2365</v>
      </c>
      <c r="G1220" s="10" t="s">
        <v>2725</v>
      </c>
      <c r="H1220" s="10" t="s">
        <v>2444</v>
      </c>
      <c r="I1220" s="10" t="s">
        <v>2304</v>
      </c>
    </row>
    <row r="1221" spans="1:9" x14ac:dyDescent="0.25">
      <c r="A1221">
        <v>864</v>
      </c>
      <c r="B1221" s="10" t="s">
        <v>3595</v>
      </c>
      <c r="C1221" s="10" t="s">
        <v>4442</v>
      </c>
      <c r="D1221" s="10">
        <v>5000</v>
      </c>
      <c r="E1221" s="10" t="s">
        <v>4443</v>
      </c>
      <c r="F1221" s="10" t="s">
        <v>2307</v>
      </c>
      <c r="G1221" s="10" t="s">
        <v>4444</v>
      </c>
      <c r="H1221" s="10" t="s">
        <v>2856</v>
      </c>
      <c r="I1221" s="10" t="s">
        <v>2287</v>
      </c>
    </row>
    <row r="1222" spans="1:9" x14ac:dyDescent="0.25">
      <c r="A1222">
        <v>865</v>
      </c>
      <c r="B1222" s="10" t="s">
        <v>3595</v>
      </c>
      <c r="C1222" s="10" t="s">
        <v>4442</v>
      </c>
      <c r="D1222" s="10">
        <v>5001</v>
      </c>
      <c r="E1222" s="10" t="s">
        <v>4445</v>
      </c>
      <c r="F1222" s="10">
        <v>9.9499999999999993</v>
      </c>
      <c r="G1222" s="10">
        <v>0.83</v>
      </c>
      <c r="H1222" s="10">
        <v>0.99</v>
      </c>
      <c r="I1222" s="10">
        <v>1.0900000000000001</v>
      </c>
    </row>
    <row r="1223" spans="1:9" x14ac:dyDescent="0.25">
      <c r="A1223">
        <v>866</v>
      </c>
      <c r="B1223" s="10" t="s">
        <v>3595</v>
      </c>
      <c r="C1223" s="10" t="s">
        <v>4442</v>
      </c>
      <c r="D1223" s="10">
        <v>5005</v>
      </c>
      <c r="E1223" s="10" t="s">
        <v>4446</v>
      </c>
      <c r="F1223" s="10" t="s">
        <v>2307</v>
      </c>
      <c r="G1223" s="10" t="s">
        <v>4444</v>
      </c>
      <c r="H1223" s="10" t="s">
        <v>2856</v>
      </c>
      <c r="I1223" s="10" t="s">
        <v>2287</v>
      </c>
    </row>
    <row r="1224" spans="1:9" x14ac:dyDescent="0.25">
      <c r="A1224">
        <v>684</v>
      </c>
      <c r="B1224" s="10" t="s">
        <v>3386</v>
      </c>
      <c r="C1224" s="10" t="s">
        <v>4353</v>
      </c>
      <c r="D1224" s="10">
        <v>5009</v>
      </c>
      <c r="E1224" s="10" t="s">
        <v>4447</v>
      </c>
      <c r="F1224" s="10">
        <v>21.5</v>
      </c>
      <c r="G1224" s="10">
        <v>0.9</v>
      </c>
      <c r="H1224" s="10">
        <v>3.89</v>
      </c>
      <c r="I1224" s="10">
        <v>1.19</v>
      </c>
    </row>
    <row r="1225" spans="1:9" x14ac:dyDescent="0.25">
      <c r="A1225">
        <v>685</v>
      </c>
      <c r="B1225" s="10" t="s">
        <v>3386</v>
      </c>
      <c r="C1225" s="10" t="s">
        <v>4353</v>
      </c>
      <c r="D1225" s="10">
        <v>5010</v>
      </c>
      <c r="E1225" s="10" t="s">
        <v>4448</v>
      </c>
      <c r="F1225" s="10">
        <v>21.5</v>
      </c>
      <c r="G1225" s="10">
        <v>0.9</v>
      </c>
      <c r="H1225" s="10">
        <v>3.89</v>
      </c>
      <c r="I1225" s="10">
        <v>1.19</v>
      </c>
    </row>
    <row r="1226" spans="1:9" x14ac:dyDescent="0.25">
      <c r="A1226">
        <v>686</v>
      </c>
      <c r="B1226" s="10" t="s">
        <v>3386</v>
      </c>
      <c r="C1226" s="10" t="s">
        <v>4353</v>
      </c>
      <c r="D1226" s="10">
        <v>5011</v>
      </c>
      <c r="E1226" s="10" t="s">
        <v>4449</v>
      </c>
      <c r="F1226" s="10">
        <v>21.5</v>
      </c>
      <c r="G1226" s="10">
        <v>0.9</v>
      </c>
      <c r="H1226" s="10">
        <v>3.89</v>
      </c>
      <c r="I1226" s="10">
        <v>1.19</v>
      </c>
    </row>
    <row r="1227" spans="1:9" x14ac:dyDescent="0.25">
      <c r="A1227">
        <v>903</v>
      </c>
      <c r="B1227" s="10" t="s">
        <v>3595</v>
      </c>
      <c r="C1227" s="10" t="s">
        <v>4450</v>
      </c>
      <c r="D1227" s="10">
        <v>5014</v>
      </c>
      <c r="E1227" s="10" t="s">
        <v>4451</v>
      </c>
      <c r="F1227" s="10" t="s">
        <v>2767</v>
      </c>
      <c r="G1227" s="10" t="s">
        <v>3208</v>
      </c>
      <c r="H1227" s="10" t="s">
        <v>2268</v>
      </c>
      <c r="I1227" s="10" t="s">
        <v>2449</v>
      </c>
    </row>
    <row r="1228" spans="1:9" x14ac:dyDescent="0.25">
      <c r="A1228">
        <v>687</v>
      </c>
      <c r="B1228" s="10" t="s">
        <v>3386</v>
      </c>
      <c r="C1228" s="10" t="s">
        <v>4353</v>
      </c>
      <c r="D1228" s="10">
        <v>5015</v>
      </c>
      <c r="E1228" s="10" t="s">
        <v>4452</v>
      </c>
      <c r="F1228" s="10">
        <v>21.5</v>
      </c>
      <c r="G1228" s="10">
        <v>0.9</v>
      </c>
      <c r="H1228" s="10">
        <v>3.89</v>
      </c>
      <c r="I1228" s="10">
        <v>1.19</v>
      </c>
    </row>
    <row r="1229" spans="1:9" x14ac:dyDescent="0.25">
      <c r="A1229">
        <v>688</v>
      </c>
      <c r="B1229" s="10" t="s">
        <v>3386</v>
      </c>
      <c r="C1229" s="10" t="s">
        <v>4353</v>
      </c>
      <c r="D1229" s="10">
        <v>5016</v>
      </c>
      <c r="E1229" s="10" t="s">
        <v>4453</v>
      </c>
      <c r="F1229" s="10">
        <v>21.5</v>
      </c>
      <c r="G1229" s="10">
        <v>0.9</v>
      </c>
      <c r="H1229" s="10">
        <v>3.89</v>
      </c>
      <c r="I1229" s="10">
        <v>1.19</v>
      </c>
    </row>
    <row r="1230" spans="1:9" x14ac:dyDescent="0.25">
      <c r="A1230">
        <v>689</v>
      </c>
      <c r="B1230" s="10" t="s">
        <v>3386</v>
      </c>
      <c r="C1230" s="10" t="s">
        <v>4353</v>
      </c>
      <c r="D1230" s="10">
        <v>5017</v>
      </c>
      <c r="E1230" s="10" t="s">
        <v>4454</v>
      </c>
      <c r="F1230" s="10">
        <v>21.5</v>
      </c>
      <c r="G1230" s="10">
        <v>0.9</v>
      </c>
      <c r="H1230" s="10">
        <v>3.89</v>
      </c>
      <c r="I1230" s="10">
        <v>1.19</v>
      </c>
    </row>
    <row r="1231" spans="1:9" x14ac:dyDescent="0.25">
      <c r="A1231">
        <v>690</v>
      </c>
      <c r="B1231" s="10" t="s">
        <v>3386</v>
      </c>
      <c r="C1231" s="10" t="s">
        <v>4353</v>
      </c>
      <c r="D1231" s="10">
        <v>5018</v>
      </c>
      <c r="E1231" s="10" t="s">
        <v>4455</v>
      </c>
      <c r="F1231" s="10">
        <v>21.5</v>
      </c>
      <c r="G1231" s="10">
        <v>0.9</v>
      </c>
      <c r="H1231" s="10">
        <v>3.89</v>
      </c>
      <c r="I1231" s="10">
        <v>1.19</v>
      </c>
    </row>
    <row r="1232" spans="1:9" x14ac:dyDescent="0.25">
      <c r="A1232">
        <v>691</v>
      </c>
      <c r="B1232" s="10" t="s">
        <v>3386</v>
      </c>
      <c r="C1232" s="10" t="s">
        <v>4353</v>
      </c>
      <c r="D1232" s="10">
        <v>5019</v>
      </c>
      <c r="E1232" s="10" t="s">
        <v>4456</v>
      </c>
      <c r="F1232" s="10">
        <v>21.5</v>
      </c>
      <c r="G1232" s="10">
        <v>0.9</v>
      </c>
      <c r="H1232" s="10">
        <v>3.89</v>
      </c>
      <c r="I1232" s="10">
        <v>1.19</v>
      </c>
    </row>
    <row r="1233" spans="1:9" x14ac:dyDescent="0.25">
      <c r="A1233">
        <v>1624</v>
      </c>
      <c r="B1233" s="10" t="s">
        <v>3315</v>
      </c>
      <c r="C1233" s="10" t="s">
        <v>1196</v>
      </c>
      <c r="D1233" s="10">
        <v>5023</v>
      </c>
      <c r="E1233" s="10" t="s">
        <v>4457</v>
      </c>
      <c r="F1233" s="10" t="s">
        <v>2528</v>
      </c>
      <c r="G1233" s="10" t="s">
        <v>2866</v>
      </c>
      <c r="H1233" s="10" t="s">
        <v>2776</v>
      </c>
      <c r="I1233" s="10" t="s">
        <v>2868</v>
      </c>
    </row>
    <row r="1234" spans="1:9" x14ac:dyDescent="0.25">
      <c r="A1234">
        <v>1625</v>
      </c>
      <c r="B1234" s="10" t="s">
        <v>3315</v>
      </c>
      <c r="C1234" s="10" t="s">
        <v>1196</v>
      </c>
      <c r="D1234" s="10">
        <v>5024</v>
      </c>
      <c r="E1234" s="10" t="s">
        <v>4458</v>
      </c>
      <c r="F1234" s="10" t="s">
        <v>2376</v>
      </c>
      <c r="G1234" s="10" t="s">
        <v>2547</v>
      </c>
      <c r="H1234" s="10" t="s">
        <v>3980</v>
      </c>
      <c r="I1234" s="10" t="s">
        <v>2491</v>
      </c>
    </row>
    <row r="1235" spans="1:9" x14ac:dyDescent="0.25">
      <c r="A1235">
        <v>1531</v>
      </c>
      <c r="B1235" s="10" t="s">
        <v>2671</v>
      </c>
      <c r="C1235" s="10" t="s">
        <v>4364</v>
      </c>
      <c r="D1235" s="10">
        <v>5026</v>
      </c>
      <c r="E1235" s="10" t="s">
        <v>4459</v>
      </c>
      <c r="F1235" s="10" t="s">
        <v>4460</v>
      </c>
      <c r="G1235" s="10" t="s">
        <v>4461</v>
      </c>
      <c r="H1235" s="10" t="s">
        <v>2449</v>
      </c>
      <c r="I1235" s="10" t="s">
        <v>3199</v>
      </c>
    </row>
    <row r="1236" spans="1:9" x14ac:dyDescent="0.25">
      <c r="A1236">
        <v>899</v>
      </c>
      <c r="B1236" s="10" t="s">
        <v>3595</v>
      </c>
      <c r="C1236" s="10" t="s">
        <v>1121</v>
      </c>
      <c r="D1236" s="10">
        <v>5033</v>
      </c>
      <c r="E1236" s="10" t="s">
        <v>4462</v>
      </c>
      <c r="F1236" s="10" t="s">
        <v>2830</v>
      </c>
      <c r="G1236" s="10" t="s">
        <v>3074</v>
      </c>
      <c r="H1236" s="10" t="s">
        <v>2574</v>
      </c>
      <c r="I1236" s="10" t="s">
        <v>2213</v>
      </c>
    </row>
    <row r="1237" spans="1:9" x14ac:dyDescent="0.25">
      <c r="A1237">
        <v>457</v>
      </c>
      <c r="B1237" s="10" t="s">
        <v>4463</v>
      </c>
      <c r="C1237" s="10" t="s">
        <v>4464</v>
      </c>
      <c r="D1237" s="10">
        <v>5034</v>
      </c>
      <c r="E1237" s="10" t="s">
        <v>4465</v>
      </c>
      <c r="F1237" s="10" t="s">
        <v>3153</v>
      </c>
      <c r="G1237" s="10" t="s">
        <v>2315</v>
      </c>
      <c r="H1237" s="10" t="s">
        <v>2273</v>
      </c>
      <c r="I1237" s="10" t="s">
        <v>2213</v>
      </c>
    </row>
    <row r="1238" spans="1:9" x14ac:dyDescent="0.25">
      <c r="A1238">
        <v>458</v>
      </c>
      <c r="B1238" s="10" t="s">
        <v>4463</v>
      </c>
      <c r="C1238" s="10" t="s">
        <v>4464</v>
      </c>
      <c r="D1238" s="10">
        <v>5036</v>
      </c>
      <c r="E1238" s="10" t="s">
        <v>4466</v>
      </c>
      <c r="F1238" s="10" t="s">
        <v>3405</v>
      </c>
      <c r="G1238" s="10" t="s">
        <v>3180</v>
      </c>
      <c r="H1238" s="10" t="s">
        <v>2264</v>
      </c>
      <c r="I1238" s="10" t="s">
        <v>2263</v>
      </c>
    </row>
    <row r="1239" spans="1:9" x14ac:dyDescent="0.25">
      <c r="A1239">
        <v>854</v>
      </c>
      <c r="B1239" s="10" t="s">
        <v>3595</v>
      </c>
      <c r="C1239" s="10" t="s">
        <v>4467</v>
      </c>
      <c r="D1239" s="10">
        <v>5043</v>
      </c>
      <c r="E1239" s="10" t="s">
        <v>4468</v>
      </c>
      <c r="F1239" s="10" t="s">
        <v>2690</v>
      </c>
      <c r="G1239" s="10" t="s">
        <v>2691</v>
      </c>
      <c r="H1239" s="10" t="s">
        <v>2425</v>
      </c>
      <c r="I1239" s="10" t="s">
        <v>2315</v>
      </c>
    </row>
    <row r="1240" spans="1:9" x14ac:dyDescent="0.25">
      <c r="A1240">
        <v>855</v>
      </c>
      <c r="B1240" s="10" t="s">
        <v>3595</v>
      </c>
      <c r="C1240" s="10" t="s">
        <v>4467</v>
      </c>
      <c r="D1240" s="10">
        <v>5044</v>
      </c>
      <c r="E1240" s="10" t="s">
        <v>4469</v>
      </c>
      <c r="F1240" s="10" t="s">
        <v>2690</v>
      </c>
      <c r="G1240" s="10" t="s">
        <v>2691</v>
      </c>
      <c r="H1240" s="10" t="s">
        <v>2425</v>
      </c>
      <c r="I1240" s="10" t="s">
        <v>2315</v>
      </c>
    </row>
    <row r="1241" spans="1:9" x14ac:dyDescent="0.25">
      <c r="A1241">
        <v>243</v>
      </c>
      <c r="B1241" s="10" t="s">
        <v>2518</v>
      </c>
      <c r="C1241" s="10" t="s">
        <v>4470</v>
      </c>
      <c r="D1241" s="10">
        <v>5052</v>
      </c>
      <c r="E1241" s="10" t="s">
        <v>4471</v>
      </c>
      <c r="F1241" s="10" t="s">
        <v>2528</v>
      </c>
      <c r="G1241" s="10" t="s">
        <v>2866</v>
      </c>
      <c r="H1241" s="10" t="s">
        <v>3353</v>
      </c>
      <c r="I1241" s="10" t="s">
        <v>2868</v>
      </c>
    </row>
    <row r="1242" spans="1:9" x14ac:dyDescent="0.25">
      <c r="A1242">
        <v>250</v>
      </c>
      <c r="B1242" s="10" t="s">
        <v>2518</v>
      </c>
      <c r="C1242" s="10" t="s">
        <v>4472</v>
      </c>
      <c r="D1242" s="10">
        <v>5053</v>
      </c>
      <c r="E1242" s="10" t="s">
        <v>4473</v>
      </c>
      <c r="F1242" s="10" t="s">
        <v>2611</v>
      </c>
      <c r="G1242" s="10" t="s">
        <v>2574</v>
      </c>
      <c r="H1242" s="10" t="s">
        <v>4076</v>
      </c>
      <c r="I1242" s="10" t="s">
        <v>2496</v>
      </c>
    </row>
    <row r="1243" spans="1:9" x14ac:dyDescent="0.25">
      <c r="A1243">
        <v>249</v>
      </c>
      <c r="B1243" s="10" t="s">
        <v>2518</v>
      </c>
      <c r="C1243" s="10" t="s">
        <v>4474</v>
      </c>
      <c r="D1243" s="10">
        <v>5057</v>
      </c>
      <c r="E1243" s="10" t="s">
        <v>4475</v>
      </c>
      <c r="F1243" s="10" t="s">
        <v>2625</v>
      </c>
      <c r="G1243" s="10" t="s">
        <v>2366</v>
      </c>
      <c r="H1243" s="10" t="s">
        <v>4061</v>
      </c>
      <c r="I1243" s="10" t="s">
        <v>2368</v>
      </c>
    </row>
    <row r="1244" spans="1:9" x14ac:dyDescent="0.25">
      <c r="A1244">
        <v>867</v>
      </c>
      <c r="B1244" s="10" t="s">
        <v>3595</v>
      </c>
      <c r="C1244" s="10" t="s">
        <v>4442</v>
      </c>
      <c r="D1244" s="10">
        <v>5073</v>
      </c>
      <c r="E1244" s="10" t="s">
        <v>4476</v>
      </c>
      <c r="F1244" s="10" t="s">
        <v>3153</v>
      </c>
      <c r="G1244" s="10" t="s">
        <v>2583</v>
      </c>
      <c r="H1244" s="10" t="s">
        <v>3075</v>
      </c>
      <c r="I1244" s="10" t="s">
        <v>2449</v>
      </c>
    </row>
    <row r="1245" spans="1:9" x14ac:dyDescent="0.25">
      <c r="A1245">
        <v>868</v>
      </c>
      <c r="B1245" s="10" t="s">
        <v>3595</v>
      </c>
      <c r="C1245" s="10" t="s">
        <v>4442</v>
      </c>
      <c r="D1245" s="10">
        <v>5074</v>
      </c>
      <c r="E1245" s="10" t="s">
        <v>4477</v>
      </c>
      <c r="F1245" s="10" t="s">
        <v>3153</v>
      </c>
      <c r="G1245" s="10" t="s">
        <v>2583</v>
      </c>
      <c r="H1245" s="10" t="s">
        <v>3075</v>
      </c>
      <c r="I1245" s="10" t="s">
        <v>2449</v>
      </c>
    </row>
    <row r="1246" spans="1:9" x14ac:dyDescent="0.25">
      <c r="A1246">
        <v>869</v>
      </c>
      <c r="B1246" s="10" t="s">
        <v>3595</v>
      </c>
      <c r="C1246" s="10" t="s">
        <v>4442</v>
      </c>
      <c r="D1246" s="10">
        <v>5075</v>
      </c>
      <c r="E1246" s="10" t="s">
        <v>4478</v>
      </c>
      <c r="F1246" s="10" t="s">
        <v>2400</v>
      </c>
      <c r="G1246" s="10" t="s">
        <v>2123</v>
      </c>
      <c r="H1246" s="10" t="s">
        <v>2286</v>
      </c>
      <c r="I1246" s="10" t="s">
        <v>2698</v>
      </c>
    </row>
    <row r="1247" spans="1:9" x14ac:dyDescent="0.25">
      <c r="A1247">
        <v>870</v>
      </c>
      <c r="B1247" s="10" t="s">
        <v>3595</v>
      </c>
      <c r="C1247" s="10" t="s">
        <v>4442</v>
      </c>
      <c r="D1247" s="10">
        <v>5076</v>
      </c>
      <c r="E1247" s="10" t="s">
        <v>4479</v>
      </c>
      <c r="F1247" s="10" t="s">
        <v>2470</v>
      </c>
      <c r="G1247" s="10" t="s">
        <v>2916</v>
      </c>
      <c r="H1247" s="10" t="s">
        <v>2327</v>
      </c>
      <c r="I1247" s="10" t="s">
        <v>2917</v>
      </c>
    </row>
    <row r="1248" spans="1:9" x14ac:dyDescent="0.25">
      <c r="A1248">
        <v>871</v>
      </c>
      <c r="B1248" s="10" t="s">
        <v>3595</v>
      </c>
      <c r="C1248" s="10" t="s">
        <v>4442</v>
      </c>
      <c r="D1248" s="10">
        <v>5077</v>
      </c>
      <c r="E1248" s="10" t="s">
        <v>4480</v>
      </c>
      <c r="F1248" s="10" t="s">
        <v>2690</v>
      </c>
      <c r="G1248" s="10" t="s">
        <v>2691</v>
      </c>
      <c r="H1248" s="10" t="s">
        <v>2425</v>
      </c>
      <c r="I1248" s="10" t="s">
        <v>2315</v>
      </c>
    </row>
    <row r="1249" spans="1:9" x14ac:dyDescent="0.25">
      <c r="A1249">
        <v>872</v>
      </c>
      <c r="B1249" s="10" t="s">
        <v>3595</v>
      </c>
      <c r="C1249" s="10" t="s">
        <v>4442</v>
      </c>
      <c r="D1249" s="10">
        <v>5078</v>
      </c>
      <c r="E1249" s="10" t="s">
        <v>4481</v>
      </c>
      <c r="F1249" s="10" t="s">
        <v>2365</v>
      </c>
      <c r="G1249" s="10" t="s">
        <v>2366</v>
      </c>
      <c r="H1249" s="10" t="s">
        <v>2286</v>
      </c>
      <c r="I1249" s="10" t="s">
        <v>2368</v>
      </c>
    </row>
    <row r="1250" spans="1:9" x14ac:dyDescent="0.25">
      <c r="A1250">
        <v>893</v>
      </c>
      <c r="B1250" s="10" t="s">
        <v>3595</v>
      </c>
      <c r="C1250" s="10" t="s">
        <v>4482</v>
      </c>
      <c r="D1250" s="10">
        <v>5079</v>
      </c>
      <c r="E1250" s="10" t="s">
        <v>4483</v>
      </c>
      <c r="F1250" s="10" t="s">
        <v>2528</v>
      </c>
      <c r="G1250" s="10" t="s">
        <v>2866</v>
      </c>
      <c r="H1250" s="10" t="s">
        <v>2363</v>
      </c>
      <c r="I1250" s="10" t="s">
        <v>2868</v>
      </c>
    </row>
    <row r="1251" spans="1:9" x14ac:dyDescent="0.25">
      <c r="A1251">
        <v>894</v>
      </c>
      <c r="B1251" s="10" t="s">
        <v>3595</v>
      </c>
      <c r="C1251" s="10" t="s">
        <v>4482</v>
      </c>
      <c r="D1251" s="10">
        <v>5080</v>
      </c>
      <c r="E1251" s="10" t="s">
        <v>4484</v>
      </c>
      <c r="F1251" s="10" t="s">
        <v>2528</v>
      </c>
      <c r="G1251" s="10" t="s">
        <v>2866</v>
      </c>
      <c r="H1251" s="10" t="s">
        <v>2363</v>
      </c>
      <c r="I1251" s="10" t="s">
        <v>2868</v>
      </c>
    </row>
    <row r="1252" spans="1:9" x14ac:dyDescent="0.25">
      <c r="A1252">
        <v>876</v>
      </c>
      <c r="B1252" s="10" t="s">
        <v>3595</v>
      </c>
      <c r="C1252" s="10" t="s">
        <v>4485</v>
      </c>
      <c r="D1252" s="10">
        <v>5083</v>
      </c>
      <c r="E1252" s="10" t="s">
        <v>4486</v>
      </c>
      <c r="F1252" s="10">
        <v>27.5</v>
      </c>
      <c r="G1252" s="10">
        <v>2.75</v>
      </c>
      <c r="H1252" s="10">
        <v>0.92</v>
      </c>
      <c r="I1252" s="10">
        <v>3.69</v>
      </c>
    </row>
    <row r="1253" spans="1:9" x14ac:dyDescent="0.25">
      <c r="A1253">
        <v>856</v>
      </c>
      <c r="B1253" s="10" t="s">
        <v>3595</v>
      </c>
      <c r="C1253" s="10" t="s">
        <v>4467</v>
      </c>
      <c r="D1253" s="10">
        <v>5086</v>
      </c>
      <c r="E1253" s="10" t="s">
        <v>4487</v>
      </c>
      <c r="F1253" s="10" t="s">
        <v>4488</v>
      </c>
      <c r="G1253" s="10" t="s">
        <v>2350</v>
      </c>
      <c r="H1253" s="10" t="s">
        <v>4398</v>
      </c>
      <c r="I1253" s="10" t="s">
        <v>2167</v>
      </c>
    </row>
    <row r="1254" spans="1:9" x14ac:dyDescent="0.25">
      <c r="A1254">
        <v>857</v>
      </c>
      <c r="B1254" s="10" t="s">
        <v>3595</v>
      </c>
      <c r="C1254" s="10" t="s">
        <v>4467</v>
      </c>
      <c r="D1254" s="10">
        <v>5087</v>
      </c>
      <c r="E1254" s="10" t="s">
        <v>4489</v>
      </c>
      <c r="F1254" s="10" t="s">
        <v>4488</v>
      </c>
      <c r="G1254" s="10" t="s">
        <v>2350</v>
      </c>
      <c r="H1254" s="10" t="s">
        <v>4398</v>
      </c>
      <c r="I1254" s="10" t="s">
        <v>2167</v>
      </c>
    </row>
    <row r="1255" spans="1:9" x14ac:dyDescent="0.25">
      <c r="A1255">
        <v>888</v>
      </c>
      <c r="B1255" s="10" t="s">
        <v>3595</v>
      </c>
      <c r="C1255" s="10" t="s">
        <v>4490</v>
      </c>
      <c r="D1255" s="10">
        <v>5089</v>
      </c>
      <c r="E1255" s="10" t="s">
        <v>4491</v>
      </c>
      <c r="F1255" s="10" t="s">
        <v>3364</v>
      </c>
      <c r="G1255" s="10" t="s">
        <v>2167</v>
      </c>
      <c r="H1255" s="10" t="s">
        <v>3211</v>
      </c>
      <c r="I1255" s="10" t="s">
        <v>3016</v>
      </c>
    </row>
    <row r="1256" spans="1:9" x14ac:dyDescent="0.25">
      <c r="A1256">
        <v>897</v>
      </c>
      <c r="B1256" s="10" t="s">
        <v>3595</v>
      </c>
      <c r="C1256" s="10" t="s">
        <v>4492</v>
      </c>
      <c r="D1256" s="10">
        <v>5090</v>
      </c>
      <c r="E1256" s="10" t="s">
        <v>4493</v>
      </c>
      <c r="F1256" s="10" t="s">
        <v>2830</v>
      </c>
      <c r="G1256" s="10" t="s">
        <v>2831</v>
      </c>
      <c r="H1256" s="10" t="s">
        <v>4494</v>
      </c>
      <c r="I1256" s="10" t="s">
        <v>2425</v>
      </c>
    </row>
    <row r="1257" spans="1:9" x14ac:dyDescent="0.25">
      <c r="A1257">
        <v>889</v>
      </c>
      <c r="B1257" s="10" t="s">
        <v>3595</v>
      </c>
      <c r="C1257" s="10" t="s">
        <v>4490</v>
      </c>
      <c r="D1257" s="10">
        <v>5091</v>
      </c>
      <c r="E1257" s="10" t="s">
        <v>4495</v>
      </c>
      <c r="F1257" s="10" t="s">
        <v>2893</v>
      </c>
      <c r="G1257" s="10" t="s">
        <v>2464</v>
      </c>
      <c r="H1257" s="10" t="s">
        <v>4496</v>
      </c>
      <c r="I1257" s="10" t="s">
        <v>3469</v>
      </c>
    </row>
    <row r="1258" spans="1:9" x14ac:dyDescent="0.25">
      <c r="A1258">
        <v>890</v>
      </c>
      <c r="B1258" s="10" t="s">
        <v>3595</v>
      </c>
      <c r="C1258" s="10" t="s">
        <v>4490</v>
      </c>
      <c r="D1258" s="10">
        <v>5093</v>
      </c>
      <c r="E1258" s="10" t="s">
        <v>4497</v>
      </c>
      <c r="F1258" s="10" t="s">
        <v>2659</v>
      </c>
      <c r="G1258" s="10" t="s">
        <v>2871</v>
      </c>
      <c r="H1258" s="10" t="s">
        <v>2457</v>
      </c>
      <c r="I1258" s="10" t="s">
        <v>3146</v>
      </c>
    </row>
    <row r="1259" spans="1:9" x14ac:dyDescent="0.25">
      <c r="A1259">
        <v>1535</v>
      </c>
      <c r="B1259" s="10" t="s">
        <v>2671</v>
      </c>
      <c r="C1259" s="10" t="s">
        <v>3595</v>
      </c>
      <c r="D1259" s="10">
        <v>5097</v>
      </c>
      <c r="E1259" s="10" t="s">
        <v>4498</v>
      </c>
      <c r="F1259" s="10" t="s">
        <v>4499</v>
      </c>
      <c r="G1259" s="10" t="s">
        <v>2850</v>
      </c>
      <c r="H1259" s="10" t="s">
        <v>4500</v>
      </c>
      <c r="I1259" s="10" t="s">
        <v>2310</v>
      </c>
    </row>
    <row r="1260" spans="1:9" x14ac:dyDescent="0.25">
      <c r="A1260">
        <v>898</v>
      </c>
      <c r="B1260" s="10" t="s">
        <v>3595</v>
      </c>
      <c r="C1260" s="10" t="s">
        <v>4492</v>
      </c>
      <c r="D1260" s="10">
        <v>5098</v>
      </c>
      <c r="E1260" s="10" t="s">
        <v>4501</v>
      </c>
      <c r="F1260" s="10" t="s">
        <v>2598</v>
      </c>
      <c r="G1260" s="10" t="s">
        <v>2599</v>
      </c>
      <c r="H1260" s="10" t="s">
        <v>4500</v>
      </c>
      <c r="I1260" s="10" t="s">
        <v>2310</v>
      </c>
    </row>
    <row r="1261" spans="1:9" x14ac:dyDescent="0.25">
      <c r="A1261">
        <v>858</v>
      </c>
      <c r="B1261" s="10" t="s">
        <v>3595</v>
      </c>
      <c r="C1261" s="10" t="s">
        <v>4467</v>
      </c>
      <c r="D1261" s="10">
        <v>5099</v>
      </c>
      <c r="E1261" s="10" t="s">
        <v>4502</v>
      </c>
      <c r="F1261" s="10" t="s">
        <v>4012</v>
      </c>
      <c r="G1261" s="10" t="s">
        <v>4013</v>
      </c>
      <c r="H1261" s="10" t="s">
        <v>3180</v>
      </c>
      <c r="I1261" s="10" t="s">
        <v>2425</v>
      </c>
    </row>
    <row r="1262" spans="1:9" x14ac:dyDescent="0.25">
      <c r="A1262">
        <v>859</v>
      </c>
      <c r="B1262" s="10" t="s">
        <v>3595</v>
      </c>
      <c r="C1262" s="10" t="s">
        <v>4467</v>
      </c>
      <c r="D1262" s="10">
        <v>5100</v>
      </c>
      <c r="E1262" s="10" t="s">
        <v>4503</v>
      </c>
      <c r="F1262" s="10" t="s">
        <v>4012</v>
      </c>
      <c r="G1262" s="10" t="s">
        <v>4013</v>
      </c>
      <c r="H1262" s="10" t="s">
        <v>3180</v>
      </c>
      <c r="I1262" s="10" t="s">
        <v>2425</v>
      </c>
    </row>
    <row r="1263" spans="1:9" x14ac:dyDescent="0.25">
      <c r="A1263">
        <v>860</v>
      </c>
      <c r="B1263" s="10" t="s">
        <v>3595</v>
      </c>
      <c r="C1263" s="10" t="s">
        <v>4467</v>
      </c>
      <c r="D1263" s="10">
        <v>5101</v>
      </c>
      <c r="E1263" s="10" t="s">
        <v>4504</v>
      </c>
      <c r="F1263" s="10">
        <v>19.25</v>
      </c>
      <c r="G1263" s="10">
        <v>0.8</v>
      </c>
      <c r="H1263" s="10">
        <v>1.45</v>
      </c>
      <c r="I1263" s="10">
        <v>1.0900000000000001</v>
      </c>
    </row>
    <row r="1264" spans="1:9" x14ac:dyDescent="0.25">
      <c r="A1264">
        <v>861</v>
      </c>
      <c r="B1264" s="10" t="s">
        <v>3595</v>
      </c>
      <c r="C1264" s="10" t="s">
        <v>4467</v>
      </c>
      <c r="D1264" s="10">
        <v>5102</v>
      </c>
      <c r="E1264" s="10" t="s">
        <v>4505</v>
      </c>
      <c r="F1264" s="10">
        <v>19.25</v>
      </c>
      <c r="G1264" s="10">
        <v>0.8</v>
      </c>
      <c r="H1264" s="10">
        <v>1.45</v>
      </c>
      <c r="I1264" s="10">
        <v>1.0900000000000001</v>
      </c>
    </row>
    <row r="1265" spans="1:9" x14ac:dyDescent="0.25">
      <c r="A1265">
        <v>895</v>
      </c>
      <c r="B1265" s="10" t="s">
        <v>3595</v>
      </c>
      <c r="C1265" s="10" t="s">
        <v>4482</v>
      </c>
      <c r="D1265" s="10">
        <v>5103</v>
      </c>
      <c r="E1265" s="10" t="s">
        <v>4506</v>
      </c>
      <c r="F1265" s="10">
        <v>17.95</v>
      </c>
      <c r="G1265" s="10">
        <v>0.75</v>
      </c>
      <c r="H1265" s="10">
        <v>1.32</v>
      </c>
      <c r="I1265" s="10">
        <v>0.99</v>
      </c>
    </row>
    <row r="1266" spans="1:9" x14ac:dyDescent="0.25">
      <c r="A1266">
        <v>896</v>
      </c>
      <c r="B1266" s="10" t="s">
        <v>3595</v>
      </c>
      <c r="C1266" s="10" t="s">
        <v>4482</v>
      </c>
      <c r="D1266" s="10">
        <v>5104</v>
      </c>
      <c r="E1266" s="10" t="s">
        <v>4507</v>
      </c>
      <c r="F1266" s="10" t="s">
        <v>3740</v>
      </c>
      <c r="G1266" s="10" t="s">
        <v>2529</v>
      </c>
      <c r="H1266" s="10" t="s">
        <v>3180</v>
      </c>
      <c r="I1266" s="10" t="s">
        <v>2425</v>
      </c>
    </row>
    <row r="1267" spans="1:9" x14ac:dyDescent="0.25">
      <c r="A1267">
        <v>891</v>
      </c>
      <c r="B1267" s="10" t="s">
        <v>3595</v>
      </c>
      <c r="C1267" s="10" t="s">
        <v>4490</v>
      </c>
      <c r="D1267" s="10">
        <v>5105</v>
      </c>
      <c r="E1267" s="10" t="s">
        <v>4508</v>
      </c>
      <c r="F1267" s="10">
        <v>22.35</v>
      </c>
      <c r="G1267" s="10">
        <v>0.93</v>
      </c>
      <c r="H1267" s="10">
        <v>1.72</v>
      </c>
      <c r="I1267" s="10">
        <v>1.29</v>
      </c>
    </row>
    <row r="1268" spans="1:9" x14ac:dyDescent="0.25">
      <c r="A1268">
        <v>892</v>
      </c>
      <c r="B1268" s="10" t="s">
        <v>3595</v>
      </c>
      <c r="C1268" s="10" t="s">
        <v>4490</v>
      </c>
      <c r="D1268" s="10">
        <v>5106</v>
      </c>
      <c r="E1268" s="10" t="s">
        <v>4509</v>
      </c>
      <c r="F1268" s="10" t="s">
        <v>2767</v>
      </c>
      <c r="G1268" s="10" t="s">
        <v>3208</v>
      </c>
      <c r="H1268" s="10" t="s">
        <v>2372</v>
      </c>
      <c r="I1268" s="10" t="s">
        <v>2449</v>
      </c>
    </row>
    <row r="1269" spans="1:9" x14ac:dyDescent="0.25">
      <c r="A1269">
        <v>862</v>
      </c>
      <c r="B1269" s="10" t="s">
        <v>3595</v>
      </c>
      <c r="C1269" s="10" t="s">
        <v>4467</v>
      </c>
      <c r="D1269" s="10">
        <v>5109</v>
      </c>
      <c r="E1269" s="10" t="s">
        <v>4510</v>
      </c>
      <c r="F1269" s="10" t="s">
        <v>2602</v>
      </c>
      <c r="G1269" s="10" t="s">
        <v>2603</v>
      </c>
      <c r="H1269" s="10" t="s">
        <v>2529</v>
      </c>
      <c r="I1269" s="10" t="s">
        <v>2374</v>
      </c>
    </row>
    <row r="1270" spans="1:9" x14ac:dyDescent="0.25">
      <c r="A1270">
        <v>904</v>
      </c>
      <c r="B1270" s="10" t="s">
        <v>3595</v>
      </c>
      <c r="C1270" s="10" t="s">
        <v>4450</v>
      </c>
      <c r="D1270" s="10">
        <v>5110</v>
      </c>
      <c r="E1270" s="10" t="s">
        <v>4511</v>
      </c>
      <c r="F1270" s="10" t="s">
        <v>2301</v>
      </c>
      <c r="G1270" s="10" t="s">
        <v>2302</v>
      </c>
      <c r="H1270" s="10" t="s">
        <v>4436</v>
      </c>
      <c r="I1270" s="10" t="s">
        <v>2304</v>
      </c>
    </row>
    <row r="1271" spans="1:9" x14ac:dyDescent="0.25">
      <c r="A1271">
        <v>905</v>
      </c>
      <c r="B1271" s="10" t="s">
        <v>3595</v>
      </c>
      <c r="C1271" s="10" t="s">
        <v>4450</v>
      </c>
      <c r="D1271" s="10">
        <v>5111</v>
      </c>
      <c r="E1271" s="10" t="s">
        <v>4512</v>
      </c>
      <c r="F1271" s="10" t="s">
        <v>4124</v>
      </c>
      <c r="G1271" s="10" t="s">
        <v>2555</v>
      </c>
      <c r="H1271" s="10" t="s">
        <v>2315</v>
      </c>
      <c r="I1271" s="10" t="s">
        <v>2477</v>
      </c>
    </row>
    <row r="1272" spans="1:9" x14ac:dyDescent="0.25">
      <c r="A1272">
        <v>492</v>
      </c>
      <c r="B1272" s="10" t="s">
        <v>3881</v>
      </c>
      <c r="C1272" s="10" t="s">
        <v>3881</v>
      </c>
      <c r="D1272" s="10">
        <v>5122</v>
      </c>
      <c r="E1272" s="10" t="s">
        <v>4513</v>
      </c>
      <c r="F1272" s="10" t="s">
        <v>2279</v>
      </c>
      <c r="G1272" s="10" t="s">
        <v>4514</v>
      </c>
      <c r="H1272" s="10" t="s">
        <v>4515</v>
      </c>
      <c r="I1272" s="10" t="s">
        <v>4516</v>
      </c>
    </row>
    <row r="1273" spans="1:9" x14ac:dyDescent="0.25">
      <c r="A1273">
        <v>356</v>
      </c>
      <c r="B1273" s="10" t="s">
        <v>2685</v>
      </c>
      <c r="C1273" s="10" t="s">
        <v>4517</v>
      </c>
      <c r="D1273" s="10">
        <v>5127</v>
      </c>
      <c r="E1273" s="10" t="s">
        <v>4518</v>
      </c>
      <c r="F1273" s="10">
        <v>3.95</v>
      </c>
      <c r="G1273" s="10">
        <v>0.33</v>
      </c>
      <c r="H1273" s="10">
        <v>5.16</v>
      </c>
      <c r="I1273" s="10">
        <v>0.49</v>
      </c>
    </row>
    <row r="1274" spans="1:9" x14ac:dyDescent="0.25">
      <c r="A1274">
        <v>357</v>
      </c>
      <c r="B1274" s="10" t="s">
        <v>2685</v>
      </c>
      <c r="C1274" s="10" t="s">
        <v>4517</v>
      </c>
      <c r="D1274" s="10">
        <v>5128</v>
      </c>
      <c r="E1274" s="10" t="s">
        <v>4519</v>
      </c>
      <c r="F1274" s="10">
        <v>3.95</v>
      </c>
      <c r="G1274" s="10">
        <v>0.33</v>
      </c>
      <c r="H1274" s="10">
        <v>5.16</v>
      </c>
      <c r="I1274" s="10">
        <v>0.49</v>
      </c>
    </row>
    <row r="1275" spans="1:9" x14ac:dyDescent="0.25">
      <c r="A1275">
        <v>358</v>
      </c>
      <c r="B1275" s="10" t="s">
        <v>2685</v>
      </c>
      <c r="C1275" s="10" t="s">
        <v>4517</v>
      </c>
      <c r="D1275" s="10">
        <v>5129</v>
      </c>
      <c r="E1275" s="10" t="s">
        <v>4520</v>
      </c>
      <c r="F1275" s="10">
        <v>3.95</v>
      </c>
      <c r="G1275" s="10">
        <v>0.33</v>
      </c>
      <c r="H1275" s="10">
        <v>5.16</v>
      </c>
      <c r="I1275" s="10">
        <v>0.49</v>
      </c>
    </row>
    <row r="1276" spans="1:9" x14ac:dyDescent="0.25">
      <c r="A1276">
        <v>863</v>
      </c>
      <c r="B1276" s="10" t="s">
        <v>3595</v>
      </c>
      <c r="C1276" s="10" t="s">
        <v>4467</v>
      </c>
      <c r="D1276" s="10">
        <v>5131</v>
      </c>
      <c r="E1276" s="10" t="s">
        <v>4521</v>
      </c>
      <c r="F1276" s="10" t="s">
        <v>2602</v>
      </c>
      <c r="G1276" s="10" t="s">
        <v>2603</v>
      </c>
      <c r="H1276" s="10" t="s">
        <v>2529</v>
      </c>
      <c r="I1276" s="10" t="s">
        <v>2374</v>
      </c>
    </row>
    <row r="1277" spans="1:9" x14ac:dyDescent="0.25">
      <c r="A1277">
        <v>493</v>
      </c>
      <c r="B1277" s="10" t="s">
        <v>3881</v>
      </c>
      <c r="C1277" s="10" t="s">
        <v>3881</v>
      </c>
      <c r="D1277" s="10">
        <v>5139</v>
      </c>
      <c r="E1277" s="10" t="s">
        <v>4522</v>
      </c>
      <c r="F1277" s="10" t="s">
        <v>3697</v>
      </c>
      <c r="G1277" s="10" t="s">
        <v>4145</v>
      </c>
      <c r="H1277" s="10" t="s">
        <v>4523</v>
      </c>
      <c r="I1277" s="10" t="s">
        <v>2462</v>
      </c>
    </row>
    <row r="1278" spans="1:9" x14ac:dyDescent="0.25">
      <c r="A1278">
        <v>494</v>
      </c>
      <c r="B1278" s="10" t="s">
        <v>3881</v>
      </c>
      <c r="C1278" s="10" t="s">
        <v>3881</v>
      </c>
      <c r="D1278" s="10">
        <v>5140</v>
      </c>
      <c r="E1278" s="10" t="s">
        <v>4524</v>
      </c>
      <c r="F1278" s="10" t="s">
        <v>2744</v>
      </c>
      <c r="G1278" s="10" t="s">
        <v>4525</v>
      </c>
      <c r="H1278" s="10" t="s">
        <v>4526</v>
      </c>
      <c r="I1278" s="10" t="s">
        <v>3757</v>
      </c>
    </row>
    <row r="1279" spans="1:9" x14ac:dyDescent="0.25">
      <c r="A1279">
        <v>495</v>
      </c>
      <c r="B1279" s="10" t="s">
        <v>3881</v>
      </c>
      <c r="C1279" s="10" t="s">
        <v>3881</v>
      </c>
      <c r="D1279" s="10">
        <v>5141</v>
      </c>
      <c r="E1279" s="10" t="s">
        <v>4527</v>
      </c>
      <c r="F1279" s="10" t="s">
        <v>3473</v>
      </c>
      <c r="G1279" s="10" t="s">
        <v>3474</v>
      </c>
      <c r="H1279" s="10" t="s">
        <v>4528</v>
      </c>
      <c r="I1279" s="10" t="s">
        <v>3475</v>
      </c>
    </row>
    <row r="1280" spans="1:9" x14ac:dyDescent="0.25">
      <c r="A1280">
        <v>496</v>
      </c>
      <c r="B1280" s="10" t="s">
        <v>3881</v>
      </c>
      <c r="C1280" s="10" t="s">
        <v>3881</v>
      </c>
      <c r="D1280" s="10">
        <v>5142</v>
      </c>
      <c r="E1280" s="10" t="s">
        <v>4529</v>
      </c>
      <c r="F1280" s="10" t="s">
        <v>2380</v>
      </c>
      <c r="G1280" s="10" t="s">
        <v>2381</v>
      </c>
      <c r="H1280" s="10" t="s">
        <v>4530</v>
      </c>
      <c r="I1280" s="10" t="s">
        <v>2383</v>
      </c>
    </row>
    <row r="1281" spans="1:9" x14ac:dyDescent="0.25">
      <c r="A1281">
        <v>497</v>
      </c>
      <c r="B1281" s="10" t="s">
        <v>3881</v>
      </c>
      <c r="C1281" s="10" t="s">
        <v>3881</v>
      </c>
      <c r="D1281" s="10">
        <v>5143</v>
      </c>
      <c r="E1281" s="10" t="s">
        <v>4531</v>
      </c>
      <c r="F1281" s="10" t="s">
        <v>4153</v>
      </c>
      <c r="G1281" s="10" t="s">
        <v>4532</v>
      </c>
      <c r="H1281" s="10" t="s">
        <v>4533</v>
      </c>
      <c r="I1281" s="10" t="s">
        <v>2431</v>
      </c>
    </row>
    <row r="1282" spans="1:9" x14ac:dyDescent="0.25">
      <c r="A1282">
        <v>883</v>
      </c>
      <c r="B1282" s="10" t="s">
        <v>3595</v>
      </c>
      <c r="C1282" s="10" t="s">
        <v>1252</v>
      </c>
      <c r="D1282" s="10">
        <v>5154</v>
      </c>
      <c r="E1282" s="10" t="s">
        <v>4534</v>
      </c>
      <c r="F1282" s="10" t="s">
        <v>2528</v>
      </c>
      <c r="G1282" s="10" t="s">
        <v>2866</v>
      </c>
      <c r="H1282" s="10" t="s">
        <v>4535</v>
      </c>
      <c r="I1282" s="10" t="s">
        <v>2868</v>
      </c>
    </row>
    <row r="1283" spans="1:9" x14ac:dyDescent="0.25">
      <c r="A1283">
        <v>884</v>
      </c>
      <c r="B1283" s="10" t="s">
        <v>3595</v>
      </c>
      <c r="C1283" s="10" t="s">
        <v>1252</v>
      </c>
      <c r="D1283" s="10">
        <v>5155</v>
      </c>
      <c r="E1283" s="10" t="s">
        <v>4536</v>
      </c>
      <c r="F1283" s="10" t="s">
        <v>2528</v>
      </c>
      <c r="G1283" s="10" t="s">
        <v>2866</v>
      </c>
      <c r="H1283" s="10" t="s">
        <v>4535</v>
      </c>
      <c r="I1283" s="10" t="s">
        <v>2868</v>
      </c>
    </row>
    <row r="1284" spans="1:9" x14ac:dyDescent="0.25">
      <c r="A1284">
        <v>1532</v>
      </c>
      <c r="B1284" s="10" t="s">
        <v>2671</v>
      </c>
      <c r="C1284" s="10" t="s">
        <v>4364</v>
      </c>
      <c r="D1284" s="10">
        <v>5158</v>
      </c>
      <c r="E1284" s="10" t="s">
        <v>4537</v>
      </c>
      <c r="F1284" s="10">
        <v>84.5</v>
      </c>
      <c r="G1284" s="10">
        <v>0.88</v>
      </c>
      <c r="H1284" s="10">
        <v>3.85</v>
      </c>
      <c r="I1284" s="10">
        <v>1.19</v>
      </c>
    </row>
    <row r="1285" spans="1:9" x14ac:dyDescent="0.25">
      <c r="A1285">
        <v>1533</v>
      </c>
      <c r="B1285" s="10" t="s">
        <v>2671</v>
      </c>
      <c r="C1285" s="10" t="s">
        <v>4364</v>
      </c>
      <c r="D1285" s="10">
        <v>5159</v>
      </c>
      <c r="E1285" s="10" t="s">
        <v>4538</v>
      </c>
      <c r="F1285" s="10">
        <v>84.5</v>
      </c>
      <c r="G1285" s="10">
        <v>0.88</v>
      </c>
      <c r="H1285" s="10">
        <v>3.85</v>
      </c>
      <c r="I1285" s="10">
        <v>1.19</v>
      </c>
    </row>
    <row r="1286" spans="1:9" x14ac:dyDescent="0.25">
      <c r="A1286">
        <v>885</v>
      </c>
      <c r="B1286" s="10" t="s">
        <v>3595</v>
      </c>
      <c r="C1286" s="10" t="s">
        <v>1252</v>
      </c>
      <c r="D1286" s="10">
        <v>5160</v>
      </c>
      <c r="E1286" s="10" t="s">
        <v>4539</v>
      </c>
      <c r="F1286" s="10" t="s">
        <v>2528</v>
      </c>
      <c r="G1286" s="10" t="s">
        <v>2866</v>
      </c>
      <c r="H1286" s="10" t="s">
        <v>4535</v>
      </c>
      <c r="I1286" s="10" t="s">
        <v>2868</v>
      </c>
    </row>
    <row r="1287" spans="1:9" x14ac:dyDescent="0.25">
      <c r="A1287">
        <v>886</v>
      </c>
      <c r="B1287" s="10" t="s">
        <v>3595</v>
      </c>
      <c r="C1287" s="10" t="s">
        <v>1252</v>
      </c>
      <c r="D1287" s="10">
        <v>5165</v>
      </c>
      <c r="E1287" s="10" t="s">
        <v>4540</v>
      </c>
      <c r="F1287" s="10" t="s">
        <v>2528</v>
      </c>
      <c r="G1287" s="10" t="s">
        <v>2866</v>
      </c>
      <c r="H1287" s="10" t="s">
        <v>3583</v>
      </c>
      <c r="I1287" s="10" t="s">
        <v>2868</v>
      </c>
    </row>
    <row r="1288" spans="1:9" x14ac:dyDescent="0.25">
      <c r="A1288">
        <v>887</v>
      </c>
      <c r="B1288" s="10" t="s">
        <v>3595</v>
      </c>
      <c r="C1288" s="10" t="s">
        <v>1252</v>
      </c>
      <c r="D1288" s="10">
        <v>5168</v>
      </c>
      <c r="E1288" s="10" t="s">
        <v>4541</v>
      </c>
      <c r="F1288" s="10" t="s">
        <v>4542</v>
      </c>
      <c r="G1288" s="10" t="s">
        <v>2443</v>
      </c>
      <c r="H1288" s="10" t="s">
        <v>2467</v>
      </c>
      <c r="I1288" s="10" t="s">
        <v>2264</v>
      </c>
    </row>
    <row r="1289" spans="1:9" x14ac:dyDescent="0.25">
      <c r="A1289">
        <v>325</v>
      </c>
      <c r="B1289" s="10" t="s">
        <v>2685</v>
      </c>
      <c r="C1289" s="10" t="s">
        <v>4543</v>
      </c>
      <c r="D1289" s="10">
        <v>5169</v>
      </c>
      <c r="E1289" s="10" t="s">
        <v>4544</v>
      </c>
      <c r="F1289" s="10">
        <v>13.95</v>
      </c>
      <c r="G1289" s="10">
        <v>0.57999999999999996</v>
      </c>
      <c r="H1289" s="10">
        <v>1.1299999999999999</v>
      </c>
      <c r="I1289" s="10">
        <v>0.79</v>
      </c>
    </row>
    <row r="1290" spans="1:9" x14ac:dyDescent="0.25">
      <c r="A1290">
        <v>326</v>
      </c>
      <c r="B1290" s="10" t="s">
        <v>2685</v>
      </c>
      <c r="C1290" s="10" t="s">
        <v>4543</v>
      </c>
      <c r="D1290" s="10">
        <v>5174</v>
      </c>
      <c r="E1290" s="10" t="s">
        <v>4545</v>
      </c>
      <c r="F1290" s="10">
        <v>13.95</v>
      </c>
      <c r="G1290" s="10">
        <v>0.57999999999999996</v>
      </c>
      <c r="H1290" s="10">
        <v>1.1299999999999999</v>
      </c>
      <c r="I1290" s="10">
        <v>0.79</v>
      </c>
    </row>
    <row r="1291" spans="1:9" x14ac:dyDescent="0.25">
      <c r="A1291">
        <v>327</v>
      </c>
      <c r="B1291" s="10" t="s">
        <v>2685</v>
      </c>
      <c r="C1291" s="10" t="s">
        <v>4543</v>
      </c>
      <c r="D1291" s="10">
        <v>5176</v>
      </c>
      <c r="E1291" s="10" t="s">
        <v>4546</v>
      </c>
      <c r="F1291" s="10">
        <v>13.95</v>
      </c>
      <c r="G1291" s="10">
        <v>0.57999999999999996</v>
      </c>
      <c r="H1291" s="10">
        <v>1.1299999999999999</v>
      </c>
      <c r="I1291" s="10">
        <v>0.79</v>
      </c>
    </row>
    <row r="1292" spans="1:9" x14ac:dyDescent="0.25">
      <c r="A1292">
        <v>328</v>
      </c>
      <c r="B1292" s="10" t="s">
        <v>2685</v>
      </c>
      <c r="C1292" s="10" t="s">
        <v>4543</v>
      </c>
      <c r="D1292" s="10">
        <v>5177</v>
      </c>
      <c r="E1292" s="10" t="s">
        <v>4547</v>
      </c>
      <c r="F1292" s="10">
        <v>13.95</v>
      </c>
      <c r="G1292" s="10">
        <v>0.57999999999999996</v>
      </c>
      <c r="H1292" s="10">
        <v>1.1299999999999999</v>
      </c>
      <c r="I1292" s="10">
        <v>0.79</v>
      </c>
    </row>
    <row r="1293" spans="1:9" x14ac:dyDescent="0.25">
      <c r="A1293">
        <v>329</v>
      </c>
      <c r="B1293" s="10" t="s">
        <v>2685</v>
      </c>
      <c r="C1293" s="10" t="s">
        <v>4543</v>
      </c>
      <c r="D1293" s="10">
        <v>5188</v>
      </c>
      <c r="E1293" s="10" t="s">
        <v>4548</v>
      </c>
      <c r="F1293" s="10">
        <v>13.95</v>
      </c>
      <c r="G1293" s="10">
        <v>0.57999999999999996</v>
      </c>
      <c r="H1293" s="10">
        <v>1.1299999999999999</v>
      </c>
      <c r="I1293" s="10">
        <v>0.79</v>
      </c>
    </row>
    <row r="1294" spans="1:9" x14ac:dyDescent="0.25">
      <c r="A1294">
        <v>330</v>
      </c>
      <c r="B1294" s="10" t="s">
        <v>2685</v>
      </c>
      <c r="C1294" s="10" t="s">
        <v>4543</v>
      </c>
      <c r="D1294" s="10">
        <v>5189</v>
      </c>
      <c r="E1294" s="10" t="s">
        <v>4549</v>
      </c>
      <c r="F1294" s="10">
        <v>13.95</v>
      </c>
      <c r="G1294" s="10">
        <v>0.57999999999999996</v>
      </c>
      <c r="H1294" s="10">
        <v>1.1299999999999999</v>
      </c>
      <c r="I1294" s="10">
        <v>0.79</v>
      </c>
    </row>
    <row r="1295" spans="1:9" x14ac:dyDescent="0.25">
      <c r="A1295">
        <v>882</v>
      </c>
      <c r="B1295" s="10" t="s">
        <v>3595</v>
      </c>
      <c r="C1295" s="10" t="s">
        <v>4550</v>
      </c>
      <c r="D1295" s="10">
        <v>5198</v>
      </c>
      <c r="E1295" s="10" t="s">
        <v>4551</v>
      </c>
      <c r="F1295" s="10" t="s">
        <v>3153</v>
      </c>
      <c r="G1295" s="10" t="s">
        <v>2583</v>
      </c>
      <c r="H1295" s="10" t="s">
        <v>4398</v>
      </c>
      <c r="I1295" s="10" t="s">
        <v>2264</v>
      </c>
    </row>
    <row r="1296" spans="1:9" x14ac:dyDescent="0.25">
      <c r="A1296">
        <v>873</v>
      </c>
      <c r="B1296" s="10" t="s">
        <v>3595</v>
      </c>
      <c r="C1296" s="10" t="s">
        <v>4442</v>
      </c>
      <c r="D1296" s="10">
        <v>5199</v>
      </c>
      <c r="E1296" s="10" t="s">
        <v>4552</v>
      </c>
      <c r="F1296" s="10" t="s">
        <v>3327</v>
      </c>
      <c r="G1296" s="10" t="s">
        <v>3327</v>
      </c>
      <c r="H1296" s="10" t="s">
        <v>3270</v>
      </c>
      <c r="I1296" s="10" t="s">
        <v>4553</v>
      </c>
    </row>
    <row r="1297" spans="1:9" x14ac:dyDescent="0.25">
      <c r="A1297">
        <v>437</v>
      </c>
      <c r="B1297" s="10" t="s">
        <v>2685</v>
      </c>
      <c r="C1297" s="10" t="s">
        <v>4554</v>
      </c>
      <c r="D1297" s="10">
        <v>5223</v>
      </c>
      <c r="E1297" s="10" t="s">
        <v>4555</v>
      </c>
      <c r="F1297" s="10" t="s">
        <v>2507</v>
      </c>
      <c r="G1297" s="10" t="s">
        <v>3453</v>
      </c>
      <c r="H1297" s="10" t="s">
        <v>3757</v>
      </c>
      <c r="I1297" s="10" t="s">
        <v>2246</v>
      </c>
    </row>
    <row r="1298" spans="1:9" x14ac:dyDescent="0.25">
      <c r="A1298">
        <v>438</v>
      </c>
      <c r="B1298" s="10" t="s">
        <v>2685</v>
      </c>
      <c r="C1298" s="10" t="s">
        <v>4554</v>
      </c>
      <c r="D1298" s="10">
        <v>5229</v>
      </c>
      <c r="E1298" s="10" t="s">
        <v>4556</v>
      </c>
      <c r="F1298" s="10" t="s">
        <v>2924</v>
      </c>
      <c r="G1298" s="10" t="s">
        <v>3130</v>
      </c>
      <c r="H1298" s="10" t="s">
        <v>4557</v>
      </c>
      <c r="I1298" s="10" t="s">
        <v>2547</v>
      </c>
    </row>
    <row r="1299" spans="1:9" x14ac:dyDescent="0.25">
      <c r="A1299">
        <v>439</v>
      </c>
      <c r="B1299" s="10" t="s">
        <v>2685</v>
      </c>
      <c r="C1299" s="10" t="s">
        <v>4554</v>
      </c>
      <c r="D1299" s="10">
        <v>5236</v>
      </c>
      <c r="E1299" s="10" t="s">
        <v>4558</v>
      </c>
      <c r="F1299" s="10" t="s">
        <v>2406</v>
      </c>
      <c r="G1299" s="10" t="s">
        <v>2574</v>
      </c>
      <c r="H1299" s="10" t="s">
        <v>4559</v>
      </c>
      <c r="I1299" s="10" t="s">
        <v>2269</v>
      </c>
    </row>
    <row r="1300" spans="1:9" x14ac:dyDescent="0.25">
      <c r="A1300">
        <v>1519</v>
      </c>
      <c r="B1300" s="10" t="s">
        <v>2671</v>
      </c>
      <c r="C1300" s="10" t="s">
        <v>2685</v>
      </c>
      <c r="D1300" s="10">
        <v>5237</v>
      </c>
      <c r="E1300" s="10" t="s">
        <v>4560</v>
      </c>
      <c r="F1300" s="10" t="s">
        <v>4561</v>
      </c>
      <c r="G1300" s="10" t="s">
        <v>2574</v>
      </c>
      <c r="H1300" s="10" t="s">
        <v>4559</v>
      </c>
      <c r="I1300" s="10" t="s">
        <v>2269</v>
      </c>
    </row>
    <row r="1301" spans="1:9" x14ac:dyDescent="0.25">
      <c r="A1301">
        <v>440</v>
      </c>
      <c r="B1301" s="10" t="s">
        <v>2685</v>
      </c>
      <c r="C1301" s="10" t="s">
        <v>4554</v>
      </c>
      <c r="D1301" s="10">
        <v>5238</v>
      </c>
      <c r="E1301" s="10" t="s">
        <v>4562</v>
      </c>
      <c r="F1301" s="10" t="s">
        <v>2645</v>
      </c>
      <c r="G1301" s="10" t="s">
        <v>2646</v>
      </c>
      <c r="H1301" s="10" t="s">
        <v>4563</v>
      </c>
      <c r="I1301" s="10" t="s">
        <v>2880</v>
      </c>
    </row>
    <row r="1302" spans="1:9" x14ac:dyDescent="0.25">
      <c r="A1302">
        <v>441</v>
      </c>
      <c r="B1302" s="10" t="s">
        <v>2685</v>
      </c>
      <c r="C1302" s="10" t="s">
        <v>4564</v>
      </c>
      <c r="D1302" s="10">
        <v>5252</v>
      </c>
      <c r="E1302" s="10" t="s">
        <v>4565</v>
      </c>
      <c r="F1302" s="10" t="s">
        <v>2461</v>
      </c>
      <c r="G1302" s="10" t="s">
        <v>4566</v>
      </c>
      <c r="H1302" s="10" t="s">
        <v>4567</v>
      </c>
      <c r="I1302" s="10" t="s">
        <v>2231</v>
      </c>
    </row>
    <row r="1303" spans="1:9" x14ac:dyDescent="0.25">
      <c r="A1303">
        <v>442</v>
      </c>
      <c r="B1303" s="10" t="s">
        <v>2685</v>
      </c>
      <c r="C1303" s="10" t="s">
        <v>4564</v>
      </c>
      <c r="D1303" s="10">
        <v>5253</v>
      </c>
      <c r="E1303" s="10" t="s">
        <v>4568</v>
      </c>
      <c r="F1303" s="10" t="s">
        <v>2828</v>
      </c>
      <c r="G1303" s="10" t="s">
        <v>3347</v>
      </c>
      <c r="H1303" s="10" t="s">
        <v>4030</v>
      </c>
      <c r="I1303" s="10" t="s">
        <v>2276</v>
      </c>
    </row>
    <row r="1304" spans="1:9" x14ac:dyDescent="0.25">
      <c r="A1304">
        <v>443</v>
      </c>
      <c r="B1304" s="10" t="s">
        <v>2685</v>
      </c>
      <c r="C1304" s="10" t="s">
        <v>4564</v>
      </c>
      <c r="D1304" s="10">
        <v>5254</v>
      </c>
      <c r="E1304" s="10" t="s">
        <v>4569</v>
      </c>
      <c r="F1304" s="10" t="s">
        <v>2279</v>
      </c>
      <c r="G1304" s="10" t="s">
        <v>2280</v>
      </c>
      <c r="H1304" s="10" t="s">
        <v>4570</v>
      </c>
      <c r="I1304" s="10" t="s">
        <v>2282</v>
      </c>
    </row>
    <row r="1305" spans="1:9" x14ac:dyDescent="0.25">
      <c r="A1305">
        <v>444</v>
      </c>
      <c r="B1305" s="10" t="s">
        <v>2685</v>
      </c>
      <c r="C1305" s="10" t="s">
        <v>4564</v>
      </c>
      <c r="D1305" s="10">
        <v>5255</v>
      </c>
      <c r="E1305" s="10" t="s">
        <v>4571</v>
      </c>
      <c r="F1305" s="10" t="s">
        <v>4572</v>
      </c>
      <c r="G1305" s="10" t="s">
        <v>4573</v>
      </c>
      <c r="H1305" s="10" t="s">
        <v>4574</v>
      </c>
      <c r="I1305" s="10" t="s">
        <v>4575</v>
      </c>
    </row>
    <row r="1306" spans="1:9" x14ac:dyDescent="0.25">
      <c r="A1306">
        <v>445</v>
      </c>
      <c r="B1306" s="10" t="s">
        <v>2685</v>
      </c>
      <c r="C1306" s="10" t="s">
        <v>4564</v>
      </c>
      <c r="D1306" s="10">
        <v>5256</v>
      </c>
      <c r="E1306" s="10" t="s">
        <v>4576</v>
      </c>
      <c r="F1306" s="10" t="s">
        <v>4577</v>
      </c>
      <c r="G1306" s="10" t="s">
        <v>4578</v>
      </c>
      <c r="H1306" s="10" t="s">
        <v>4579</v>
      </c>
      <c r="I1306" s="10" t="s">
        <v>4580</v>
      </c>
    </row>
    <row r="1307" spans="1:9" x14ac:dyDescent="0.25">
      <c r="A1307">
        <v>1645</v>
      </c>
      <c r="B1307" s="10" t="s">
        <v>3315</v>
      </c>
      <c r="C1307" s="10" t="s">
        <v>4581</v>
      </c>
      <c r="D1307" s="10">
        <v>5267</v>
      </c>
      <c r="E1307" s="10" t="s">
        <v>4582</v>
      </c>
      <c r="F1307" s="10" t="s">
        <v>2878</v>
      </c>
      <c r="G1307" s="10" t="s">
        <v>2303</v>
      </c>
      <c r="H1307" s="10" t="s">
        <v>4583</v>
      </c>
      <c r="I1307" s="10" t="s">
        <v>2403</v>
      </c>
    </row>
    <row r="1308" spans="1:9" x14ac:dyDescent="0.25">
      <c r="A1308">
        <v>1646</v>
      </c>
      <c r="B1308" s="10" t="s">
        <v>3315</v>
      </c>
      <c r="C1308" s="10" t="s">
        <v>4581</v>
      </c>
      <c r="D1308" s="10">
        <v>5268</v>
      </c>
      <c r="E1308" s="10" t="s">
        <v>4584</v>
      </c>
      <c r="F1308" s="10" t="s">
        <v>2493</v>
      </c>
      <c r="G1308" s="10" t="s">
        <v>4585</v>
      </c>
      <c r="H1308" s="10" t="s">
        <v>4586</v>
      </c>
      <c r="I1308" s="10" t="s">
        <v>2341</v>
      </c>
    </row>
    <row r="1309" spans="1:9" x14ac:dyDescent="0.25">
      <c r="A1309">
        <v>424</v>
      </c>
      <c r="B1309" s="10" t="s">
        <v>2685</v>
      </c>
      <c r="C1309" s="10" t="s">
        <v>4587</v>
      </c>
      <c r="D1309" s="10">
        <v>5276</v>
      </c>
      <c r="E1309" s="10" t="s">
        <v>4588</v>
      </c>
      <c r="F1309" s="10" t="s">
        <v>2828</v>
      </c>
      <c r="G1309" s="10" t="s">
        <v>3343</v>
      </c>
      <c r="H1309" s="10" t="s">
        <v>4589</v>
      </c>
      <c r="I1309" s="10" t="s">
        <v>2880</v>
      </c>
    </row>
    <row r="1310" spans="1:9" x14ac:dyDescent="0.25">
      <c r="A1310">
        <v>425</v>
      </c>
      <c r="B1310" s="10" t="s">
        <v>2685</v>
      </c>
      <c r="C1310" s="10" t="s">
        <v>4587</v>
      </c>
      <c r="D1310" s="10">
        <v>5277</v>
      </c>
      <c r="E1310" s="10" t="s">
        <v>4590</v>
      </c>
      <c r="F1310" s="10" t="s">
        <v>2828</v>
      </c>
      <c r="G1310" s="10" t="s">
        <v>3343</v>
      </c>
      <c r="H1310" s="10" t="s">
        <v>4591</v>
      </c>
      <c r="I1310" s="10" t="s">
        <v>2880</v>
      </c>
    </row>
    <row r="1311" spans="1:9" x14ac:dyDescent="0.25">
      <c r="A1311">
        <v>426</v>
      </c>
      <c r="B1311" s="10" t="s">
        <v>2685</v>
      </c>
      <c r="C1311" s="10" t="s">
        <v>4587</v>
      </c>
      <c r="D1311" s="10">
        <v>5278</v>
      </c>
      <c r="E1311" s="10" t="s">
        <v>4592</v>
      </c>
      <c r="F1311" s="10" t="s">
        <v>2828</v>
      </c>
      <c r="G1311" s="10" t="s">
        <v>3343</v>
      </c>
      <c r="H1311" s="10" t="s">
        <v>4589</v>
      </c>
      <c r="I1311" s="10" t="s">
        <v>2880</v>
      </c>
    </row>
    <row r="1312" spans="1:9" x14ac:dyDescent="0.25">
      <c r="A1312">
        <v>427</v>
      </c>
      <c r="B1312" s="10" t="s">
        <v>2685</v>
      </c>
      <c r="C1312" s="10" t="s">
        <v>4587</v>
      </c>
      <c r="D1312" s="10">
        <v>5279</v>
      </c>
      <c r="E1312" s="10" t="s">
        <v>4593</v>
      </c>
      <c r="F1312" s="10" t="s">
        <v>2828</v>
      </c>
      <c r="G1312" s="10" t="s">
        <v>3343</v>
      </c>
      <c r="H1312" s="10" t="s">
        <v>4594</v>
      </c>
      <c r="I1312" s="10" t="s">
        <v>2880</v>
      </c>
    </row>
    <row r="1313" spans="1:9" x14ac:dyDescent="0.25">
      <c r="A1313">
        <v>430</v>
      </c>
      <c r="B1313" s="10" t="s">
        <v>2685</v>
      </c>
      <c r="C1313" s="10" t="s">
        <v>4595</v>
      </c>
      <c r="D1313" s="10">
        <v>5280</v>
      </c>
      <c r="E1313" s="10" t="s">
        <v>4596</v>
      </c>
      <c r="F1313" s="10" t="s">
        <v>4597</v>
      </c>
      <c r="G1313" s="10" t="s">
        <v>2328</v>
      </c>
      <c r="H1313" s="10" t="s">
        <v>2091</v>
      </c>
      <c r="I1313" s="10" t="s">
        <v>2091</v>
      </c>
    </row>
    <row r="1314" spans="1:9" x14ac:dyDescent="0.25">
      <c r="A1314">
        <v>431</v>
      </c>
      <c r="B1314" s="10" t="s">
        <v>2685</v>
      </c>
      <c r="C1314" s="10" t="s">
        <v>4595</v>
      </c>
      <c r="D1314" s="10">
        <v>5281</v>
      </c>
      <c r="E1314" s="10" t="s">
        <v>4598</v>
      </c>
      <c r="F1314" s="10" t="s">
        <v>2791</v>
      </c>
      <c r="G1314" s="10" t="s">
        <v>3708</v>
      </c>
      <c r="H1314" s="10" t="s">
        <v>4599</v>
      </c>
      <c r="I1314" s="10" t="s">
        <v>3269</v>
      </c>
    </row>
    <row r="1315" spans="1:9" x14ac:dyDescent="0.25">
      <c r="A1315">
        <v>428</v>
      </c>
      <c r="B1315" s="10" t="s">
        <v>2685</v>
      </c>
      <c r="C1315" s="10" t="s">
        <v>4587</v>
      </c>
      <c r="D1315" s="10">
        <v>5284</v>
      </c>
      <c r="E1315" s="10" t="s">
        <v>4600</v>
      </c>
      <c r="F1315" s="10" t="s">
        <v>2828</v>
      </c>
      <c r="G1315" s="10" t="s">
        <v>3343</v>
      </c>
      <c r="H1315" s="10" t="s">
        <v>3957</v>
      </c>
      <c r="I1315" s="10" t="s">
        <v>2880</v>
      </c>
    </row>
    <row r="1316" spans="1:9" x14ac:dyDescent="0.25">
      <c r="A1316">
        <v>1608</v>
      </c>
      <c r="B1316" s="10" t="s">
        <v>2618</v>
      </c>
      <c r="C1316" s="10" t="s">
        <v>4601</v>
      </c>
      <c r="D1316" s="10">
        <v>5287</v>
      </c>
      <c r="E1316" s="10" t="s">
        <v>4602</v>
      </c>
      <c r="F1316" s="10">
        <v>17.850000000000001</v>
      </c>
      <c r="G1316" s="10">
        <v>0.74</v>
      </c>
      <c r="H1316" s="10">
        <v>7.51</v>
      </c>
      <c r="I1316" s="10">
        <v>0.99</v>
      </c>
    </row>
    <row r="1317" spans="1:9" x14ac:dyDescent="0.25">
      <c r="A1317">
        <v>1609</v>
      </c>
      <c r="B1317" s="10" t="s">
        <v>2618</v>
      </c>
      <c r="C1317" s="10" t="s">
        <v>4601</v>
      </c>
      <c r="D1317" s="10">
        <v>5288</v>
      </c>
      <c r="E1317" s="10" t="s">
        <v>4603</v>
      </c>
      <c r="F1317" s="10">
        <v>17.850000000000001</v>
      </c>
      <c r="G1317" s="10">
        <v>0.74</v>
      </c>
      <c r="H1317" s="10">
        <v>7.51</v>
      </c>
      <c r="I1317" s="10">
        <v>0.99</v>
      </c>
    </row>
    <row r="1318" spans="1:9" x14ac:dyDescent="0.25">
      <c r="A1318">
        <v>1610</v>
      </c>
      <c r="B1318" s="10" t="s">
        <v>2618</v>
      </c>
      <c r="C1318" s="10" t="s">
        <v>4601</v>
      </c>
      <c r="D1318" s="10">
        <v>5289</v>
      </c>
      <c r="E1318" s="10" t="s">
        <v>4604</v>
      </c>
      <c r="F1318" s="10">
        <v>17.850000000000001</v>
      </c>
      <c r="G1318" s="10">
        <v>0.74</v>
      </c>
      <c r="H1318" s="10">
        <v>7.51</v>
      </c>
      <c r="I1318" s="10">
        <v>0.99</v>
      </c>
    </row>
    <row r="1319" spans="1:9" x14ac:dyDescent="0.25">
      <c r="A1319">
        <v>1611</v>
      </c>
      <c r="B1319" s="10" t="s">
        <v>2618</v>
      </c>
      <c r="C1319" s="10" t="s">
        <v>4601</v>
      </c>
      <c r="D1319" s="10">
        <v>5290</v>
      </c>
      <c r="E1319" s="10" t="s">
        <v>4605</v>
      </c>
      <c r="F1319" s="10" t="s">
        <v>4606</v>
      </c>
      <c r="G1319" s="10" t="s">
        <v>2560</v>
      </c>
      <c r="H1319" s="10" t="s">
        <v>4607</v>
      </c>
      <c r="I1319" s="10" t="s">
        <v>2324</v>
      </c>
    </row>
    <row r="1320" spans="1:9" x14ac:dyDescent="0.25">
      <c r="A1320">
        <v>1612</v>
      </c>
      <c r="B1320" s="10" t="s">
        <v>2618</v>
      </c>
      <c r="C1320" s="10" t="s">
        <v>4601</v>
      </c>
      <c r="D1320" s="10">
        <v>5291</v>
      </c>
      <c r="E1320" s="10" t="s">
        <v>4608</v>
      </c>
      <c r="F1320" s="10">
        <v>17.850000000000001</v>
      </c>
      <c r="G1320" s="10">
        <v>0.74</v>
      </c>
      <c r="H1320" s="10">
        <v>7.51</v>
      </c>
      <c r="I1320" s="10">
        <v>0.99</v>
      </c>
    </row>
    <row r="1321" spans="1:9" x14ac:dyDescent="0.25">
      <c r="A1321">
        <v>1613</v>
      </c>
      <c r="B1321" s="10" t="s">
        <v>2618</v>
      </c>
      <c r="C1321" s="10" t="s">
        <v>4601</v>
      </c>
      <c r="D1321" s="10">
        <v>5292</v>
      </c>
      <c r="E1321" s="10" t="s">
        <v>4609</v>
      </c>
      <c r="F1321" s="10" t="s">
        <v>4606</v>
      </c>
      <c r="G1321" s="10" t="s">
        <v>2560</v>
      </c>
      <c r="H1321" s="10" t="s">
        <v>4607</v>
      </c>
      <c r="I1321" s="10" t="s">
        <v>2324</v>
      </c>
    </row>
    <row r="1322" spans="1:9" x14ac:dyDescent="0.25">
      <c r="A1322">
        <v>429</v>
      </c>
      <c r="B1322" s="10" t="s">
        <v>2685</v>
      </c>
      <c r="C1322" s="10" t="s">
        <v>4587</v>
      </c>
      <c r="D1322" s="10">
        <v>5293</v>
      </c>
      <c r="E1322" s="10" t="s">
        <v>4610</v>
      </c>
      <c r="F1322" s="10" t="s">
        <v>2828</v>
      </c>
      <c r="G1322" s="10" t="s">
        <v>3343</v>
      </c>
      <c r="H1322" s="10" t="s">
        <v>4589</v>
      </c>
      <c r="I1322" s="10" t="s">
        <v>2880</v>
      </c>
    </row>
    <row r="1323" spans="1:9" x14ac:dyDescent="0.25">
      <c r="A1323">
        <v>874</v>
      </c>
      <c r="B1323" s="10" t="s">
        <v>3595</v>
      </c>
      <c r="C1323" s="10" t="s">
        <v>4442</v>
      </c>
      <c r="D1323" s="10">
        <v>5294</v>
      </c>
      <c r="E1323" s="10" t="s">
        <v>4611</v>
      </c>
      <c r="F1323" s="10" t="s">
        <v>3153</v>
      </c>
      <c r="G1323" s="10" t="s">
        <v>2831</v>
      </c>
      <c r="H1323" s="10" t="s">
        <v>2834</v>
      </c>
      <c r="I1323" s="10" t="s">
        <v>2425</v>
      </c>
    </row>
    <row r="1324" spans="1:9" x14ac:dyDescent="0.25">
      <c r="A1324">
        <v>331</v>
      </c>
      <c r="B1324" s="10" t="s">
        <v>2685</v>
      </c>
      <c r="C1324" s="10" t="s">
        <v>4543</v>
      </c>
      <c r="D1324" s="10">
        <v>5302</v>
      </c>
      <c r="E1324" s="10" t="s">
        <v>4612</v>
      </c>
      <c r="F1324" s="10" t="s">
        <v>4613</v>
      </c>
      <c r="G1324" s="10" t="s">
        <v>3951</v>
      </c>
      <c r="H1324" s="10" t="s">
        <v>3180</v>
      </c>
      <c r="I1324" s="10" t="s">
        <v>2420</v>
      </c>
    </row>
    <row r="1325" spans="1:9" x14ac:dyDescent="0.25">
      <c r="A1325">
        <v>332</v>
      </c>
      <c r="B1325" s="10" t="s">
        <v>2685</v>
      </c>
      <c r="C1325" s="10" t="s">
        <v>4543</v>
      </c>
      <c r="D1325" s="10">
        <v>5308</v>
      </c>
      <c r="E1325" s="10" t="s">
        <v>4614</v>
      </c>
      <c r="F1325" s="10" t="s">
        <v>4613</v>
      </c>
      <c r="G1325" s="10" t="s">
        <v>3951</v>
      </c>
      <c r="H1325" s="10" t="s">
        <v>3180</v>
      </c>
      <c r="I1325" s="10" t="s">
        <v>2420</v>
      </c>
    </row>
    <row r="1326" spans="1:9" x14ac:dyDescent="0.25">
      <c r="A1326">
        <v>333</v>
      </c>
      <c r="B1326" s="10" t="s">
        <v>2685</v>
      </c>
      <c r="C1326" s="10" t="s">
        <v>4543</v>
      </c>
      <c r="D1326" s="10">
        <v>5309</v>
      </c>
      <c r="E1326" s="10" t="s">
        <v>4615</v>
      </c>
      <c r="F1326" s="10" t="s">
        <v>4613</v>
      </c>
      <c r="G1326" s="10" t="s">
        <v>3951</v>
      </c>
      <c r="H1326" s="10" t="s">
        <v>3180</v>
      </c>
      <c r="I1326" s="10" t="s">
        <v>2420</v>
      </c>
    </row>
    <row r="1327" spans="1:9" x14ac:dyDescent="0.25">
      <c r="A1327">
        <v>334</v>
      </c>
      <c r="B1327" s="10" t="s">
        <v>2685</v>
      </c>
      <c r="C1327" s="10" t="s">
        <v>4543</v>
      </c>
      <c r="D1327" s="10">
        <v>5342</v>
      </c>
      <c r="E1327" s="10" t="s">
        <v>4616</v>
      </c>
      <c r="F1327" s="10" t="s">
        <v>4613</v>
      </c>
      <c r="G1327" s="10" t="s">
        <v>3951</v>
      </c>
      <c r="H1327" s="10" t="s">
        <v>3180</v>
      </c>
      <c r="I1327" s="10" t="s">
        <v>2420</v>
      </c>
    </row>
    <row r="1328" spans="1:9" x14ac:dyDescent="0.25">
      <c r="A1328">
        <v>335</v>
      </c>
      <c r="B1328" s="10" t="s">
        <v>2685</v>
      </c>
      <c r="C1328" s="10" t="s">
        <v>4543</v>
      </c>
      <c r="D1328" s="10">
        <v>5405</v>
      </c>
      <c r="E1328" s="10" t="s">
        <v>4617</v>
      </c>
      <c r="F1328" s="10">
        <v>15.95</v>
      </c>
      <c r="G1328" s="10">
        <v>1.33</v>
      </c>
      <c r="H1328" s="10">
        <v>0.85</v>
      </c>
      <c r="I1328" s="10">
        <v>1.79</v>
      </c>
    </row>
    <row r="1329" spans="1:9" x14ac:dyDescent="0.25">
      <c r="A1329">
        <v>432</v>
      </c>
      <c r="B1329" s="10" t="s">
        <v>2685</v>
      </c>
      <c r="C1329" s="10" t="s">
        <v>4595</v>
      </c>
      <c r="D1329" s="10">
        <v>5407</v>
      </c>
      <c r="E1329" s="10" t="s">
        <v>4618</v>
      </c>
      <c r="F1329" s="10" t="s">
        <v>3611</v>
      </c>
      <c r="G1329" s="10" t="s">
        <v>3668</v>
      </c>
      <c r="H1329" s="10" t="s">
        <v>2491</v>
      </c>
      <c r="I1329" s="10" t="s">
        <v>2491</v>
      </c>
    </row>
    <row r="1330" spans="1:9" x14ac:dyDescent="0.25">
      <c r="A1330">
        <v>433</v>
      </c>
      <c r="B1330" s="10" t="s">
        <v>2685</v>
      </c>
      <c r="C1330" s="10" t="s">
        <v>4595</v>
      </c>
      <c r="D1330" s="10">
        <v>5408</v>
      </c>
      <c r="E1330" s="10" t="s">
        <v>4619</v>
      </c>
      <c r="F1330" s="10" t="s">
        <v>3598</v>
      </c>
      <c r="G1330" s="10" t="s">
        <v>2314</v>
      </c>
      <c r="H1330" s="10" t="s">
        <v>4620</v>
      </c>
      <c r="I1330" s="10" t="s">
        <v>2251</v>
      </c>
    </row>
    <row r="1331" spans="1:9" x14ac:dyDescent="0.25">
      <c r="A1331">
        <v>434</v>
      </c>
      <c r="B1331" s="10" t="s">
        <v>2685</v>
      </c>
      <c r="C1331" s="10" t="s">
        <v>4595</v>
      </c>
      <c r="D1331" s="10">
        <v>5409</v>
      </c>
      <c r="E1331" s="10" t="s">
        <v>4621</v>
      </c>
      <c r="F1331" s="10" t="s">
        <v>3477</v>
      </c>
      <c r="G1331" s="10" t="s">
        <v>3465</v>
      </c>
      <c r="H1331" s="10" t="s">
        <v>4622</v>
      </c>
      <c r="I1331" s="10" t="s">
        <v>2464</v>
      </c>
    </row>
    <row r="1332" spans="1:9" x14ac:dyDescent="0.25">
      <c r="A1332">
        <v>435</v>
      </c>
      <c r="B1332" s="10" t="s">
        <v>2685</v>
      </c>
      <c r="C1332" s="10" t="s">
        <v>4595</v>
      </c>
      <c r="D1332" s="10">
        <v>5410</v>
      </c>
      <c r="E1332" s="10" t="s">
        <v>4623</v>
      </c>
      <c r="F1332" s="10" t="s">
        <v>4624</v>
      </c>
      <c r="G1332" s="10" t="s">
        <v>4461</v>
      </c>
      <c r="H1332" s="10" t="s">
        <v>3574</v>
      </c>
      <c r="I1332" s="10" t="s">
        <v>2213</v>
      </c>
    </row>
    <row r="1333" spans="1:9" x14ac:dyDescent="0.25">
      <c r="A1333">
        <v>1614</v>
      </c>
      <c r="B1333" s="10" t="s">
        <v>2618</v>
      </c>
      <c r="C1333" s="10" t="s">
        <v>4601</v>
      </c>
      <c r="D1333" s="10">
        <v>5438</v>
      </c>
      <c r="E1333" s="10" t="s">
        <v>4625</v>
      </c>
      <c r="F1333" s="10">
        <v>18.95</v>
      </c>
      <c r="G1333" s="10">
        <v>0.79</v>
      </c>
      <c r="H1333" s="10">
        <v>8.51</v>
      </c>
      <c r="I1333" s="10">
        <v>1.0900000000000001</v>
      </c>
    </row>
    <row r="1334" spans="1:9" x14ac:dyDescent="0.25">
      <c r="A1334">
        <v>1615</v>
      </c>
      <c r="B1334" s="10" t="s">
        <v>2618</v>
      </c>
      <c r="C1334" s="10" t="s">
        <v>4601</v>
      </c>
      <c r="D1334" s="10">
        <v>5439</v>
      </c>
      <c r="E1334" s="10" t="s">
        <v>4626</v>
      </c>
      <c r="F1334" s="10">
        <v>18.95</v>
      </c>
      <c r="G1334" s="10">
        <v>0.79</v>
      </c>
      <c r="H1334" s="10">
        <v>8.51</v>
      </c>
      <c r="I1334" s="10">
        <v>1.0900000000000001</v>
      </c>
    </row>
    <row r="1335" spans="1:9" x14ac:dyDescent="0.25">
      <c r="A1335">
        <v>1616</v>
      </c>
      <c r="B1335" s="10" t="s">
        <v>2618</v>
      </c>
      <c r="C1335" s="10" t="s">
        <v>4601</v>
      </c>
      <c r="D1335" s="10">
        <v>5440</v>
      </c>
      <c r="E1335" s="10" t="s">
        <v>4627</v>
      </c>
      <c r="F1335" s="10" t="s">
        <v>4606</v>
      </c>
      <c r="G1335" s="10" t="s">
        <v>2560</v>
      </c>
      <c r="H1335" s="10" t="s">
        <v>4628</v>
      </c>
      <c r="I1335" s="10" t="s">
        <v>2324</v>
      </c>
    </row>
    <row r="1336" spans="1:9" x14ac:dyDescent="0.25">
      <c r="A1336">
        <v>1617</v>
      </c>
      <c r="B1336" s="10" t="s">
        <v>2618</v>
      </c>
      <c r="C1336" s="10" t="s">
        <v>4601</v>
      </c>
      <c r="D1336" s="10">
        <v>5442</v>
      </c>
      <c r="E1336" s="10" t="s">
        <v>4629</v>
      </c>
      <c r="F1336" s="10" t="s">
        <v>4606</v>
      </c>
      <c r="G1336" s="10" t="s">
        <v>2560</v>
      </c>
      <c r="H1336" s="10" t="s">
        <v>2487</v>
      </c>
      <c r="I1336" s="10" t="s">
        <v>2324</v>
      </c>
    </row>
    <row r="1337" spans="1:9" x14ac:dyDescent="0.25">
      <c r="A1337">
        <v>336</v>
      </c>
      <c r="B1337" s="10" t="s">
        <v>2685</v>
      </c>
      <c r="C1337" s="10" t="s">
        <v>4543</v>
      </c>
      <c r="D1337" s="10">
        <v>5447</v>
      </c>
      <c r="E1337" s="10" t="s">
        <v>4630</v>
      </c>
      <c r="F1337" s="10">
        <v>15.95</v>
      </c>
      <c r="G1337" s="10">
        <v>1.33</v>
      </c>
      <c r="H1337" s="10">
        <v>0.85</v>
      </c>
      <c r="I1337" s="10">
        <v>1.79</v>
      </c>
    </row>
    <row r="1338" spans="1:9" x14ac:dyDescent="0.25">
      <c r="A1338">
        <v>337</v>
      </c>
      <c r="B1338" s="10" t="s">
        <v>2685</v>
      </c>
      <c r="C1338" s="10" t="s">
        <v>4543</v>
      </c>
      <c r="D1338" s="10">
        <v>5448</v>
      </c>
      <c r="E1338" s="10" t="s">
        <v>4631</v>
      </c>
      <c r="F1338" s="10">
        <v>15.95</v>
      </c>
      <c r="G1338" s="10">
        <v>1.33</v>
      </c>
      <c r="H1338" s="10">
        <v>0.85</v>
      </c>
      <c r="I1338" s="10">
        <v>1.79</v>
      </c>
    </row>
    <row r="1339" spans="1:9" x14ac:dyDescent="0.25">
      <c r="A1339">
        <v>609</v>
      </c>
      <c r="B1339" s="10" t="s">
        <v>3258</v>
      </c>
      <c r="C1339" s="10" t="s">
        <v>4632</v>
      </c>
      <c r="D1339" s="10">
        <v>5453</v>
      </c>
      <c r="E1339" s="10" t="s">
        <v>4633</v>
      </c>
      <c r="F1339" s="10" t="s">
        <v>2470</v>
      </c>
      <c r="G1339" s="10" t="s">
        <v>2471</v>
      </c>
      <c r="H1339" s="10" t="s">
        <v>4634</v>
      </c>
      <c r="I1339" s="10" t="s">
        <v>2374</v>
      </c>
    </row>
    <row r="1340" spans="1:9" x14ac:dyDescent="0.25">
      <c r="A1340">
        <v>610</v>
      </c>
      <c r="B1340" s="10" t="s">
        <v>3258</v>
      </c>
      <c r="C1340" s="10" t="s">
        <v>4632</v>
      </c>
      <c r="D1340" s="10">
        <v>5467</v>
      </c>
      <c r="E1340" s="10" t="s">
        <v>4635</v>
      </c>
      <c r="F1340" s="10" t="s">
        <v>2385</v>
      </c>
      <c r="G1340" s="10" t="s">
        <v>2386</v>
      </c>
      <c r="H1340" s="10" t="s">
        <v>4636</v>
      </c>
      <c r="I1340" s="10" t="s">
        <v>2336</v>
      </c>
    </row>
    <row r="1341" spans="1:9" x14ac:dyDescent="0.25">
      <c r="A1341">
        <v>338</v>
      </c>
      <c r="B1341" s="10" t="s">
        <v>2685</v>
      </c>
      <c r="C1341" s="10" t="s">
        <v>4543</v>
      </c>
      <c r="D1341" s="10">
        <v>5473</v>
      </c>
      <c r="E1341" s="10" t="s">
        <v>4637</v>
      </c>
      <c r="F1341" s="10">
        <v>15.95</v>
      </c>
      <c r="G1341" s="10">
        <v>1.33</v>
      </c>
      <c r="H1341" s="10">
        <v>0.85</v>
      </c>
      <c r="I1341" s="10">
        <v>1.79</v>
      </c>
    </row>
    <row r="1342" spans="1:9" x14ac:dyDescent="0.25">
      <c r="A1342">
        <v>339</v>
      </c>
      <c r="B1342" s="10" t="s">
        <v>2685</v>
      </c>
      <c r="C1342" s="10" t="s">
        <v>4543</v>
      </c>
      <c r="D1342" s="10">
        <v>5474</v>
      </c>
      <c r="E1342" s="10" t="s">
        <v>4638</v>
      </c>
      <c r="F1342" s="10">
        <v>15.95</v>
      </c>
      <c r="G1342" s="10">
        <v>1.33</v>
      </c>
      <c r="H1342" s="10">
        <v>0.85</v>
      </c>
      <c r="I1342" s="10">
        <v>1.79</v>
      </c>
    </row>
    <row r="1343" spans="1:9" x14ac:dyDescent="0.25">
      <c r="A1343">
        <v>527</v>
      </c>
      <c r="B1343" s="10" t="s">
        <v>2622</v>
      </c>
      <c r="C1343" s="10" t="s">
        <v>4639</v>
      </c>
      <c r="D1343" s="10">
        <v>5479</v>
      </c>
      <c r="E1343" s="10" t="s">
        <v>4640</v>
      </c>
      <c r="F1343" s="10" t="s">
        <v>4641</v>
      </c>
      <c r="G1343" s="10" t="s">
        <v>4642</v>
      </c>
      <c r="H1343" s="10" t="s">
        <v>4643</v>
      </c>
      <c r="I1343" s="10" t="s">
        <v>4644</v>
      </c>
    </row>
    <row r="1344" spans="1:9" x14ac:dyDescent="0.25">
      <c r="A1344">
        <v>498</v>
      </c>
      <c r="B1344" s="10" t="s">
        <v>3881</v>
      </c>
      <c r="C1344" s="10" t="s">
        <v>3881</v>
      </c>
      <c r="D1344" s="10">
        <v>5484</v>
      </c>
      <c r="E1344" s="10" t="s">
        <v>4645</v>
      </c>
      <c r="F1344" s="10" t="s">
        <v>2865</v>
      </c>
      <c r="G1344" s="10" t="s">
        <v>2401</v>
      </c>
      <c r="H1344" s="10" t="s">
        <v>4646</v>
      </c>
      <c r="I1344" s="10" t="s">
        <v>2403</v>
      </c>
    </row>
    <row r="1345" spans="1:9" x14ac:dyDescent="0.25">
      <c r="A1345">
        <v>436</v>
      </c>
      <c r="B1345" s="10" t="s">
        <v>2685</v>
      </c>
      <c r="C1345" s="10" t="s">
        <v>4595</v>
      </c>
      <c r="D1345" s="10">
        <v>5488</v>
      </c>
      <c r="E1345" s="10" t="s">
        <v>4647</v>
      </c>
      <c r="F1345" s="10" t="s">
        <v>2747</v>
      </c>
      <c r="G1345" s="10" t="s">
        <v>4648</v>
      </c>
      <c r="H1345" s="10" t="s">
        <v>4649</v>
      </c>
      <c r="I1345" s="10" t="s">
        <v>2868</v>
      </c>
    </row>
    <row r="1346" spans="1:9" x14ac:dyDescent="0.25">
      <c r="A1346">
        <v>611</v>
      </c>
      <c r="B1346" s="10" t="s">
        <v>3258</v>
      </c>
      <c r="C1346" s="10" t="s">
        <v>4632</v>
      </c>
      <c r="D1346" s="10">
        <v>5496</v>
      </c>
      <c r="E1346" s="10" t="s">
        <v>4650</v>
      </c>
      <c r="F1346" s="10" t="s">
        <v>2470</v>
      </c>
      <c r="G1346" s="10" t="s">
        <v>2471</v>
      </c>
      <c r="H1346" s="10" t="s">
        <v>4634</v>
      </c>
      <c r="I1346" s="10" t="s">
        <v>2374</v>
      </c>
    </row>
    <row r="1347" spans="1:9" x14ac:dyDescent="0.25">
      <c r="A1347">
        <v>612</v>
      </c>
      <c r="B1347" s="10" t="s">
        <v>3258</v>
      </c>
      <c r="C1347" s="10" t="s">
        <v>4632</v>
      </c>
      <c r="D1347" s="10">
        <v>5497</v>
      </c>
      <c r="E1347" s="10" t="s">
        <v>4651</v>
      </c>
      <c r="F1347" s="10" t="s">
        <v>2470</v>
      </c>
      <c r="G1347" s="10" t="s">
        <v>2471</v>
      </c>
      <c r="H1347" s="10" t="s">
        <v>4634</v>
      </c>
      <c r="I1347" s="10" t="s">
        <v>2374</v>
      </c>
    </row>
    <row r="1348" spans="1:9" x14ac:dyDescent="0.25">
      <c r="A1348">
        <v>613</v>
      </c>
      <c r="B1348" s="10" t="s">
        <v>3258</v>
      </c>
      <c r="C1348" s="10" t="s">
        <v>4632</v>
      </c>
      <c r="D1348" s="10">
        <v>5500</v>
      </c>
      <c r="E1348" s="10" t="s">
        <v>4652</v>
      </c>
      <c r="F1348" s="10">
        <v>37.950000000000003</v>
      </c>
      <c r="G1348" s="10">
        <v>0.79</v>
      </c>
      <c r="H1348" s="10">
        <v>7.52</v>
      </c>
      <c r="I1348" s="10">
        <v>1.0900000000000001</v>
      </c>
    </row>
    <row r="1349" spans="1:9" x14ac:dyDescent="0.25">
      <c r="A1349">
        <v>614</v>
      </c>
      <c r="B1349" s="10" t="s">
        <v>3258</v>
      </c>
      <c r="C1349" s="10" t="s">
        <v>4632</v>
      </c>
      <c r="D1349" s="10">
        <v>5501</v>
      </c>
      <c r="E1349" s="10" t="s">
        <v>4653</v>
      </c>
      <c r="F1349" s="10">
        <v>37.950000000000003</v>
      </c>
      <c r="G1349" s="10">
        <v>0.79</v>
      </c>
      <c r="H1349" s="10">
        <v>7.18</v>
      </c>
      <c r="I1349" s="10">
        <v>1.0900000000000001</v>
      </c>
    </row>
    <row r="1350" spans="1:9" x14ac:dyDescent="0.25">
      <c r="A1350">
        <v>615</v>
      </c>
      <c r="B1350" s="10" t="s">
        <v>3258</v>
      </c>
      <c r="C1350" s="10" t="s">
        <v>4632</v>
      </c>
      <c r="D1350" s="10">
        <v>5502</v>
      </c>
      <c r="E1350" s="10" t="s">
        <v>4654</v>
      </c>
      <c r="F1350" s="10" t="s">
        <v>2466</v>
      </c>
      <c r="G1350" s="10" t="s">
        <v>2560</v>
      </c>
      <c r="H1350" s="10" t="s">
        <v>2949</v>
      </c>
      <c r="I1350" s="10" t="s">
        <v>2324</v>
      </c>
    </row>
    <row r="1351" spans="1:9" x14ac:dyDescent="0.25">
      <c r="A1351">
        <v>1618</v>
      </c>
      <c r="B1351" s="10" t="s">
        <v>2618</v>
      </c>
      <c r="C1351" s="10" t="s">
        <v>4601</v>
      </c>
      <c r="D1351" s="10">
        <v>5504</v>
      </c>
      <c r="E1351" s="10" t="s">
        <v>4655</v>
      </c>
      <c r="F1351" s="10">
        <v>17.850000000000001</v>
      </c>
      <c r="G1351" s="10">
        <v>0.74</v>
      </c>
      <c r="H1351" s="10">
        <v>7.51</v>
      </c>
      <c r="I1351" s="10">
        <v>0.99</v>
      </c>
    </row>
    <row r="1352" spans="1:9" x14ac:dyDescent="0.25">
      <c r="A1352">
        <v>1619</v>
      </c>
      <c r="B1352" s="10" t="s">
        <v>2618</v>
      </c>
      <c r="C1352" s="10" t="s">
        <v>4601</v>
      </c>
      <c r="D1352" s="10">
        <v>5505</v>
      </c>
      <c r="E1352" s="10" t="s">
        <v>4656</v>
      </c>
      <c r="F1352" s="10">
        <v>17.850000000000001</v>
      </c>
      <c r="G1352" s="10">
        <v>0.74</v>
      </c>
      <c r="H1352" s="10">
        <v>7.51</v>
      </c>
      <c r="I1352" s="10">
        <v>0.99</v>
      </c>
    </row>
    <row r="1353" spans="1:9" x14ac:dyDescent="0.25">
      <c r="A1353">
        <v>1620</v>
      </c>
      <c r="B1353" s="10" t="s">
        <v>2618</v>
      </c>
      <c r="C1353" s="10" t="s">
        <v>4601</v>
      </c>
      <c r="D1353" s="10">
        <v>5506</v>
      </c>
      <c r="E1353" s="10" t="s">
        <v>4657</v>
      </c>
      <c r="F1353" s="10">
        <v>17.850000000000001</v>
      </c>
      <c r="G1353" s="10">
        <v>0.74</v>
      </c>
      <c r="H1353" s="10">
        <v>7.51</v>
      </c>
      <c r="I1353" s="10">
        <v>0.99</v>
      </c>
    </row>
    <row r="1354" spans="1:9" x14ac:dyDescent="0.25">
      <c r="A1354">
        <v>1621</v>
      </c>
      <c r="B1354" s="10" t="s">
        <v>2618</v>
      </c>
      <c r="C1354" s="10" t="s">
        <v>4601</v>
      </c>
      <c r="D1354" s="10">
        <v>5511</v>
      </c>
      <c r="E1354" s="10" t="s">
        <v>4658</v>
      </c>
      <c r="F1354" s="10">
        <v>17.850000000000001</v>
      </c>
      <c r="G1354" s="10">
        <v>0.74</v>
      </c>
      <c r="H1354" s="10">
        <v>7.51</v>
      </c>
      <c r="I1354" s="10">
        <v>0.99</v>
      </c>
    </row>
    <row r="1355" spans="1:9" x14ac:dyDescent="0.25">
      <c r="A1355">
        <v>621</v>
      </c>
      <c r="B1355" s="10" t="s">
        <v>3258</v>
      </c>
      <c r="C1355" s="10" t="s">
        <v>4659</v>
      </c>
      <c r="D1355" s="10">
        <v>5513</v>
      </c>
      <c r="E1355" s="10" t="s">
        <v>4660</v>
      </c>
      <c r="F1355" s="10" t="s">
        <v>3305</v>
      </c>
      <c r="G1355" s="10" t="s">
        <v>4398</v>
      </c>
      <c r="H1355" s="10" t="s">
        <v>4661</v>
      </c>
      <c r="I1355" s="10" t="s">
        <v>2324</v>
      </c>
    </row>
    <row r="1356" spans="1:9" x14ac:dyDescent="0.25">
      <c r="A1356">
        <v>622</v>
      </c>
      <c r="B1356" s="10" t="s">
        <v>3258</v>
      </c>
      <c r="C1356" s="10" t="s">
        <v>4659</v>
      </c>
      <c r="D1356" s="10">
        <v>5514</v>
      </c>
      <c r="E1356" s="10" t="s">
        <v>4662</v>
      </c>
      <c r="F1356" s="10" t="s">
        <v>2385</v>
      </c>
      <c r="G1356" s="10" t="s">
        <v>2386</v>
      </c>
      <c r="H1356" s="10" t="s">
        <v>4636</v>
      </c>
      <c r="I1356" s="10" t="s">
        <v>2336</v>
      </c>
    </row>
    <row r="1357" spans="1:9" x14ac:dyDescent="0.25">
      <c r="A1357">
        <v>623</v>
      </c>
      <c r="B1357" s="10" t="s">
        <v>3258</v>
      </c>
      <c r="C1357" s="10" t="s">
        <v>4659</v>
      </c>
      <c r="D1357" s="10">
        <v>5515</v>
      </c>
      <c r="E1357" s="10" t="s">
        <v>4663</v>
      </c>
      <c r="F1357" s="10" t="s">
        <v>3350</v>
      </c>
      <c r="G1357" s="10" t="s">
        <v>3351</v>
      </c>
      <c r="H1357" s="10" t="s">
        <v>4664</v>
      </c>
      <c r="I1357" s="10" t="s">
        <v>3353</v>
      </c>
    </row>
    <row r="1358" spans="1:9" x14ac:dyDescent="0.25">
      <c r="A1358">
        <v>624</v>
      </c>
      <c r="B1358" s="10" t="s">
        <v>3258</v>
      </c>
      <c r="C1358" s="10" t="s">
        <v>4659</v>
      </c>
      <c r="D1358" s="10">
        <v>5516</v>
      </c>
      <c r="E1358" s="10" t="s">
        <v>4665</v>
      </c>
      <c r="F1358" s="10" t="s">
        <v>2598</v>
      </c>
      <c r="G1358" s="10" t="s">
        <v>2891</v>
      </c>
      <c r="H1358" s="10" t="s">
        <v>4085</v>
      </c>
      <c r="I1358" s="10" t="s">
        <v>2424</v>
      </c>
    </row>
    <row r="1359" spans="1:9" x14ac:dyDescent="0.25">
      <c r="A1359">
        <v>625</v>
      </c>
      <c r="B1359" s="10" t="s">
        <v>3258</v>
      </c>
      <c r="C1359" s="10" t="s">
        <v>4666</v>
      </c>
      <c r="D1359" s="10">
        <v>5526</v>
      </c>
      <c r="E1359" s="10" t="s">
        <v>4667</v>
      </c>
      <c r="F1359" s="10" t="s">
        <v>2843</v>
      </c>
      <c r="G1359" s="10" t="s">
        <v>4622</v>
      </c>
      <c r="H1359" s="10" t="s">
        <v>3369</v>
      </c>
      <c r="I1359" s="10" t="s">
        <v>3028</v>
      </c>
    </row>
    <row r="1360" spans="1:9" x14ac:dyDescent="0.25">
      <c r="A1360">
        <v>626</v>
      </c>
      <c r="B1360" s="10" t="s">
        <v>3258</v>
      </c>
      <c r="C1360" s="10" t="s">
        <v>4666</v>
      </c>
      <c r="D1360" s="10">
        <v>5527</v>
      </c>
      <c r="E1360" s="10" t="s">
        <v>4668</v>
      </c>
      <c r="F1360" s="10" t="s">
        <v>2607</v>
      </c>
      <c r="G1360" s="10" t="s">
        <v>2302</v>
      </c>
      <c r="H1360" s="10" t="s">
        <v>4669</v>
      </c>
      <c r="I1360" s="10" t="s">
        <v>2304</v>
      </c>
    </row>
    <row r="1361" spans="1:9" x14ac:dyDescent="0.25">
      <c r="A1361">
        <v>520</v>
      </c>
      <c r="B1361" s="10" t="s">
        <v>2622</v>
      </c>
      <c r="C1361" s="10" t="s">
        <v>4670</v>
      </c>
      <c r="D1361" s="10">
        <v>5528</v>
      </c>
      <c r="E1361" s="10" t="s">
        <v>4671</v>
      </c>
      <c r="F1361" s="10" t="s">
        <v>2257</v>
      </c>
      <c r="G1361" s="10" t="s">
        <v>3023</v>
      </c>
      <c r="H1361" s="10" t="s">
        <v>4672</v>
      </c>
      <c r="I1361" s="10" t="s">
        <v>2251</v>
      </c>
    </row>
    <row r="1362" spans="1:9" x14ac:dyDescent="0.25">
      <c r="A1362">
        <v>521</v>
      </c>
      <c r="B1362" s="10" t="s">
        <v>2622</v>
      </c>
      <c r="C1362" s="10" t="s">
        <v>4670</v>
      </c>
      <c r="D1362" s="10">
        <v>5529</v>
      </c>
      <c r="E1362" s="10" t="s">
        <v>4673</v>
      </c>
      <c r="F1362" s="10" t="s">
        <v>2625</v>
      </c>
      <c r="G1362" s="10" t="s">
        <v>2296</v>
      </c>
      <c r="H1362" s="10" t="s">
        <v>4674</v>
      </c>
      <c r="I1362" s="10" t="s">
        <v>2181</v>
      </c>
    </row>
    <row r="1363" spans="1:9" x14ac:dyDescent="0.25">
      <c r="A1363">
        <v>522</v>
      </c>
      <c r="B1363" s="10" t="s">
        <v>2622</v>
      </c>
      <c r="C1363" s="10" t="s">
        <v>4670</v>
      </c>
      <c r="D1363" s="10">
        <v>5530</v>
      </c>
      <c r="E1363" s="10" t="s">
        <v>4675</v>
      </c>
      <c r="F1363" s="10" t="s">
        <v>4676</v>
      </c>
      <c r="G1363" s="10" t="s">
        <v>3314</v>
      </c>
      <c r="H1363" s="10" t="s">
        <v>4677</v>
      </c>
      <c r="I1363" s="10" t="s">
        <v>3131</v>
      </c>
    </row>
    <row r="1364" spans="1:9" x14ac:dyDescent="0.25">
      <c r="A1364">
        <v>523</v>
      </c>
      <c r="B1364" s="10" t="s">
        <v>2622</v>
      </c>
      <c r="C1364" s="10" t="s">
        <v>4670</v>
      </c>
      <c r="D1364" s="10">
        <v>5531</v>
      </c>
      <c r="E1364" s="10" t="s">
        <v>4678</v>
      </c>
      <c r="F1364" s="10" t="s">
        <v>2870</v>
      </c>
      <c r="G1364" s="10" t="s">
        <v>2871</v>
      </c>
      <c r="H1364" s="10" t="s">
        <v>4679</v>
      </c>
      <c r="I1364" s="10" t="s">
        <v>3146</v>
      </c>
    </row>
    <row r="1365" spans="1:9" x14ac:dyDescent="0.25">
      <c r="A1365">
        <v>524</v>
      </c>
      <c r="B1365" s="10" t="s">
        <v>2622</v>
      </c>
      <c r="C1365" s="10" t="s">
        <v>4670</v>
      </c>
      <c r="D1365" s="10">
        <v>5532</v>
      </c>
      <c r="E1365" s="10" t="s">
        <v>4680</v>
      </c>
      <c r="F1365" s="10" t="s">
        <v>4681</v>
      </c>
      <c r="G1365" s="10" t="s">
        <v>4682</v>
      </c>
      <c r="H1365" s="10" t="s">
        <v>4683</v>
      </c>
      <c r="I1365" s="10" t="s">
        <v>2415</v>
      </c>
    </row>
    <row r="1366" spans="1:9" x14ac:dyDescent="0.25">
      <c r="A1366">
        <v>501</v>
      </c>
      <c r="B1366" s="10" t="s">
        <v>3881</v>
      </c>
      <c r="C1366" s="10" t="s">
        <v>4684</v>
      </c>
      <c r="D1366" s="10">
        <v>5533</v>
      </c>
      <c r="E1366" s="10" t="s">
        <v>4685</v>
      </c>
      <c r="F1366" s="10" t="s">
        <v>4686</v>
      </c>
      <c r="G1366" s="10" t="s">
        <v>4687</v>
      </c>
      <c r="H1366" s="10" t="s">
        <v>2277</v>
      </c>
      <c r="I1366" s="10" t="s">
        <v>4688</v>
      </c>
    </row>
    <row r="1367" spans="1:9" x14ac:dyDescent="0.25">
      <c r="A1367">
        <v>502</v>
      </c>
      <c r="B1367" s="10" t="s">
        <v>3881</v>
      </c>
      <c r="C1367" s="10" t="s">
        <v>4684</v>
      </c>
      <c r="D1367" s="10">
        <v>5534</v>
      </c>
      <c r="E1367" s="10" t="s">
        <v>4689</v>
      </c>
      <c r="F1367" s="10" t="s">
        <v>2446</v>
      </c>
      <c r="G1367" s="10" t="s">
        <v>2447</v>
      </c>
      <c r="H1367" s="10" t="s">
        <v>4690</v>
      </c>
      <c r="I1367" s="10" t="s">
        <v>2449</v>
      </c>
    </row>
    <row r="1368" spans="1:9" x14ac:dyDescent="0.25">
      <c r="A1368">
        <v>528</v>
      </c>
      <c r="B1368" s="10" t="s">
        <v>2622</v>
      </c>
      <c r="C1368" s="10" t="s">
        <v>4639</v>
      </c>
      <c r="D1368" s="10">
        <v>5535</v>
      </c>
      <c r="E1368" s="10" t="s">
        <v>4691</v>
      </c>
      <c r="F1368" s="10" t="s">
        <v>2874</v>
      </c>
      <c r="G1368" s="10" t="s">
        <v>2170</v>
      </c>
      <c r="H1368" s="10" t="s">
        <v>4692</v>
      </c>
      <c r="I1368" s="10" t="s">
        <v>4693</v>
      </c>
    </row>
    <row r="1369" spans="1:9" x14ac:dyDescent="0.25">
      <c r="A1369">
        <v>529</v>
      </c>
      <c r="B1369" s="10" t="s">
        <v>2622</v>
      </c>
      <c r="C1369" s="10" t="s">
        <v>4639</v>
      </c>
      <c r="D1369" s="10">
        <v>5536</v>
      </c>
      <c r="E1369" s="10" t="s">
        <v>4694</v>
      </c>
      <c r="F1369" s="10" t="s">
        <v>4695</v>
      </c>
      <c r="G1369" s="10" t="s">
        <v>4696</v>
      </c>
      <c r="H1369" s="10" t="s">
        <v>4697</v>
      </c>
      <c r="I1369" s="10" t="s">
        <v>4698</v>
      </c>
    </row>
    <row r="1370" spans="1:9" x14ac:dyDescent="0.25">
      <c r="A1370">
        <v>530</v>
      </c>
      <c r="B1370" s="10" t="s">
        <v>2622</v>
      </c>
      <c r="C1370" s="10" t="s">
        <v>4639</v>
      </c>
      <c r="D1370" s="10">
        <v>5537</v>
      </c>
      <c r="E1370" s="10" t="s">
        <v>4699</v>
      </c>
      <c r="F1370" s="10" t="s">
        <v>4700</v>
      </c>
      <c r="G1370" s="10" t="s">
        <v>4701</v>
      </c>
      <c r="H1370" s="10" t="s">
        <v>4702</v>
      </c>
      <c r="I1370" s="10" t="s">
        <v>4703</v>
      </c>
    </row>
    <row r="1371" spans="1:9" x14ac:dyDescent="0.25">
      <c r="A1371">
        <v>531</v>
      </c>
      <c r="B1371" s="10" t="s">
        <v>2622</v>
      </c>
      <c r="C1371" s="10" t="s">
        <v>4639</v>
      </c>
      <c r="D1371" s="10">
        <v>5538</v>
      </c>
      <c r="E1371" s="10" t="s">
        <v>4704</v>
      </c>
      <c r="F1371" s="10" t="s">
        <v>3308</v>
      </c>
      <c r="G1371" s="10" t="s">
        <v>2458</v>
      </c>
      <c r="H1371" s="10" t="s">
        <v>4705</v>
      </c>
      <c r="I1371" s="10" t="s">
        <v>4706</v>
      </c>
    </row>
    <row r="1372" spans="1:9" x14ac:dyDescent="0.25">
      <c r="A1372">
        <v>525</v>
      </c>
      <c r="B1372" s="10" t="s">
        <v>2622</v>
      </c>
      <c r="C1372" s="10" t="s">
        <v>4670</v>
      </c>
      <c r="D1372" s="10">
        <v>5539</v>
      </c>
      <c r="E1372" s="10" t="s">
        <v>4707</v>
      </c>
      <c r="F1372" s="10" t="s">
        <v>4499</v>
      </c>
      <c r="G1372" s="10" t="s">
        <v>4708</v>
      </c>
      <c r="H1372" s="10" t="s">
        <v>3469</v>
      </c>
      <c r="I1372" s="10" t="s">
        <v>2287</v>
      </c>
    </row>
    <row r="1373" spans="1:9" x14ac:dyDescent="0.25">
      <c r="A1373">
        <v>532</v>
      </c>
      <c r="B1373" s="10" t="s">
        <v>2622</v>
      </c>
      <c r="C1373" s="10" t="s">
        <v>4639</v>
      </c>
      <c r="D1373" s="10">
        <v>5540</v>
      </c>
      <c r="E1373" s="10" t="s">
        <v>4709</v>
      </c>
      <c r="F1373" s="10" t="s">
        <v>4710</v>
      </c>
      <c r="G1373" s="10" t="s">
        <v>4711</v>
      </c>
      <c r="H1373" s="10" t="s">
        <v>4712</v>
      </c>
      <c r="I1373" s="10" t="s">
        <v>4713</v>
      </c>
    </row>
    <row r="1374" spans="1:9" x14ac:dyDescent="0.25">
      <c r="A1374">
        <v>478</v>
      </c>
      <c r="B1374" s="10" t="s">
        <v>4463</v>
      </c>
      <c r="C1374" s="10" t="s">
        <v>4714</v>
      </c>
      <c r="D1374" s="10">
        <v>5541</v>
      </c>
      <c r="E1374" s="10" t="s">
        <v>4715</v>
      </c>
      <c r="F1374" s="10" t="s">
        <v>2257</v>
      </c>
      <c r="G1374" s="10" t="s">
        <v>3023</v>
      </c>
      <c r="H1374" s="10" t="s">
        <v>3028</v>
      </c>
      <c r="I1374" s="10" t="s">
        <v>2251</v>
      </c>
    </row>
    <row r="1375" spans="1:9" x14ac:dyDescent="0.25">
      <c r="A1375">
        <v>479</v>
      </c>
      <c r="B1375" s="10" t="s">
        <v>4463</v>
      </c>
      <c r="C1375" s="10" t="s">
        <v>4714</v>
      </c>
      <c r="D1375" s="10">
        <v>5542</v>
      </c>
      <c r="E1375" s="10" t="s">
        <v>4716</v>
      </c>
      <c r="F1375" s="10" t="s">
        <v>2828</v>
      </c>
      <c r="G1375" s="10" t="s">
        <v>3347</v>
      </c>
      <c r="H1375" s="10" t="s">
        <v>4717</v>
      </c>
      <c r="I1375" s="10" t="s">
        <v>2276</v>
      </c>
    </row>
    <row r="1376" spans="1:9" x14ac:dyDescent="0.25">
      <c r="A1376">
        <v>480</v>
      </c>
      <c r="B1376" s="10" t="s">
        <v>4463</v>
      </c>
      <c r="C1376" s="10" t="s">
        <v>4714</v>
      </c>
      <c r="D1376" s="10">
        <v>5545</v>
      </c>
      <c r="E1376" s="10" t="s">
        <v>4718</v>
      </c>
      <c r="F1376" s="10" t="s">
        <v>4022</v>
      </c>
      <c r="G1376" s="10" t="s">
        <v>2491</v>
      </c>
      <c r="H1376" s="10" t="s">
        <v>3593</v>
      </c>
      <c r="I1376" s="10" t="s">
        <v>2355</v>
      </c>
    </row>
    <row r="1377" spans="1:9" x14ac:dyDescent="0.25">
      <c r="A1377">
        <v>1647</v>
      </c>
      <c r="B1377" s="10" t="s">
        <v>3315</v>
      </c>
      <c r="C1377" s="10" t="s">
        <v>4581</v>
      </c>
      <c r="D1377" s="10">
        <v>5552</v>
      </c>
      <c r="E1377" s="10" t="s">
        <v>4719</v>
      </c>
      <c r="F1377" s="10" t="s">
        <v>2347</v>
      </c>
      <c r="G1377" s="10" t="s">
        <v>2348</v>
      </c>
      <c r="H1377" s="10" t="s">
        <v>4720</v>
      </c>
      <c r="I1377" s="10" t="s">
        <v>2350</v>
      </c>
    </row>
    <row r="1378" spans="1:9" x14ac:dyDescent="0.25">
      <c r="A1378">
        <v>1648</v>
      </c>
      <c r="B1378" s="10" t="s">
        <v>3315</v>
      </c>
      <c r="C1378" s="10" t="s">
        <v>4581</v>
      </c>
      <c r="D1378" s="10">
        <v>5553</v>
      </c>
      <c r="E1378" s="10" t="s">
        <v>4721</v>
      </c>
      <c r="F1378" s="10" t="s">
        <v>3277</v>
      </c>
      <c r="G1378" s="10" t="s">
        <v>4722</v>
      </c>
      <c r="H1378" s="10" t="s">
        <v>4723</v>
      </c>
      <c r="I1378" s="10" t="s">
        <v>2258</v>
      </c>
    </row>
    <row r="1379" spans="1:9" x14ac:dyDescent="0.25">
      <c r="A1379">
        <v>1649</v>
      </c>
      <c r="B1379" s="10" t="s">
        <v>3315</v>
      </c>
      <c r="C1379" s="10" t="s">
        <v>4581</v>
      </c>
      <c r="D1379" s="10">
        <v>5555</v>
      </c>
      <c r="E1379" s="10" t="s">
        <v>4724</v>
      </c>
      <c r="F1379" s="10" t="s">
        <v>2406</v>
      </c>
      <c r="G1379" s="10" t="s">
        <v>4532</v>
      </c>
      <c r="H1379" s="10" t="s">
        <v>2812</v>
      </c>
      <c r="I1379" s="10" t="s">
        <v>2812</v>
      </c>
    </row>
    <row r="1380" spans="1:9" x14ac:dyDescent="0.25">
      <c r="A1380">
        <v>526</v>
      </c>
      <c r="B1380" s="10" t="s">
        <v>2622</v>
      </c>
      <c r="C1380" s="10" t="s">
        <v>4670</v>
      </c>
      <c r="D1380" s="10">
        <v>5562</v>
      </c>
      <c r="E1380" s="10" t="s">
        <v>4725</v>
      </c>
      <c r="F1380" s="10" t="s">
        <v>2898</v>
      </c>
      <c r="G1380" s="10" t="s">
        <v>3076</v>
      </c>
      <c r="H1380" s="10" t="s">
        <v>4726</v>
      </c>
      <c r="I1380" s="10" t="s">
        <v>2916</v>
      </c>
    </row>
    <row r="1381" spans="1:9" x14ac:dyDescent="0.25">
      <c r="A1381">
        <v>481</v>
      </c>
      <c r="B1381" s="10" t="s">
        <v>4463</v>
      </c>
      <c r="C1381" s="10" t="s">
        <v>4714</v>
      </c>
      <c r="D1381" s="10">
        <v>5574</v>
      </c>
      <c r="E1381" s="10" t="s">
        <v>4727</v>
      </c>
      <c r="F1381" s="10" t="s">
        <v>2702</v>
      </c>
      <c r="G1381" s="10" t="s">
        <v>4728</v>
      </c>
      <c r="H1381" s="10" t="s">
        <v>4729</v>
      </c>
      <c r="I1381" s="10" t="s">
        <v>3619</v>
      </c>
    </row>
    <row r="1382" spans="1:9" x14ac:dyDescent="0.25">
      <c r="A1382">
        <v>482</v>
      </c>
      <c r="B1382" s="10" t="s">
        <v>4463</v>
      </c>
      <c r="C1382" s="10" t="s">
        <v>4714</v>
      </c>
      <c r="D1382" s="10">
        <v>5602</v>
      </c>
      <c r="E1382" s="10" t="s">
        <v>4730</v>
      </c>
      <c r="F1382" s="10" t="s">
        <v>2115</v>
      </c>
      <c r="G1382" s="10" t="s">
        <v>4731</v>
      </c>
      <c r="H1382" s="10" t="s">
        <v>4732</v>
      </c>
      <c r="I1382" s="10" t="s">
        <v>4044</v>
      </c>
    </row>
    <row r="1383" spans="1:9" x14ac:dyDescent="0.25">
      <c r="A1383">
        <v>483</v>
      </c>
      <c r="B1383" s="10" t="s">
        <v>4463</v>
      </c>
      <c r="C1383" s="10" t="s">
        <v>4714</v>
      </c>
      <c r="D1383" s="10">
        <v>5603</v>
      </c>
      <c r="E1383" s="10" t="s">
        <v>4733</v>
      </c>
      <c r="F1383" s="10" t="s">
        <v>2115</v>
      </c>
      <c r="G1383" s="10" t="s">
        <v>4731</v>
      </c>
      <c r="H1383" s="10" t="s">
        <v>4732</v>
      </c>
      <c r="I1383" s="10" t="s">
        <v>4044</v>
      </c>
    </row>
    <row r="1384" spans="1:9" x14ac:dyDescent="0.25">
      <c r="A1384">
        <v>461</v>
      </c>
      <c r="B1384" s="10" t="s">
        <v>4463</v>
      </c>
      <c r="C1384" s="10" t="s">
        <v>4734</v>
      </c>
      <c r="D1384" s="10">
        <v>5604</v>
      </c>
      <c r="E1384" s="10" t="s">
        <v>4735</v>
      </c>
      <c r="F1384" s="10" t="s">
        <v>2228</v>
      </c>
      <c r="G1384" s="10" t="s">
        <v>2229</v>
      </c>
      <c r="H1384" s="10" t="s">
        <v>3779</v>
      </c>
      <c r="I1384" s="10" t="s">
        <v>2464</v>
      </c>
    </row>
    <row r="1385" spans="1:9" x14ac:dyDescent="0.25">
      <c r="A1385">
        <v>462</v>
      </c>
      <c r="B1385" s="10" t="s">
        <v>4463</v>
      </c>
      <c r="C1385" s="10" t="s">
        <v>4734</v>
      </c>
      <c r="D1385" s="10">
        <v>5605</v>
      </c>
      <c r="E1385" s="10" t="s">
        <v>4736</v>
      </c>
      <c r="F1385" s="10" t="s">
        <v>2228</v>
      </c>
      <c r="G1385" s="10" t="s">
        <v>2229</v>
      </c>
      <c r="H1385" s="10" t="s">
        <v>3779</v>
      </c>
      <c r="I1385" s="10" t="s">
        <v>2464</v>
      </c>
    </row>
    <row r="1386" spans="1:9" x14ac:dyDescent="0.25">
      <c r="A1386">
        <v>463</v>
      </c>
      <c r="B1386" s="10" t="s">
        <v>4463</v>
      </c>
      <c r="C1386" s="10" t="s">
        <v>4734</v>
      </c>
      <c r="D1386" s="10">
        <v>5606</v>
      </c>
      <c r="E1386" s="10" t="s">
        <v>4737</v>
      </c>
      <c r="F1386" s="10" t="s">
        <v>2228</v>
      </c>
      <c r="G1386" s="10" t="s">
        <v>2229</v>
      </c>
      <c r="H1386" s="10" t="s">
        <v>3779</v>
      </c>
      <c r="I1386" s="10" t="s">
        <v>2464</v>
      </c>
    </row>
    <row r="1387" spans="1:9" x14ac:dyDescent="0.25">
      <c r="A1387">
        <v>1622</v>
      </c>
      <c r="B1387" s="10" t="s">
        <v>2618</v>
      </c>
      <c r="C1387" s="10" t="s">
        <v>4601</v>
      </c>
      <c r="D1387" s="10">
        <v>5607</v>
      </c>
      <c r="E1387" s="10" t="s">
        <v>4738</v>
      </c>
      <c r="F1387" s="10">
        <v>11.85</v>
      </c>
      <c r="G1387" s="10">
        <v>0.99</v>
      </c>
      <c r="H1387" s="10">
        <v>7.32</v>
      </c>
      <c r="I1387" s="10">
        <v>1.29</v>
      </c>
    </row>
    <row r="1388" spans="1:9" x14ac:dyDescent="0.25">
      <c r="A1388">
        <v>1623</v>
      </c>
      <c r="B1388" s="10" t="s">
        <v>2618</v>
      </c>
      <c r="C1388" s="10" t="s">
        <v>4601</v>
      </c>
      <c r="D1388" s="10">
        <v>5608</v>
      </c>
      <c r="E1388" s="10" t="s">
        <v>4739</v>
      </c>
      <c r="F1388" s="10">
        <v>11.85</v>
      </c>
      <c r="G1388" s="10">
        <v>0.99</v>
      </c>
      <c r="H1388" s="10">
        <v>7.32</v>
      </c>
      <c r="I1388" s="10">
        <v>1.29</v>
      </c>
    </row>
    <row r="1389" spans="1:9" x14ac:dyDescent="0.25">
      <c r="A1389">
        <v>464</v>
      </c>
      <c r="B1389" s="10" t="s">
        <v>4463</v>
      </c>
      <c r="C1389" s="10" t="s">
        <v>4734</v>
      </c>
      <c r="D1389" s="10">
        <v>5609</v>
      </c>
      <c r="E1389" s="10" t="s">
        <v>4740</v>
      </c>
      <c r="F1389" s="10" t="s">
        <v>2347</v>
      </c>
      <c r="G1389" s="10" t="s">
        <v>2348</v>
      </c>
      <c r="H1389" s="10" t="s">
        <v>2350</v>
      </c>
      <c r="I1389" s="10" t="s">
        <v>2350</v>
      </c>
    </row>
    <row r="1390" spans="1:9" x14ac:dyDescent="0.25">
      <c r="A1390">
        <v>465</v>
      </c>
      <c r="B1390" s="10" t="s">
        <v>4463</v>
      </c>
      <c r="C1390" s="10" t="s">
        <v>4734</v>
      </c>
      <c r="D1390" s="10">
        <v>5610</v>
      </c>
      <c r="E1390" s="10" t="s">
        <v>4741</v>
      </c>
      <c r="F1390" s="10" t="s">
        <v>4742</v>
      </c>
      <c r="G1390" s="10" t="s">
        <v>3729</v>
      </c>
      <c r="H1390" s="10" t="s">
        <v>2213</v>
      </c>
      <c r="I1390" s="10" t="s">
        <v>2123</v>
      </c>
    </row>
    <row r="1391" spans="1:9" x14ac:dyDescent="0.25">
      <c r="A1391">
        <v>466</v>
      </c>
      <c r="B1391" s="10" t="s">
        <v>4463</v>
      </c>
      <c r="C1391" s="10" t="s">
        <v>4734</v>
      </c>
      <c r="D1391" s="10">
        <v>5611</v>
      </c>
      <c r="E1391" s="10" t="s">
        <v>4743</v>
      </c>
      <c r="F1391" s="10" t="s">
        <v>3274</v>
      </c>
      <c r="G1391" s="10" t="s">
        <v>3253</v>
      </c>
      <c r="H1391" s="10" t="s">
        <v>2631</v>
      </c>
      <c r="I1391" s="10" t="s">
        <v>2631</v>
      </c>
    </row>
    <row r="1392" spans="1:9" x14ac:dyDescent="0.25">
      <c r="A1392">
        <v>375</v>
      </c>
      <c r="B1392" s="10" t="s">
        <v>2685</v>
      </c>
      <c r="C1392" s="10" t="s">
        <v>4744</v>
      </c>
      <c r="D1392" s="10">
        <v>5623</v>
      </c>
      <c r="E1392" s="10" t="s">
        <v>4745</v>
      </c>
      <c r="F1392" s="10" t="s">
        <v>2248</v>
      </c>
      <c r="G1392" s="10" t="s">
        <v>2246</v>
      </c>
      <c r="H1392" s="10" t="s">
        <v>2687</v>
      </c>
      <c r="I1392" s="10" t="s">
        <v>2231</v>
      </c>
    </row>
    <row r="1393" spans="1:9" x14ac:dyDescent="0.25">
      <c r="A1393">
        <v>376</v>
      </c>
      <c r="B1393" s="10" t="s">
        <v>2685</v>
      </c>
      <c r="C1393" s="10" t="s">
        <v>4744</v>
      </c>
      <c r="D1393" s="10">
        <v>5624</v>
      </c>
      <c r="E1393" s="10" t="s">
        <v>4746</v>
      </c>
      <c r="F1393" s="10" t="s">
        <v>2248</v>
      </c>
      <c r="G1393" s="10" t="s">
        <v>2246</v>
      </c>
      <c r="H1393" s="10" t="s">
        <v>2475</v>
      </c>
      <c r="I1393" s="10" t="s">
        <v>2231</v>
      </c>
    </row>
    <row r="1394" spans="1:9" x14ac:dyDescent="0.25">
      <c r="A1394">
        <v>377</v>
      </c>
      <c r="B1394" s="10" t="s">
        <v>2685</v>
      </c>
      <c r="C1394" s="10" t="s">
        <v>4744</v>
      </c>
      <c r="D1394" s="10">
        <v>5634</v>
      </c>
      <c r="E1394" s="10" t="s">
        <v>4747</v>
      </c>
      <c r="F1394" s="10" t="s">
        <v>3251</v>
      </c>
      <c r="G1394" s="10" t="s">
        <v>3574</v>
      </c>
      <c r="H1394" s="10" t="s">
        <v>2612</v>
      </c>
      <c r="I1394" s="10" t="s">
        <v>2206</v>
      </c>
    </row>
    <row r="1395" spans="1:9" x14ac:dyDescent="0.25">
      <c r="A1395">
        <v>1634</v>
      </c>
      <c r="B1395" s="10" t="s">
        <v>3315</v>
      </c>
      <c r="C1395" s="10" t="s">
        <v>3856</v>
      </c>
      <c r="D1395" s="10">
        <v>5635</v>
      </c>
      <c r="E1395" s="10" t="s">
        <v>4748</v>
      </c>
      <c r="F1395" s="10" t="s">
        <v>2528</v>
      </c>
      <c r="G1395" s="10" t="s">
        <v>2866</v>
      </c>
      <c r="H1395" s="10" t="s">
        <v>4636</v>
      </c>
      <c r="I1395" s="10" t="s">
        <v>2868</v>
      </c>
    </row>
    <row r="1396" spans="1:9" x14ac:dyDescent="0.25">
      <c r="A1396">
        <v>1635</v>
      </c>
      <c r="B1396" s="10" t="s">
        <v>3315</v>
      </c>
      <c r="C1396" s="10" t="s">
        <v>3856</v>
      </c>
      <c r="D1396" s="10">
        <v>5636</v>
      </c>
      <c r="E1396" s="10" t="s">
        <v>4749</v>
      </c>
      <c r="F1396" s="10" t="s">
        <v>2928</v>
      </c>
      <c r="G1396" s="10" t="s">
        <v>2919</v>
      </c>
      <c r="H1396" s="10" t="s">
        <v>4750</v>
      </c>
      <c r="I1396" s="10" t="s">
        <v>2812</v>
      </c>
    </row>
    <row r="1397" spans="1:9" x14ac:dyDescent="0.25">
      <c r="A1397">
        <v>1636</v>
      </c>
      <c r="B1397" s="10" t="s">
        <v>3315</v>
      </c>
      <c r="C1397" s="10" t="s">
        <v>3856</v>
      </c>
      <c r="D1397" s="10">
        <v>5637</v>
      </c>
      <c r="E1397" s="10" t="s">
        <v>4751</v>
      </c>
      <c r="F1397" s="10" t="s">
        <v>3287</v>
      </c>
      <c r="G1397" s="10" t="s">
        <v>4121</v>
      </c>
      <c r="H1397" s="10" t="s">
        <v>4752</v>
      </c>
      <c r="I1397" s="10" t="s">
        <v>3039</v>
      </c>
    </row>
    <row r="1398" spans="1:9" x14ac:dyDescent="0.25">
      <c r="A1398">
        <v>378</v>
      </c>
      <c r="B1398" s="10" t="s">
        <v>2685</v>
      </c>
      <c r="C1398" s="10" t="s">
        <v>4744</v>
      </c>
      <c r="D1398" s="10">
        <v>5640</v>
      </c>
      <c r="E1398" s="10" t="s">
        <v>4753</v>
      </c>
      <c r="F1398" s="10" t="s">
        <v>3251</v>
      </c>
      <c r="G1398" s="10" t="s">
        <v>3574</v>
      </c>
      <c r="H1398" s="10" t="s">
        <v>2612</v>
      </c>
      <c r="I1398" s="10" t="s">
        <v>2206</v>
      </c>
    </row>
    <row r="1399" spans="1:9" x14ac:dyDescent="0.25">
      <c r="A1399">
        <v>379</v>
      </c>
      <c r="B1399" s="10" t="s">
        <v>2685</v>
      </c>
      <c r="C1399" s="10" t="s">
        <v>4744</v>
      </c>
      <c r="D1399" s="10">
        <v>5648</v>
      </c>
      <c r="E1399" s="10" t="s">
        <v>4754</v>
      </c>
      <c r="F1399" s="10" t="s">
        <v>3251</v>
      </c>
      <c r="G1399" s="10" t="s">
        <v>3574</v>
      </c>
      <c r="H1399" s="10" t="s">
        <v>2612</v>
      </c>
      <c r="I1399" s="10" t="s">
        <v>2206</v>
      </c>
    </row>
    <row r="1400" spans="1:9" x14ac:dyDescent="0.25">
      <c r="A1400">
        <v>616</v>
      </c>
      <c r="B1400" s="10" t="s">
        <v>3258</v>
      </c>
      <c r="C1400" s="10" t="s">
        <v>4632</v>
      </c>
      <c r="D1400" s="10">
        <v>5668</v>
      </c>
      <c r="E1400" s="10" t="s">
        <v>4755</v>
      </c>
      <c r="F1400" s="10">
        <v>94.5</v>
      </c>
      <c r="G1400" s="10">
        <v>0.98</v>
      </c>
      <c r="H1400" s="10">
        <v>8.9</v>
      </c>
      <c r="I1400" s="10">
        <v>1.29</v>
      </c>
    </row>
    <row r="1401" spans="1:9" x14ac:dyDescent="0.25">
      <c r="A1401">
        <v>617</v>
      </c>
      <c r="B1401" s="10" t="s">
        <v>3258</v>
      </c>
      <c r="C1401" s="10" t="s">
        <v>4632</v>
      </c>
      <c r="D1401" s="10">
        <v>5670</v>
      </c>
      <c r="E1401" s="10" t="s">
        <v>4756</v>
      </c>
      <c r="F1401" s="10" t="s">
        <v>4757</v>
      </c>
      <c r="G1401" s="10">
        <v>0.96</v>
      </c>
      <c r="H1401" s="10">
        <v>6.97</v>
      </c>
      <c r="I1401" s="10">
        <v>1.29</v>
      </c>
    </row>
    <row r="1402" spans="1:9" x14ac:dyDescent="0.25">
      <c r="A1402">
        <v>380</v>
      </c>
      <c r="B1402" s="10" t="s">
        <v>2685</v>
      </c>
      <c r="C1402" s="10" t="s">
        <v>4744</v>
      </c>
      <c r="D1402" s="10">
        <v>5677</v>
      </c>
      <c r="E1402" s="10" t="s">
        <v>4758</v>
      </c>
      <c r="F1402" s="10" t="s">
        <v>2365</v>
      </c>
      <c r="G1402" s="10" t="s">
        <v>2849</v>
      </c>
      <c r="H1402" s="10" t="s">
        <v>3868</v>
      </c>
      <c r="I1402" s="10" t="s">
        <v>2850</v>
      </c>
    </row>
    <row r="1403" spans="1:9" x14ac:dyDescent="0.25">
      <c r="A1403">
        <v>381</v>
      </c>
      <c r="B1403" s="10" t="s">
        <v>2685</v>
      </c>
      <c r="C1403" s="10" t="s">
        <v>4744</v>
      </c>
      <c r="D1403" s="10">
        <v>5678</v>
      </c>
      <c r="E1403" s="10" t="s">
        <v>4759</v>
      </c>
      <c r="F1403" s="10" t="s">
        <v>2365</v>
      </c>
      <c r="G1403" s="10" t="s">
        <v>2849</v>
      </c>
      <c r="H1403" s="10" t="s">
        <v>3868</v>
      </c>
      <c r="I1403" s="10" t="s">
        <v>2850</v>
      </c>
    </row>
    <row r="1404" spans="1:9" x14ac:dyDescent="0.25">
      <c r="A1404">
        <v>382</v>
      </c>
      <c r="B1404" s="10" t="s">
        <v>2685</v>
      </c>
      <c r="C1404" s="10" t="s">
        <v>4744</v>
      </c>
      <c r="D1404" s="10">
        <v>5683</v>
      </c>
      <c r="E1404" s="10" t="s">
        <v>4760</v>
      </c>
      <c r="F1404" s="10" t="s">
        <v>2365</v>
      </c>
      <c r="G1404" s="10" t="s">
        <v>2849</v>
      </c>
      <c r="H1404" s="10" t="s">
        <v>3868</v>
      </c>
      <c r="I1404" s="10" t="s">
        <v>2850</v>
      </c>
    </row>
    <row r="1405" spans="1:9" x14ac:dyDescent="0.25">
      <c r="A1405">
        <v>618</v>
      </c>
      <c r="B1405" s="10" t="s">
        <v>3258</v>
      </c>
      <c r="C1405" s="10" t="s">
        <v>4632</v>
      </c>
      <c r="D1405" s="10">
        <v>5684</v>
      </c>
      <c r="E1405" s="10" t="s">
        <v>4761</v>
      </c>
      <c r="F1405" s="10" t="s">
        <v>2262</v>
      </c>
      <c r="G1405" s="10" t="s">
        <v>2263</v>
      </c>
      <c r="H1405" s="10" t="s">
        <v>4145</v>
      </c>
      <c r="I1405" s="10" t="s">
        <v>2264</v>
      </c>
    </row>
    <row r="1406" spans="1:9" x14ac:dyDescent="0.25">
      <c r="A1406">
        <v>619</v>
      </c>
      <c r="B1406" s="10" t="s">
        <v>3258</v>
      </c>
      <c r="C1406" s="10" t="s">
        <v>4632</v>
      </c>
      <c r="D1406" s="10">
        <v>5689</v>
      </c>
      <c r="E1406" s="10" t="s">
        <v>4762</v>
      </c>
      <c r="F1406" s="10" t="s">
        <v>2215</v>
      </c>
      <c r="G1406" s="10" t="s">
        <v>3027</v>
      </c>
      <c r="H1406" s="10" t="s">
        <v>2212</v>
      </c>
      <c r="I1406" s="10" t="s">
        <v>2850</v>
      </c>
    </row>
    <row r="1407" spans="1:9" x14ac:dyDescent="0.25">
      <c r="A1407">
        <v>620</v>
      </c>
      <c r="B1407" s="10" t="s">
        <v>3258</v>
      </c>
      <c r="C1407" s="10" t="s">
        <v>4632</v>
      </c>
      <c r="D1407" s="10">
        <v>5690</v>
      </c>
      <c r="E1407" s="10" t="s">
        <v>4763</v>
      </c>
      <c r="F1407" s="10" t="s">
        <v>4764</v>
      </c>
      <c r="G1407" s="10" t="s">
        <v>3272</v>
      </c>
      <c r="H1407" s="10" t="s">
        <v>4765</v>
      </c>
      <c r="I1407" s="10" t="s">
        <v>2213</v>
      </c>
    </row>
    <row r="1408" spans="1:9" x14ac:dyDescent="0.25">
      <c r="A1408">
        <v>499</v>
      </c>
      <c r="B1408" s="10" t="s">
        <v>3881</v>
      </c>
      <c r="C1408" s="10" t="s">
        <v>3881</v>
      </c>
      <c r="D1408" s="10">
        <v>5769</v>
      </c>
      <c r="E1408" s="10" t="s">
        <v>4766</v>
      </c>
      <c r="F1408" s="10" t="s">
        <v>2461</v>
      </c>
      <c r="G1408" s="10" t="s">
        <v>2281</v>
      </c>
      <c r="H1408" s="10" t="s">
        <v>4767</v>
      </c>
      <c r="I1408" s="10" t="s">
        <v>2449</v>
      </c>
    </row>
    <row r="1409" spans="1:9" x14ac:dyDescent="0.25">
      <c r="A1409">
        <v>459</v>
      </c>
      <c r="B1409" s="10" t="s">
        <v>4463</v>
      </c>
      <c r="C1409" s="10" t="s">
        <v>4768</v>
      </c>
      <c r="D1409" s="10">
        <v>5921</v>
      </c>
      <c r="E1409" s="10" t="s">
        <v>4769</v>
      </c>
      <c r="F1409" s="10" t="s">
        <v>3287</v>
      </c>
      <c r="G1409" s="10" t="s">
        <v>4121</v>
      </c>
      <c r="H1409" s="10" t="s">
        <v>4770</v>
      </c>
      <c r="I1409" s="10" t="s">
        <v>2916</v>
      </c>
    </row>
    <row r="1410" spans="1:9" x14ac:dyDescent="0.25">
      <c r="A1410">
        <v>460</v>
      </c>
      <c r="B1410" s="10" t="s">
        <v>4463</v>
      </c>
      <c r="C1410" s="10" t="s">
        <v>4768</v>
      </c>
      <c r="D1410" s="10">
        <v>5922</v>
      </c>
      <c r="E1410" s="10" t="s">
        <v>4771</v>
      </c>
      <c r="F1410" s="10" t="s">
        <v>3531</v>
      </c>
      <c r="G1410" s="10" t="s">
        <v>3671</v>
      </c>
      <c r="H1410" s="10" t="s">
        <v>4772</v>
      </c>
      <c r="I1410" s="10" t="s">
        <v>2462</v>
      </c>
    </row>
    <row r="1411" spans="1:9" x14ac:dyDescent="0.25">
      <c r="A1411">
        <v>244</v>
      </c>
      <c r="B1411" s="10" t="s">
        <v>2518</v>
      </c>
      <c r="C1411" s="10" t="s">
        <v>4470</v>
      </c>
      <c r="D1411" s="10">
        <v>5925</v>
      </c>
      <c r="E1411" s="10" t="s">
        <v>4773</v>
      </c>
      <c r="F1411" s="10" t="s">
        <v>2470</v>
      </c>
      <c r="G1411" s="10" t="s">
        <v>2629</v>
      </c>
      <c r="H1411" s="10" t="s">
        <v>4752</v>
      </c>
      <c r="I1411" s="10" t="s">
        <v>2631</v>
      </c>
    </row>
    <row r="1412" spans="1:9" x14ac:dyDescent="0.25">
      <c r="A1412">
        <v>245</v>
      </c>
      <c r="B1412" s="10" t="s">
        <v>2518</v>
      </c>
      <c r="C1412" s="10" t="s">
        <v>4470</v>
      </c>
      <c r="D1412" s="10">
        <v>5926</v>
      </c>
      <c r="E1412" s="10" t="s">
        <v>4774</v>
      </c>
      <c r="F1412" s="10" t="s">
        <v>2528</v>
      </c>
      <c r="G1412" s="10" t="s">
        <v>2866</v>
      </c>
      <c r="H1412" s="10" t="s">
        <v>3353</v>
      </c>
      <c r="I1412" s="10" t="s">
        <v>2868</v>
      </c>
    </row>
    <row r="1413" spans="1:9" x14ac:dyDescent="0.25">
      <c r="A1413">
        <v>246</v>
      </c>
      <c r="B1413" s="10" t="s">
        <v>2518</v>
      </c>
      <c r="C1413" s="10" t="s">
        <v>4470</v>
      </c>
      <c r="D1413" s="10">
        <v>5927</v>
      </c>
      <c r="E1413" s="10" t="s">
        <v>4775</v>
      </c>
      <c r="F1413" s="10" t="s">
        <v>2528</v>
      </c>
      <c r="G1413" s="10" t="s">
        <v>2866</v>
      </c>
      <c r="H1413" s="10" t="s">
        <v>3353</v>
      </c>
      <c r="I1413" s="10" t="s">
        <v>2868</v>
      </c>
    </row>
    <row r="1414" spans="1:9" x14ac:dyDescent="0.25">
      <c r="A1414">
        <v>247</v>
      </c>
      <c r="B1414" s="10" t="s">
        <v>2518</v>
      </c>
      <c r="C1414" s="10" t="s">
        <v>4470</v>
      </c>
      <c r="D1414" s="10">
        <v>5928</v>
      </c>
      <c r="E1414" s="10" t="s">
        <v>4776</v>
      </c>
      <c r="F1414" s="10" t="s">
        <v>2470</v>
      </c>
      <c r="G1414" s="10" t="s">
        <v>2629</v>
      </c>
      <c r="H1414" s="10" t="s">
        <v>4752</v>
      </c>
      <c r="I1414" s="10" t="s">
        <v>2631</v>
      </c>
    </row>
    <row r="1415" spans="1:9" x14ac:dyDescent="0.25">
      <c r="A1415">
        <v>248</v>
      </c>
      <c r="B1415" s="10" t="s">
        <v>2518</v>
      </c>
      <c r="C1415" s="10" t="s">
        <v>4470</v>
      </c>
      <c r="D1415" s="10">
        <v>5929</v>
      </c>
      <c r="E1415" s="10" t="s">
        <v>4777</v>
      </c>
      <c r="F1415" s="10" t="s">
        <v>2442</v>
      </c>
      <c r="G1415" s="10" t="s">
        <v>2675</v>
      </c>
      <c r="H1415" s="10" t="s">
        <v>2888</v>
      </c>
      <c r="I1415" s="10" t="s">
        <v>2403</v>
      </c>
    </row>
    <row r="1416" spans="1:9" x14ac:dyDescent="0.25">
      <c r="A1416">
        <v>500</v>
      </c>
      <c r="B1416" s="10" t="s">
        <v>3881</v>
      </c>
      <c r="C1416" s="10" t="s">
        <v>3881</v>
      </c>
      <c r="D1416" s="10">
        <v>5932</v>
      </c>
      <c r="E1416" s="10" t="s">
        <v>4778</v>
      </c>
      <c r="F1416" s="10" t="s">
        <v>2461</v>
      </c>
      <c r="G1416" s="10" t="s">
        <v>4566</v>
      </c>
      <c r="H1416" s="10" t="s">
        <v>3449</v>
      </c>
      <c r="I1416" s="10" t="s">
        <v>2231</v>
      </c>
    </row>
    <row r="1417" spans="1:9" x14ac:dyDescent="0.25">
      <c r="A1417">
        <v>467</v>
      </c>
      <c r="B1417" s="10" t="s">
        <v>4463</v>
      </c>
      <c r="C1417" s="10" t="s">
        <v>4734</v>
      </c>
      <c r="D1417" s="10">
        <v>5942</v>
      </c>
      <c r="E1417" s="10" t="s">
        <v>4779</v>
      </c>
      <c r="F1417" s="10" t="s">
        <v>3473</v>
      </c>
      <c r="G1417" s="10" t="s">
        <v>3474</v>
      </c>
      <c r="H1417" s="10" t="s">
        <v>4767</v>
      </c>
      <c r="I1417" s="10" t="s">
        <v>3475</v>
      </c>
    </row>
    <row r="1418" spans="1:9" x14ac:dyDescent="0.25">
      <c r="A1418">
        <v>468</v>
      </c>
      <c r="B1418" s="10" t="s">
        <v>4463</v>
      </c>
      <c r="C1418" s="10" t="s">
        <v>4734</v>
      </c>
      <c r="D1418" s="10">
        <v>5943</v>
      </c>
      <c r="E1418" s="10" t="s">
        <v>4780</v>
      </c>
      <c r="F1418" s="10" t="s">
        <v>2470</v>
      </c>
      <c r="G1418" s="10" t="s">
        <v>2629</v>
      </c>
      <c r="H1418" s="10" t="s">
        <v>2902</v>
      </c>
      <c r="I1418" s="10" t="s">
        <v>2631</v>
      </c>
    </row>
    <row r="1419" spans="1:9" x14ac:dyDescent="0.25">
      <c r="A1419">
        <v>469</v>
      </c>
      <c r="B1419" s="10" t="s">
        <v>4463</v>
      </c>
      <c r="C1419" s="10" t="s">
        <v>4734</v>
      </c>
      <c r="D1419" s="10">
        <v>5944</v>
      </c>
      <c r="E1419" s="10" t="s">
        <v>4781</v>
      </c>
      <c r="F1419" s="10" t="s">
        <v>2830</v>
      </c>
      <c r="G1419" s="10" t="s">
        <v>3074</v>
      </c>
      <c r="H1419" s="10" t="s">
        <v>3464</v>
      </c>
      <c r="I1419" s="10" t="s">
        <v>2213</v>
      </c>
    </row>
    <row r="1420" spans="1:9" x14ac:dyDescent="0.25">
      <c r="A1420">
        <v>470</v>
      </c>
      <c r="B1420" s="10" t="s">
        <v>4463</v>
      </c>
      <c r="C1420" s="10" t="s">
        <v>4734</v>
      </c>
      <c r="D1420" s="10">
        <v>5945</v>
      </c>
      <c r="E1420" s="10" t="s">
        <v>4782</v>
      </c>
      <c r="F1420" s="10" t="s">
        <v>2830</v>
      </c>
      <c r="G1420" s="10" t="s">
        <v>3074</v>
      </c>
      <c r="H1420" s="10" t="s">
        <v>3464</v>
      </c>
      <c r="I1420" s="10" t="s">
        <v>2213</v>
      </c>
    </row>
    <row r="1421" spans="1:9" x14ac:dyDescent="0.25">
      <c r="A1421">
        <v>471</v>
      </c>
      <c r="B1421" s="10" t="s">
        <v>4463</v>
      </c>
      <c r="C1421" s="10" t="s">
        <v>4734</v>
      </c>
      <c r="D1421" s="10">
        <v>5946</v>
      </c>
      <c r="E1421" s="10" t="s">
        <v>4783</v>
      </c>
      <c r="F1421" s="10" t="s">
        <v>2830</v>
      </c>
      <c r="G1421" s="10" t="s">
        <v>3074</v>
      </c>
      <c r="H1421" s="10" t="s">
        <v>3464</v>
      </c>
      <c r="I1421" s="10" t="s">
        <v>2213</v>
      </c>
    </row>
    <row r="1422" spans="1:9" x14ac:dyDescent="0.25">
      <c r="A1422">
        <v>472</v>
      </c>
      <c r="B1422" s="10" t="s">
        <v>4463</v>
      </c>
      <c r="C1422" s="10" t="s">
        <v>4734</v>
      </c>
      <c r="D1422" s="10">
        <v>5947</v>
      </c>
      <c r="E1422" s="10" t="s">
        <v>4784</v>
      </c>
      <c r="F1422" s="10" t="s">
        <v>2470</v>
      </c>
      <c r="G1422" s="10" t="s">
        <v>2629</v>
      </c>
      <c r="H1422" s="10" t="s">
        <v>2902</v>
      </c>
      <c r="I1422" s="10" t="s">
        <v>2631</v>
      </c>
    </row>
    <row r="1423" spans="1:9" x14ac:dyDescent="0.25">
      <c r="A1423">
        <v>473</v>
      </c>
      <c r="B1423" s="10" t="s">
        <v>4463</v>
      </c>
      <c r="C1423" s="10" t="s">
        <v>4734</v>
      </c>
      <c r="D1423" s="10">
        <v>5948</v>
      </c>
      <c r="E1423" s="10" t="s">
        <v>4785</v>
      </c>
      <c r="F1423" s="10" t="s">
        <v>3448</v>
      </c>
      <c r="G1423" s="10" t="s">
        <v>3449</v>
      </c>
      <c r="H1423" s="10" t="s">
        <v>2949</v>
      </c>
      <c r="I1423" s="10" t="s">
        <v>3336</v>
      </c>
    </row>
    <row r="1424" spans="1:9" x14ac:dyDescent="0.25">
      <c r="A1424">
        <v>474</v>
      </c>
      <c r="B1424" s="10" t="s">
        <v>4463</v>
      </c>
      <c r="C1424" s="10" t="s">
        <v>4734</v>
      </c>
      <c r="D1424" s="10">
        <v>5949</v>
      </c>
      <c r="E1424" s="10" t="s">
        <v>4786</v>
      </c>
      <c r="F1424" s="10" t="s">
        <v>3448</v>
      </c>
      <c r="G1424" s="10" t="s">
        <v>3449</v>
      </c>
      <c r="H1424" s="10" t="s">
        <v>3729</v>
      </c>
      <c r="I1424" s="10" t="s">
        <v>3336</v>
      </c>
    </row>
    <row r="1425" spans="1:9" x14ac:dyDescent="0.25">
      <c r="A1425">
        <v>875</v>
      </c>
      <c r="B1425" s="10" t="s">
        <v>3595</v>
      </c>
      <c r="C1425" s="10" t="s">
        <v>4442</v>
      </c>
      <c r="D1425" s="10">
        <v>5963</v>
      </c>
      <c r="E1425" s="10" t="s">
        <v>4787</v>
      </c>
      <c r="F1425" s="10" t="s">
        <v>3327</v>
      </c>
      <c r="G1425" s="10" t="s">
        <v>3327</v>
      </c>
      <c r="H1425" s="10" t="s">
        <v>3270</v>
      </c>
      <c r="I1425" s="10" t="s">
        <v>4553</v>
      </c>
    </row>
    <row r="1426" spans="1:9" x14ac:dyDescent="0.25">
      <c r="A1426">
        <v>475</v>
      </c>
      <c r="B1426" s="10" t="s">
        <v>4463</v>
      </c>
      <c r="C1426" s="10" t="s">
        <v>4734</v>
      </c>
      <c r="D1426" s="10">
        <v>5977</v>
      </c>
      <c r="E1426" s="10" t="s">
        <v>4788</v>
      </c>
      <c r="F1426" s="10" t="s">
        <v>3525</v>
      </c>
      <c r="G1426" s="10" t="s">
        <v>3007</v>
      </c>
      <c r="H1426" s="10" t="s">
        <v>4789</v>
      </c>
      <c r="I1426" s="10" t="s">
        <v>2287</v>
      </c>
    </row>
    <row r="1427" spans="1:9" x14ac:dyDescent="0.25">
      <c r="A1427">
        <v>476</v>
      </c>
      <c r="B1427" s="10" t="s">
        <v>4463</v>
      </c>
      <c r="C1427" s="10" t="s">
        <v>4734</v>
      </c>
      <c r="D1427" s="10">
        <v>5978</v>
      </c>
      <c r="E1427" s="10" t="s">
        <v>4790</v>
      </c>
      <c r="F1427" s="10" t="s">
        <v>2932</v>
      </c>
      <c r="G1427" s="10" t="s">
        <v>4075</v>
      </c>
      <c r="H1427" s="10" t="s">
        <v>4752</v>
      </c>
      <c r="I1427" s="10" t="s">
        <v>2341</v>
      </c>
    </row>
    <row r="1428" spans="1:9" x14ac:dyDescent="0.25">
      <c r="A1428">
        <v>477</v>
      </c>
      <c r="B1428" s="10" t="s">
        <v>4463</v>
      </c>
      <c r="C1428" s="10" t="s">
        <v>4734</v>
      </c>
      <c r="D1428" s="10">
        <v>5979</v>
      </c>
      <c r="E1428" s="10" t="s">
        <v>4791</v>
      </c>
      <c r="F1428" s="10" t="s">
        <v>2607</v>
      </c>
      <c r="G1428" s="10" t="s">
        <v>2608</v>
      </c>
      <c r="H1428" s="10" t="s">
        <v>2407</v>
      </c>
      <c r="I1428" s="10" t="s">
        <v>2383</v>
      </c>
    </row>
    <row r="1429" spans="1:9" x14ac:dyDescent="0.25">
      <c r="A1429">
        <v>1414</v>
      </c>
      <c r="B1429" s="10" t="s">
        <v>2944</v>
      </c>
      <c r="C1429" s="10" t="s">
        <v>3034</v>
      </c>
      <c r="D1429" s="10">
        <v>5990</v>
      </c>
      <c r="E1429" s="10" t="s">
        <v>4792</v>
      </c>
      <c r="F1429" s="10" t="s">
        <v>4334</v>
      </c>
      <c r="G1429" s="10" t="s">
        <v>2272</v>
      </c>
      <c r="H1429" s="10" t="s">
        <v>2665</v>
      </c>
      <c r="I1429" s="10" t="s">
        <v>2431</v>
      </c>
    </row>
    <row r="1430" spans="1:9" x14ac:dyDescent="0.25">
      <c r="A1430">
        <v>1415</v>
      </c>
      <c r="B1430" s="10" t="s">
        <v>2944</v>
      </c>
      <c r="C1430" s="10" t="s">
        <v>3034</v>
      </c>
      <c r="D1430" s="10">
        <v>5991</v>
      </c>
      <c r="E1430" s="10" t="s">
        <v>4793</v>
      </c>
      <c r="F1430" s="10" t="s">
        <v>4794</v>
      </c>
      <c r="G1430" s="10" t="s">
        <v>4795</v>
      </c>
      <c r="H1430" s="10" t="s">
        <v>2475</v>
      </c>
      <c r="I1430" s="10" t="s">
        <v>2297</v>
      </c>
    </row>
    <row r="1431" spans="1:9" x14ac:dyDescent="0.25">
      <c r="A1431">
        <v>1469</v>
      </c>
      <c r="B1431" s="10" t="s">
        <v>2944</v>
      </c>
      <c r="C1431" s="10" t="s">
        <v>3282</v>
      </c>
      <c r="D1431" s="10">
        <v>5992</v>
      </c>
      <c r="E1431" s="10" t="s">
        <v>4796</v>
      </c>
      <c r="F1431" s="10" t="s">
        <v>2947</v>
      </c>
      <c r="G1431" s="10" t="s">
        <v>2948</v>
      </c>
      <c r="H1431" s="10" t="s">
        <v>2949</v>
      </c>
      <c r="I1431" s="10" t="s">
        <v>2329</v>
      </c>
    </row>
    <row r="1432" spans="1:9" x14ac:dyDescent="0.25">
      <c r="A1432">
        <v>1470</v>
      </c>
      <c r="B1432" s="10" t="s">
        <v>2944</v>
      </c>
      <c r="C1432" s="10" t="s">
        <v>3282</v>
      </c>
      <c r="D1432" s="10">
        <v>5993</v>
      </c>
      <c r="E1432" s="10" t="s">
        <v>4797</v>
      </c>
      <c r="F1432" s="10" t="s">
        <v>2947</v>
      </c>
      <c r="G1432" s="10" t="s">
        <v>2948</v>
      </c>
      <c r="H1432" s="10" t="s">
        <v>2949</v>
      </c>
      <c r="I1432" s="10" t="s">
        <v>2329</v>
      </c>
    </row>
    <row r="1433" spans="1:9" x14ac:dyDescent="0.25">
      <c r="A1433">
        <v>1471</v>
      </c>
      <c r="B1433" s="10" t="s">
        <v>2944</v>
      </c>
      <c r="C1433" s="10" t="s">
        <v>3282</v>
      </c>
      <c r="D1433" s="10">
        <v>5994</v>
      </c>
      <c r="E1433" s="10" t="s">
        <v>4798</v>
      </c>
      <c r="F1433" s="10" t="s">
        <v>2947</v>
      </c>
      <c r="G1433" s="10" t="s">
        <v>2948</v>
      </c>
      <c r="H1433" s="10" t="s">
        <v>2949</v>
      </c>
      <c r="I1433" s="10" t="s">
        <v>2329</v>
      </c>
    </row>
    <row r="1434" spans="1:9" x14ac:dyDescent="0.25">
      <c r="A1434">
        <v>1430</v>
      </c>
      <c r="B1434" s="10" t="s">
        <v>2944</v>
      </c>
      <c r="C1434" s="10" t="s">
        <v>4799</v>
      </c>
      <c r="D1434" s="10">
        <v>5996</v>
      </c>
      <c r="E1434" s="10" t="s">
        <v>4800</v>
      </c>
      <c r="F1434" s="10" t="s">
        <v>2360</v>
      </c>
      <c r="G1434" s="10" t="s">
        <v>2361</v>
      </c>
      <c r="H1434" s="10" t="s">
        <v>4801</v>
      </c>
      <c r="I1434" s="10" t="s">
        <v>2368</v>
      </c>
    </row>
    <row r="1435" spans="1:9" x14ac:dyDescent="0.25">
      <c r="A1435">
        <v>1431</v>
      </c>
      <c r="B1435" s="10" t="s">
        <v>2944</v>
      </c>
      <c r="C1435" s="10" t="s">
        <v>4799</v>
      </c>
      <c r="D1435" s="10">
        <v>5997</v>
      </c>
      <c r="E1435" s="10" t="s">
        <v>4802</v>
      </c>
      <c r="F1435" s="10" t="s">
        <v>2360</v>
      </c>
      <c r="G1435" s="10" t="s">
        <v>2361</v>
      </c>
      <c r="H1435" s="10" t="s">
        <v>4801</v>
      </c>
      <c r="I1435" s="10" t="s">
        <v>2368</v>
      </c>
    </row>
    <row r="1436" spans="1:9" x14ac:dyDescent="0.25">
      <c r="A1436">
        <v>1432</v>
      </c>
      <c r="B1436" s="10" t="s">
        <v>2944</v>
      </c>
      <c r="C1436" s="10" t="s">
        <v>4799</v>
      </c>
      <c r="D1436" s="10">
        <v>5998</v>
      </c>
      <c r="E1436" s="10" t="s">
        <v>4803</v>
      </c>
      <c r="F1436" s="10" t="s">
        <v>2360</v>
      </c>
      <c r="G1436" s="10" t="s">
        <v>2361</v>
      </c>
      <c r="H1436" s="10" t="s">
        <v>4801</v>
      </c>
      <c r="I1436" s="10" t="s">
        <v>2368</v>
      </c>
    </row>
    <row r="1437" spans="1:9" x14ac:dyDescent="0.25">
      <c r="A1437">
        <v>1467</v>
      </c>
      <c r="B1437" s="10" t="s">
        <v>2944</v>
      </c>
      <c r="C1437" s="10" t="s">
        <v>3106</v>
      </c>
      <c r="D1437" s="10">
        <v>6055</v>
      </c>
      <c r="E1437" s="10" t="s">
        <v>3283</v>
      </c>
      <c r="F1437" s="10" t="s">
        <v>3153</v>
      </c>
      <c r="G1437" s="10" t="s">
        <v>2831</v>
      </c>
      <c r="H1437" s="10" t="s">
        <v>3108</v>
      </c>
      <c r="I1437" s="10" t="s">
        <v>2425</v>
      </c>
    </row>
    <row r="1438" spans="1:9" x14ac:dyDescent="0.25">
      <c r="A1438">
        <v>1457</v>
      </c>
      <c r="B1438" s="10" t="s">
        <v>2944</v>
      </c>
      <c r="C1438" s="10" t="s">
        <v>2945</v>
      </c>
      <c r="D1438" s="10">
        <v>6056</v>
      </c>
      <c r="E1438" s="10" t="s">
        <v>4804</v>
      </c>
      <c r="F1438" s="10" t="s">
        <v>2947</v>
      </c>
      <c r="G1438" s="10" t="s">
        <v>2948</v>
      </c>
      <c r="H1438" s="10" t="s">
        <v>2949</v>
      </c>
      <c r="I1438" s="10" t="s">
        <v>2329</v>
      </c>
    </row>
    <row r="1439" spans="1:9" x14ac:dyDescent="0.25">
      <c r="A1439">
        <v>1458</v>
      </c>
      <c r="B1439" s="10" t="s">
        <v>2944</v>
      </c>
      <c r="C1439" s="10" t="s">
        <v>2945</v>
      </c>
      <c r="D1439" s="10">
        <v>6057</v>
      </c>
      <c r="E1439" s="10" t="s">
        <v>4805</v>
      </c>
      <c r="F1439" s="10" t="s">
        <v>2947</v>
      </c>
      <c r="G1439" s="10" t="s">
        <v>2948</v>
      </c>
      <c r="H1439" s="10" t="s">
        <v>2949</v>
      </c>
      <c r="I1439" s="10" t="s">
        <v>2329</v>
      </c>
    </row>
    <row r="1440" spans="1:9" x14ac:dyDescent="0.25">
      <c r="A1440">
        <v>1459</v>
      </c>
      <c r="B1440" s="10" t="s">
        <v>2944</v>
      </c>
      <c r="C1440" s="10" t="s">
        <v>2945</v>
      </c>
      <c r="D1440" s="10">
        <v>6058</v>
      </c>
      <c r="E1440" s="10" t="s">
        <v>4806</v>
      </c>
      <c r="F1440" s="10" t="s">
        <v>2947</v>
      </c>
      <c r="G1440" s="10" t="s">
        <v>2948</v>
      </c>
      <c r="H1440" s="10" t="s">
        <v>2949</v>
      </c>
      <c r="I1440" s="10" t="s">
        <v>2329</v>
      </c>
    </row>
    <row r="1441" spans="1:9" x14ac:dyDescent="0.25">
      <c r="A1441">
        <v>1155</v>
      </c>
      <c r="B1441" s="10" t="s">
        <v>2604</v>
      </c>
      <c r="C1441" s="10" t="s">
        <v>3512</v>
      </c>
      <c r="D1441" s="10">
        <v>6150</v>
      </c>
      <c r="E1441" s="10" t="s">
        <v>4807</v>
      </c>
      <c r="F1441" s="10" t="s">
        <v>2284</v>
      </c>
      <c r="G1441" s="10" t="s">
        <v>2221</v>
      </c>
      <c r="H1441" s="10" t="s">
        <v>3442</v>
      </c>
      <c r="I1441" s="10" t="s">
        <v>2223</v>
      </c>
    </row>
    <row r="1442" spans="1:9" x14ac:dyDescent="0.25">
      <c r="A1442">
        <v>372</v>
      </c>
      <c r="B1442" s="10" t="s">
        <v>2685</v>
      </c>
      <c r="C1442" s="10" t="s">
        <v>4808</v>
      </c>
      <c r="D1442" s="10">
        <v>6164</v>
      </c>
      <c r="E1442" s="10" t="s">
        <v>4809</v>
      </c>
      <c r="F1442" s="10" t="s">
        <v>2645</v>
      </c>
      <c r="G1442" s="10" t="s">
        <v>4687</v>
      </c>
      <c r="H1442" s="10" t="s">
        <v>4101</v>
      </c>
      <c r="I1442" s="10" t="s">
        <v>4810</v>
      </c>
    </row>
    <row r="1443" spans="1:9" x14ac:dyDescent="0.25">
      <c r="A1443">
        <v>373</v>
      </c>
      <c r="B1443" s="10" t="s">
        <v>2685</v>
      </c>
      <c r="C1443" s="10" t="s">
        <v>4808</v>
      </c>
      <c r="D1443" s="10">
        <v>6165</v>
      </c>
      <c r="E1443" s="10" t="s">
        <v>4811</v>
      </c>
      <c r="F1443" s="10" t="s">
        <v>2645</v>
      </c>
      <c r="G1443" s="10" t="s">
        <v>4687</v>
      </c>
      <c r="H1443" s="10" t="s">
        <v>4101</v>
      </c>
      <c r="I1443" s="10" t="s">
        <v>4810</v>
      </c>
    </row>
    <row r="1444" spans="1:9" x14ac:dyDescent="0.25">
      <c r="A1444">
        <v>374</v>
      </c>
      <c r="B1444" s="10" t="s">
        <v>2685</v>
      </c>
      <c r="C1444" s="10" t="s">
        <v>4808</v>
      </c>
      <c r="D1444" s="10">
        <v>6166</v>
      </c>
      <c r="E1444" s="10" t="s">
        <v>4812</v>
      </c>
      <c r="F1444" s="10" t="s">
        <v>2645</v>
      </c>
      <c r="G1444" s="10" t="s">
        <v>4687</v>
      </c>
      <c r="H1444" s="10" t="s">
        <v>4101</v>
      </c>
      <c r="I1444" s="10" t="s">
        <v>4810</v>
      </c>
    </row>
    <row r="1445" spans="1:9" x14ac:dyDescent="0.25">
      <c r="A1445">
        <v>371</v>
      </c>
      <c r="B1445" s="10" t="s">
        <v>2685</v>
      </c>
      <c r="C1445" s="10" t="s">
        <v>4813</v>
      </c>
      <c r="D1445" s="10">
        <v>6169</v>
      </c>
      <c r="E1445" s="10" t="s">
        <v>4814</v>
      </c>
      <c r="F1445" s="10" t="s">
        <v>2417</v>
      </c>
      <c r="G1445" s="10" t="s">
        <v>2449</v>
      </c>
      <c r="H1445" s="10" t="s">
        <v>4815</v>
      </c>
      <c r="I1445" s="10" t="s">
        <v>2269</v>
      </c>
    </row>
    <row r="1446" spans="1:9" x14ac:dyDescent="0.25">
      <c r="A1446">
        <v>705</v>
      </c>
      <c r="B1446" s="10" t="s">
        <v>3386</v>
      </c>
      <c r="C1446" s="10" t="s">
        <v>4816</v>
      </c>
      <c r="D1446" s="10">
        <v>6259</v>
      </c>
      <c r="E1446" s="10" t="s">
        <v>4817</v>
      </c>
      <c r="F1446" s="10">
        <v>56.5</v>
      </c>
      <c r="G1446" s="10">
        <v>0.59</v>
      </c>
      <c r="H1446" s="10">
        <v>36.340000000000003</v>
      </c>
      <c r="I1446" s="10" t="s">
        <v>4818</v>
      </c>
    </row>
    <row r="1447" spans="1:9" x14ac:dyDescent="0.25">
      <c r="A1447">
        <v>1550</v>
      </c>
      <c r="B1447" s="10" t="s">
        <v>2671</v>
      </c>
      <c r="C1447" s="10" t="s">
        <v>3315</v>
      </c>
      <c r="D1447" s="10">
        <v>6289</v>
      </c>
      <c r="E1447" s="10" t="s">
        <v>4819</v>
      </c>
      <c r="F1447" s="10" t="s">
        <v>4820</v>
      </c>
      <c r="G1447" s="10" t="s">
        <v>2829</v>
      </c>
      <c r="H1447" s="10" t="s">
        <v>2296</v>
      </c>
      <c r="I1447" s="10" t="s">
        <v>2329</v>
      </c>
    </row>
    <row r="1448" spans="1:9" x14ac:dyDescent="0.25">
      <c r="A1448">
        <v>1642</v>
      </c>
      <c r="B1448" s="10" t="s">
        <v>3315</v>
      </c>
      <c r="C1448" s="10" t="s">
        <v>4821</v>
      </c>
      <c r="D1448" s="10">
        <v>6290</v>
      </c>
      <c r="E1448" s="10" t="s">
        <v>4822</v>
      </c>
      <c r="F1448" s="10" t="s">
        <v>2289</v>
      </c>
      <c r="G1448" s="10" t="s">
        <v>3322</v>
      </c>
      <c r="H1448" s="10" t="s">
        <v>2917</v>
      </c>
      <c r="I1448" s="10" t="s">
        <v>2264</v>
      </c>
    </row>
    <row r="1449" spans="1:9" x14ac:dyDescent="0.25">
      <c r="A1449">
        <v>1643</v>
      </c>
      <c r="B1449" s="10" t="s">
        <v>3315</v>
      </c>
      <c r="C1449" s="10" t="s">
        <v>4821</v>
      </c>
      <c r="D1449" s="10">
        <v>6293</v>
      </c>
      <c r="E1449" s="10" t="s">
        <v>4823</v>
      </c>
      <c r="F1449" s="10" t="s">
        <v>2289</v>
      </c>
      <c r="G1449" s="10" t="s">
        <v>3322</v>
      </c>
      <c r="H1449" s="10" t="s">
        <v>2917</v>
      </c>
      <c r="I1449" s="10" t="s">
        <v>2264</v>
      </c>
    </row>
    <row r="1450" spans="1:9" x14ac:dyDescent="0.25">
      <c r="A1450">
        <v>1644</v>
      </c>
      <c r="B1450" s="10" t="s">
        <v>3315</v>
      </c>
      <c r="C1450" s="10" t="s">
        <v>4821</v>
      </c>
      <c r="D1450" s="10">
        <v>6294</v>
      </c>
      <c r="E1450" s="10" t="s">
        <v>4824</v>
      </c>
      <c r="F1450" s="10" t="s">
        <v>2289</v>
      </c>
      <c r="G1450" s="10" t="s">
        <v>3322</v>
      </c>
      <c r="H1450" s="10" t="s">
        <v>2917</v>
      </c>
      <c r="I1450" s="10" t="s">
        <v>2264</v>
      </c>
    </row>
    <row r="1451" spans="1:9" x14ac:dyDescent="0.25">
      <c r="A1451">
        <v>368</v>
      </c>
      <c r="B1451" s="10" t="s">
        <v>2685</v>
      </c>
      <c r="C1451" s="10" t="s">
        <v>4825</v>
      </c>
      <c r="D1451" s="10">
        <v>6323</v>
      </c>
      <c r="E1451" s="10" t="s">
        <v>4826</v>
      </c>
      <c r="F1451" s="10">
        <v>21.5</v>
      </c>
      <c r="G1451" s="10">
        <v>1.79</v>
      </c>
      <c r="H1451" s="10">
        <v>1</v>
      </c>
      <c r="I1451" s="10">
        <v>2.39</v>
      </c>
    </row>
    <row r="1452" spans="1:9" x14ac:dyDescent="0.25">
      <c r="A1452">
        <v>369</v>
      </c>
      <c r="B1452" s="10" t="s">
        <v>2685</v>
      </c>
      <c r="C1452" s="10" t="s">
        <v>4825</v>
      </c>
      <c r="D1452" s="10">
        <v>6324</v>
      </c>
      <c r="E1452" s="10" t="s">
        <v>4827</v>
      </c>
      <c r="F1452" s="10">
        <v>21.5</v>
      </c>
      <c r="G1452" s="10">
        <v>1.79</v>
      </c>
      <c r="H1452" s="10">
        <v>1</v>
      </c>
      <c r="I1452" s="10">
        <v>2.39</v>
      </c>
    </row>
    <row r="1453" spans="1:9" x14ac:dyDescent="0.25">
      <c r="A1453">
        <v>370</v>
      </c>
      <c r="B1453" s="10" t="s">
        <v>2685</v>
      </c>
      <c r="C1453" s="10" t="s">
        <v>4825</v>
      </c>
      <c r="D1453" s="10">
        <v>6325</v>
      </c>
      <c r="E1453" s="10" t="s">
        <v>4828</v>
      </c>
      <c r="F1453" s="10">
        <v>21.5</v>
      </c>
      <c r="G1453" s="10">
        <v>1.79</v>
      </c>
      <c r="H1453" s="10">
        <v>1</v>
      </c>
      <c r="I1453" s="10">
        <v>2.39</v>
      </c>
    </row>
    <row r="1454" spans="1:9" x14ac:dyDescent="0.25">
      <c r="A1454">
        <v>1522</v>
      </c>
      <c r="B1454" s="10" t="s">
        <v>2671</v>
      </c>
      <c r="C1454" s="10" t="s">
        <v>2622</v>
      </c>
      <c r="D1454" s="10">
        <v>6397</v>
      </c>
      <c r="E1454" s="10" t="s">
        <v>4829</v>
      </c>
      <c r="F1454" s="10">
        <v>99.95</v>
      </c>
      <c r="G1454" s="10">
        <v>2.08</v>
      </c>
      <c r="H1454" s="10">
        <v>0</v>
      </c>
      <c r="I1454" s="10">
        <v>0</v>
      </c>
    </row>
    <row r="1455" spans="1:9" x14ac:dyDescent="0.25">
      <c r="A1455">
        <v>711</v>
      </c>
      <c r="B1455" s="10" t="s">
        <v>4082</v>
      </c>
      <c r="C1455" s="10" t="s">
        <v>1115</v>
      </c>
      <c r="D1455" s="10">
        <v>6425</v>
      </c>
      <c r="E1455" s="10" t="s">
        <v>4830</v>
      </c>
      <c r="F1455" s="10" t="s">
        <v>3327</v>
      </c>
      <c r="G1455" s="10" t="s">
        <v>2725</v>
      </c>
      <c r="H1455" s="10" t="s">
        <v>4831</v>
      </c>
      <c r="I1455" s="10" t="s">
        <v>2329</v>
      </c>
    </row>
    <row r="1456" spans="1:9" x14ac:dyDescent="0.25">
      <c r="A1456">
        <v>712</v>
      </c>
      <c r="B1456" s="10" t="s">
        <v>4082</v>
      </c>
      <c r="C1456" s="10" t="s">
        <v>1115</v>
      </c>
      <c r="D1456" s="10">
        <v>6426</v>
      </c>
      <c r="E1456" s="10" t="s">
        <v>4832</v>
      </c>
      <c r="F1456" s="10" t="s">
        <v>4833</v>
      </c>
      <c r="G1456" s="10" t="s">
        <v>3021</v>
      </c>
      <c r="H1456" s="10" t="s">
        <v>2608</v>
      </c>
      <c r="I1456" s="10" t="s">
        <v>2420</v>
      </c>
    </row>
    <row r="1457" spans="1:9" x14ac:dyDescent="0.25">
      <c r="A1457">
        <v>713</v>
      </c>
      <c r="B1457" s="10" t="s">
        <v>4082</v>
      </c>
      <c r="C1457" s="10" t="s">
        <v>1115</v>
      </c>
      <c r="D1457" s="10">
        <v>6427</v>
      </c>
      <c r="E1457" s="10" t="s">
        <v>4834</v>
      </c>
      <c r="F1457" s="10" t="s">
        <v>4833</v>
      </c>
      <c r="G1457" s="10" t="s">
        <v>3021</v>
      </c>
      <c r="H1457" s="10" t="s">
        <v>2608</v>
      </c>
      <c r="I1457" s="10" t="s">
        <v>2420</v>
      </c>
    </row>
    <row r="1458" spans="1:9" x14ac:dyDescent="0.25">
      <c r="A1458">
        <v>714</v>
      </c>
      <c r="B1458" s="10" t="s">
        <v>4082</v>
      </c>
      <c r="C1458" s="10" t="s">
        <v>1115</v>
      </c>
      <c r="D1458" s="10">
        <v>6428</v>
      </c>
      <c r="E1458" s="10" t="s">
        <v>4835</v>
      </c>
      <c r="F1458" s="10" t="s">
        <v>4833</v>
      </c>
      <c r="G1458" s="10" t="s">
        <v>3021</v>
      </c>
      <c r="H1458" s="10" t="s">
        <v>3431</v>
      </c>
      <c r="I1458" s="10" t="s">
        <v>2420</v>
      </c>
    </row>
    <row r="1459" spans="1:9" x14ac:dyDescent="0.25">
      <c r="A1459">
        <v>715</v>
      </c>
      <c r="B1459" s="10" t="s">
        <v>4082</v>
      </c>
      <c r="C1459" s="10" t="s">
        <v>1115</v>
      </c>
      <c r="D1459" s="10">
        <v>6429</v>
      </c>
      <c r="E1459" s="10" t="s">
        <v>4836</v>
      </c>
      <c r="F1459" s="10" t="s">
        <v>4833</v>
      </c>
      <c r="G1459" s="10" t="s">
        <v>3021</v>
      </c>
      <c r="H1459" s="10" t="s">
        <v>3431</v>
      </c>
      <c r="I1459" s="10" t="s">
        <v>2420</v>
      </c>
    </row>
    <row r="1460" spans="1:9" x14ac:dyDescent="0.25">
      <c r="A1460">
        <v>716</v>
      </c>
      <c r="B1460" s="10" t="s">
        <v>4082</v>
      </c>
      <c r="C1460" s="10" t="s">
        <v>1115</v>
      </c>
      <c r="D1460" s="10">
        <v>6430</v>
      </c>
      <c r="E1460" s="10" t="s">
        <v>4837</v>
      </c>
      <c r="F1460" s="10" t="s">
        <v>4833</v>
      </c>
      <c r="G1460" s="10" t="s">
        <v>3021</v>
      </c>
      <c r="H1460" s="10" t="s">
        <v>3431</v>
      </c>
      <c r="I1460" s="10" t="s">
        <v>2420</v>
      </c>
    </row>
    <row r="1461" spans="1:9" x14ac:dyDescent="0.25">
      <c r="A1461">
        <v>658</v>
      </c>
      <c r="B1461" s="10" t="s">
        <v>3386</v>
      </c>
      <c r="C1461" s="10" t="s">
        <v>4838</v>
      </c>
      <c r="D1461" s="10">
        <v>6431</v>
      </c>
      <c r="E1461" s="10" t="s">
        <v>4839</v>
      </c>
      <c r="F1461" s="10" t="s">
        <v>2602</v>
      </c>
      <c r="G1461" s="10" t="s">
        <v>2603</v>
      </c>
      <c r="H1461" s="10" t="s">
        <v>2241</v>
      </c>
      <c r="I1461" s="10" t="s">
        <v>2264</v>
      </c>
    </row>
    <row r="1462" spans="1:9" x14ac:dyDescent="0.25">
      <c r="A1462">
        <v>659</v>
      </c>
      <c r="B1462" s="10" t="s">
        <v>3386</v>
      </c>
      <c r="C1462" s="10" t="s">
        <v>4838</v>
      </c>
      <c r="D1462" s="10">
        <v>6432</v>
      </c>
      <c r="E1462" s="10" t="s">
        <v>4840</v>
      </c>
      <c r="F1462" s="10" t="s">
        <v>4841</v>
      </c>
      <c r="G1462" s="10" t="s">
        <v>2561</v>
      </c>
      <c r="H1462" s="10" t="s">
        <v>2241</v>
      </c>
      <c r="I1462" s="10" t="s">
        <v>2264</v>
      </c>
    </row>
    <row r="1463" spans="1:9" x14ac:dyDescent="0.25">
      <c r="A1463">
        <v>660</v>
      </c>
      <c r="B1463" s="10" t="s">
        <v>3386</v>
      </c>
      <c r="C1463" s="10" t="s">
        <v>4838</v>
      </c>
      <c r="D1463" s="10">
        <v>6433</v>
      </c>
      <c r="E1463" s="10" t="s">
        <v>4842</v>
      </c>
      <c r="F1463" s="10" t="s">
        <v>2602</v>
      </c>
      <c r="G1463" s="10" t="s">
        <v>2603</v>
      </c>
      <c r="H1463" s="10" t="s">
        <v>2241</v>
      </c>
      <c r="I1463" s="10" t="s">
        <v>2264</v>
      </c>
    </row>
    <row r="1464" spans="1:9" x14ac:dyDescent="0.25">
      <c r="A1464">
        <v>661</v>
      </c>
      <c r="B1464" s="10" t="s">
        <v>3386</v>
      </c>
      <c r="C1464" s="10" t="s">
        <v>4838</v>
      </c>
      <c r="D1464" s="10">
        <v>6434</v>
      </c>
      <c r="E1464" s="10" t="s">
        <v>4843</v>
      </c>
      <c r="F1464" s="10" t="s">
        <v>2602</v>
      </c>
      <c r="G1464" s="10" t="s">
        <v>2603</v>
      </c>
      <c r="H1464" s="10" t="s">
        <v>2241</v>
      </c>
      <c r="I1464" s="10" t="s">
        <v>2264</v>
      </c>
    </row>
    <row r="1465" spans="1:9" x14ac:dyDescent="0.25">
      <c r="A1465">
        <v>662</v>
      </c>
      <c r="B1465" s="10" t="s">
        <v>3386</v>
      </c>
      <c r="C1465" s="10" t="s">
        <v>4838</v>
      </c>
      <c r="D1465" s="10">
        <v>6435</v>
      </c>
      <c r="E1465" s="10" t="s">
        <v>4844</v>
      </c>
      <c r="F1465" s="10" t="s">
        <v>2602</v>
      </c>
      <c r="G1465" s="10" t="s">
        <v>2603</v>
      </c>
      <c r="H1465" s="10" t="s">
        <v>2241</v>
      </c>
      <c r="I1465" s="10" t="s">
        <v>2264</v>
      </c>
    </row>
    <row r="1466" spans="1:9" x14ac:dyDescent="0.25">
      <c r="A1466">
        <v>717</v>
      </c>
      <c r="B1466" s="10" t="s">
        <v>4082</v>
      </c>
      <c r="C1466" s="10" t="s">
        <v>1115</v>
      </c>
      <c r="D1466" s="10">
        <v>6438</v>
      </c>
      <c r="E1466" s="10" t="s">
        <v>4845</v>
      </c>
      <c r="F1466" s="10" t="s">
        <v>2762</v>
      </c>
      <c r="G1466" s="10" t="s">
        <v>3478</v>
      </c>
      <c r="H1466" s="10" t="s">
        <v>3668</v>
      </c>
      <c r="I1466" s="10" t="s">
        <v>3475</v>
      </c>
    </row>
    <row r="1467" spans="1:9" x14ac:dyDescent="0.25">
      <c r="A1467">
        <v>1723</v>
      </c>
      <c r="B1467" s="10" t="s">
        <v>3365</v>
      </c>
      <c r="C1467" s="10" t="s">
        <v>4846</v>
      </c>
      <c r="D1467" s="10">
        <v>6959</v>
      </c>
      <c r="E1467" s="10" t="s">
        <v>4847</v>
      </c>
      <c r="F1467" s="10" t="s">
        <v>3384</v>
      </c>
      <c r="G1467" s="10" t="s">
        <v>2447</v>
      </c>
      <c r="H1467" s="10" t="s">
        <v>2856</v>
      </c>
      <c r="I1467" s="10" t="s">
        <v>2264</v>
      </c>
    </row>
    <row r="1468" spans="1:9" x14ac:dyDescent="0.25">
      <c r="A1468">
        <v>1724</v>
      </c>
      <c r="B1468" s="10" t="s">
        <v>3365</v>
      </c>
      <c r="C1468" s="10" t="s">
        <v>4846</v>
      </c>
      <c r="D1468" s="10">
        <v>6974</v>
      </c>
      <c r="E1468" s="10" t="s">
        <v>4848</v>
      </c>
      <c r="F1468" s="10">
        <v>15.95</v>
      </c>
      <c r="G1468" s="10">
        <v>0.66</v>
      </c>
      <c r="H1468" s="10">
        <v>0.95</v>
      </c>
      <c r="I1468" s="10">
        <v>0.89</v>
      </c>
    </row>
    <row r="1469" spans="1:9" x14ac:dyDescent="0.25">
      <c r="A1469">
        <v>1725</v>
      </c>
      <c r="B1469" s="10" t="s">
        <v>3365</v>
      </c>
      <c r="C1469" s="10" t="s">
        <v>4849</v>
      </c>
      <c r="D1469" s="10">
        <v>7102</v>
      </c>
      <c r="E1469" s="10" t="s">
        <v>4850</v>
      </c>
      <c r="F1469" s="10" t="s">
        <v>2215</v>
      </c>
      <c r="G1469" s="10" t="s">
        <v>2537</v>
      </c>
      <c r="H1469" s="10" t="s">
        <v>3811</v>
      </c>
      <c r="I1469" s="10" t="s">
        <v>2368</v>
      </c>
    </row>
    <row r="1470" spans="1:9" x14ac:dyDescent="0.25">
      <c r="A1470">
        <v>1726</v>
      </c>
      <c r="B1470" s="10" t="s">
        <v>3365</v>
      </c>
      <c r="C1470" s="10" t="s">
        <v>4849</v>
      </c>
      <c r="D1470" s="10">
        <v>7103</v>
      </c>
      <c r="E1470" s="10" t="s">
        <v>4851</v>
      </c>
      <c r="F1470" s="10" t="s">
        <v>2215</v>
      </c>
      <c r="G1470" s="10" t="s">
        <v>2537</v>
      </c>
      <c r="H1470" s="10" t="s">
        <v>3811</v>
      </c>
      <c r="I1470" s="10" t="s">
        <v>2368</v>
      </c>
    </row>
    <row r="1471" spans="1:9" x14ac:dyDescent="0.25">
      <c r="A1471">
        <v>1727</v>
      </c>
      <c r="B1471" s="10" t="s">
        <v>3365</v>
      </c>
      <c r="C1471" s="10" t="s">
        <v>4849</v>
      </c>
      <c r="D1471" s="10">
        <v>7104</v>
      </c>
      <c r="E1471" s="10" t="s">
        <v>4852</v>
      </c>
      <c r="F1471" s="10" t="s">
        <v>2215</v>
      </c>
      <c r="G1471" s="10" t="s">
        <v>2537</v>
      </c>
      <c r="H1471" s="10" t="s">
        <v>3811</v>
      </c>
      <c r="I1471" s="10" t="s">
        <v>2368</v>
      </c>
    </row>
    <row r="1472" spans="1:9" x14ac:dyDescent="0.25">
      <c r="A1472">
        <v>1728</v>
      </c>
      <c r="B1472" s="10" t="s">
        <v>3365</v>
      </c>
      <c r="C1472" s="10" t="s">
        <v>4849</v>
      </c>
      <c r="D1472" s="10">
        <v>7106</v>
      </c>
      <c r="E1472" s="10" t="s">
        <v>4853</v>
      </c>
      <c r="F1472" s="10" t="s">
        <v>2215</v>
      </c>
      <c r="G1472" s="10" t="s">
        <v>2537</v>
      </c>
      <c r="H1472" s="10" t="s">
        <v>3811</v>
      </c>
      <c r="I1472" s="10" t="s">
        <v>2368</v>
      </c>
    </row>
    <row r="1473" spans="1:9" x14ac:dyDescent="0.25">
      <c r="A1473">
        <v>1729</v>
      </c>
      <c r="B1473" s="10" t="s">
        <v>3365</v>
      </c>
      <c r="C1473" s="10" t="s">
        <v>4849</v>
      </c>
      <c r="D1473" s="10">
        <v>7108</v>
      </c>
      <c r="E1473" s="10" t="s">
        <v>4854</v>
      </c>
      <c r="F1473" s="10" t="s">
        <v>2215</v>
      </c>
      <c r="G1473" s="10" t="s">
        <v>2537</v>
      </c>
      <c r="H1473" s="10" t="s">
        <v>3811</v>
      </c>
      <c r="I1473" s="10" t="s">
        <v>2368</v>
      </c>
    </row>
    <row r="1474" spans="1:9" x14ac:dyDescent="0.25">
      <c r="A1474">
        <v>1730</v>
      </c>
      <c r="B1474" s="10" t="s">
        <v>3365</v>
      </c>
      <c r="C1474" s="10" t="s">
        <v>4849</v>
      </c>
      <c r="D1474" s="10">
        <v>7110</v>
      </c>
      <c r="E1474" s="10" t="s">
        <v>4855</v>
      </c>
      <c r="F1474" s="10" t="s">
        <v>2466</v>
      </c>
      <c r="G1474" s="10" t="s">
        <v>2467</v>
      </c>
      <c r="H1474" s="10" t="s">
        <v>2494</v>
      </c>
      <c r="I1474" s="10" t="s">
        <v>2477</v>
      </c>
    </row>
    <row r="1475" spans="1:9" x14ac:dyDescent="0.25">
      <c r="A1475">
        <v>1731</v>
      </c>
      <c r="B1475" s="10" t="s">
        <v>3365</v>
      </c>
      <c r="C1475" s="10" t="s">
        <v>4849</v>
      </c>
      <c r="D1475" s="10">
        <v>7111</v>
      </c>
      <c r="E1475" s="10" t="s">
        <v>4856</v>
      </c>
      <c r="F1475" s="10" t="s">
        <v>2215</v>
      </c>
      <c r="G1475" s="10" t="s">
        <v>2537</v>
      </c>
      <c r="H1475" s="10" t="s">
        <v>3811</v>
      </c>
      <c r="I1475" s="10" t="s">
        <v>2368</v>
      </c>
    </row>
    <row r="1476" spans="1:9" x14ac:dyDescent="0.25">
      <c r="A1476">
        <v>1732</v>
      </c>
      <c r="B1476" s="10" t="s">
        <v>3365</v>
      </c>
      <c r="C1476" s="10" t="s">
        <v>4849</v>
      </c>
      <c r="D1476" s="10">
        <v>7112</v>
      </c>
      <c r="E1476" s="10" t="s">
        <v>4857</v>
      </c>
      <c r="F1476" s="10" t="s">
        <v>2528</v>
      </c>
      <c r="G1476" s="10" t="s">
        <v>2866</v>
      </c>
      <c r="H1476" s="10" t="s">
        <v>3253</v>
      </c>
      <c r="I1476" s="10" t="s">
        <v>2868</v>
      </c>
    </row>
    <row r="1477" spans="1:9" x14ac:dyDescent="0.25">
      <c r="A1477">
        <v>1733</v>
      </c>
      <c r="B1477" s="10" t="s">
        <v>3365</v>
      </c>
      <c r="C1477" s="10" t="s">
        <v>4849</v>
      </c>
      <c r="D1477" s="10">
        <v>7114</v>
      </c>
      <c r="E1477" s="10" t="s">
        <v>4858</v>
      </c>
      <c r="F1477" s="10" t="s">
        <v>2215</v>
      </c>
      <c r="G1477" s="10" t="s">
        <v>2537</v>
      </c>
      <c r="H1477" s="10" t="s">
        <v>3811</v>
      </c>
      <c r="I1477" s="10" t="s">
        <v>2368</v>
      </c>
    </row>
    <row r="1478" spans="1:9" x14ac:dyDescent="0.25">
      <c r="A1478">
        <v>1734</v>
      </c>
      <c r="B1478" s="10" t="s">
        <v>3365</v>
      </c>
      <c r="C1478" s="10" t="s">
        <v>4849</v>
      </c>
      <c r="D1478" s="10">
        <v>7115</v>
      </c>
      <c r="E1478" s="10" t="s">
        <v>4859</v>
      </c>
      <c r="F1478" s="10" t="s">
        <v>2215</v>
      </c>
      <c r="G1478" s="10" t="s">
        <v>2537</v>
      </c>
      <c r="H1478" s="10" t="s">
        <v>2264</v>
      </c>
      <c r="I1478" s="10" t="s">
        <v>2368</v>
      </c>
    </row>
    <row r="1479" spans="1:9" x14ac:dyDescent="0.25">
      <c r="A1479">
        <v>1735</v>
      </c>
      <c r="B1479" s="10" t="s">
        <v>3365</v>
      </c>
      <c r="C1479" s="10" t="s">
        <v>4849</v>
      </c>
      <c r="D1479" s="10">
        <v>7116</v>
      </c>
      <c r="E1479" s="10" t="s">
        <v>4860</v>
      </c>
      <c r="F1479" s="10" t="s">
        <v>2215</v>
      </c>
      <c r="G1479" s="10" t="s">
        <v>2537</v>
      </c>
      <c r="H1479" s="10" t="s">
        <v>3811</v>
      </c>
      <c r="I1479" s="10" t="s">
        <v>2368</v>
      </c>
    </row>
    <row r="1480" spans="1:9" x14ac:dyDescent="0.25">
      <c r="A1480">
        <v>1736</v>
      </c>
      <c r="B1480" s="10" t="s">
        <v>3365</v>
      </c>
      <c r="C1480" s="10" t="s">
        <v>4849</v>
      </c>
      <c r="D1480" s="10">
        <v>7118</v>
      </c>
      <c r="E1480" s="10" t="s">
        <v>4861</v>
      </c>
      <c r="F1480" s="10" t="s">
        <v>2215</v>
      </c>
      <c r="G1480" s="10" t="s">
        <v>2537</v>
      </c>
      <c r="H1480" s="10" t="s">
        <v>3811</v>
      </c>
      <c r="I1480" s="10" t="s">
        <v>2368</v>
      </c>
    </row>
    <row r="1481" spans="1:9" x14ac:dyDescent="0.25">
      <c r="A1481">
        <v>1737</v>
      </c>
      <c r="B1481" s="10" t="s">
        <v>3365</v>
      </c>
      <c r="C1481" s="10" t="s">
        <v>4849</v>
      </c>
      <c r="D1481" s="10">
        <v>7119</v>
      </c>
      <c r="E1481" s="10" t="s">
        <v>4862</v>
      </c>
      <c r="F1481" s="10" t="s">
        <v>2215</v>
      </c>
      <c r="G1481" s="10" t="s">
        <v>2537</v>
      </c>
      <c r="H1481" s="10" t="s">
        <v>3811</v>
      </c>
      <c r="I1481" s="10" t="s">
        <v>2368</v>
      </c>
    </row>
    <row r="1482" spans="1:9" x14ac:dyDescent="0.25">
      <c r="A1482">
        <v>1738</v>
      </c>
      <c r="B1482" s="10" t="s">
        <v>3365</v>
      </c>
      <c r="C1482" s="10" t="s">
        <v>4849</v>
      </c>
      <c r="D1482" s="10">
        <v>7120</v>
      </c>
      <c r="E1482" s="10" t="s">
        <v>4863</v>
      </c>
      <c r="F1482" s="10" t="s">
        <v>2215</v>
      </c>
      <c r="G1482" s="10" t="s">
        <v>2537</v>
      </c>
      <c r="H1482" s="10" t="s">
        <v>3811</v>
      </c>
      <c r="I1482" s="10" t="s">
        <v>2368</v>
      </c>
    </row>
    <row r="1483" spans="1:9" x14ac:dyDescent="0.25">
      <c r="A1483">
        <v>1739</v>
      </c>
      <c r="B1483" s="10" t="s">
        <v>3365</v>
      </c>
      <c r="C1483" s="10" t="s">
        <v>4849</v>
      </c>
      <c r="D1483" s="10">
        <v>7121</v>
      </c>
      <c r="E1483" s="10" t="s">
        <v>4864</v>
      </c>
      <c r="F1483" s="10" t="s">
        <v>2215</v>
      </c>
      <c r="G1483" s="10" t="s">
        <v>2537</v>
      </c>
      <c r="H1483" s="10" t="s">
        <v>2264</v>
      </c>
      <c r="I1483" s="10" t="s">
        <v>2368</v>
      </c>
    </row>
    <row r="1484" spans="1:9" x14ac:dyDescent="0.25">
      <c r="A1484">
        <v>1740</v>
      </c>
      <c r="B1484" s="10" t="s">
        <v>3365</v>
      </c>
      <c r="C1484" s="10" t="s">
        <v>4849</v>
      </c>
      <c r="D1484" s="10">
        <v>7122</v>
      </c>
      <c r="E1484" s="10" t="s">
        <v>4865</v>
      </c>
      <c r="F1484" s="10" t="s">
        <v>2215</v>
      </c>
      <c r="G1484" s="10" t="s">
        <v>2537</v>
      </c>
      <c r="H1484" s="10" t="s">
        <v>3811</v>
      </c>
      <c r="I1484" s="10" t="s">
        <v>2368</v>
      </c>
    </row>
    <row r="1485" spans="1:9" x14ac:dyDescent="0.25">
      <c r="A1485">
        <v>1741</v>
      </c>
      <c r="B1485" s="10" t="s">
        <v>3365</v>
      </c>
      <c r="C1485" s="10" t="s">
        <v>4849</v>
      </c>
      <c r="D1485" s="10">
        <v>7123</v>
      </c>
      <c r="E1485" s="10" t="s">
        <v>4866</v>
      </c>
      <c r="F1485" s="10" t="s">
        <v>2333</v>
      </c>
      <c r="G1485" s="10" t="s">
        <v>2334</v>
      </c>
      <c r="H1485" s="10" t="s">
        <v>2244</v>
      </c>
      <c r="I1485" s="10" t="s">
        <v>2336</v>
      </c>
    </row>
    <row r="1486" spans="1:9" x14ac:dyDescent="0.25">
      <c r="A1486">
        <v>1742</v>
      </c>
      <c r="B1486" s="10" t="s">
        <v>3365</v>
      </c>
      <c r="C1486" s="10" t="s">
        <v>4849</v>
      </c>
      <c r="D1486" s="10">
        <v>7124</v>
      </c>
      <c r="E1486" s="10" t="s">
        <v>4867</v>
      </c>
      <c r="F1486" s="10" t="s">
        <v>2215</v>
      </c>
      <c r="G1486" s="10" t="s">
        <v>2537</v>
      </c>
      <c r="H1486" s="10" t="s">
        <v>3811</v>
      </c>
      <c r="I1486" s="10" t="s">
        <v>2368</v>
      </c>
    </row>
    <row r="1487" spans="1:9" x14ac:dyDescent="0.25">
      <c r="A1487">
        <v>1743</v>
      </c>
      <c r="B1487" s="10" t="s">
        <v>3365</v>
      </c>
      <c r="C1487" s="10" t="s">
        <v>4849</v>
      </c>
      <c r="D1487" s="10">
        <v>7125</v>
      </c>
      <c r="E1487" s="10" t="s">
        <v>4868</v>
      </c>
      <c r="F1487" s="10" t="s">
        <v>2215</v>
      </c>
      <c r="G1487" s="10" t="s">
        <v>2537</v>
      </c>
      <c r="H1487" s="10" t="s">
        <v>3811</v>
      </c>
      <c r="I1487" s="10" t="s">
        <v>2368</v>
      </c>
    </row>
    <row r="1488" spans="1:9" x14ac:dyDescent="0.25">
      <c r="A1488">
        <v>1744</v>
      </c>
      <c r="B1488" s="10" t="s">
        <v>3365</v>
      </c>
      <c r="C1488" s="10" t="s">
        <v>4849</v>
      </c>
      <c r="D1488" s="10">
        <v>7126</v>
      </c>
      <c r="E1488" s="10" t="s">
        <v>4869</v>
      </c>
      <c r="F1488" s="10" t="s">
        <v>2215</v>
      </c>
      <c r="G1488" s="10" t="s">
        <v>2537</v>
      </c>
      <c r="H1488" s="10" t="s">
        <v>3811</v>
      </c>
      <c r="I1488" s="10" t="s">
        <v>2368</v>
      </c>
    </row>
    <row r="1489" spans="1:9" x14ac:dyDescent="0.25">
      <c r="A1489">
        <v>1745</v>
      </c>
      <c r="B1489" s="10" t="s">
        <v>3365</v>
      </c>
      <c r="C1489" s="10" t="s">
        <v>4849</v>
      </c>
      <c r="D1489" s="10">
        <v>7128</v>
      </c>
      <c r="E1489" s="10" t="s">
        <v>4870</v>
      </c>
      <c r="F1489" s="10" t="s">
        <v>2528</v>
      </c>
      <c r="G1489" s="10" t="s">
        <v>2866</v>
      </c>
      <c r="H1489" s="10" t="s">
        <v>3253</v>
      </c>
      <c r="I1489" s="10" t="s">
        <v>2868</v>
      </c>
    </row>
    <row r="1490" spans="1:9" x14ac:dyDescent="0.25">
      <c r="A1490">
        <v>1746</v>
      </c>
      <c r="B1490" s="10" t="s">
        <v>3365</v>
      </c>
      <c r="C1490" s="10" t="s">
        <v>4849</v>
      </c>
      <c r="D1490" s="10">
        <v>7130</v>
      </c>
      <c r="E1490" s="10" t="s">
        <v>4871</v>
      </c>
      <c r="F1490" s="10" t="s">
        <v>2215</v>
      </c>
      <c r="G1490" s="10" t="s">
        <v>2537</v>
      </c>
      <c r="H1490" s="10" t="s">
        <v>3811</v>
      </c>
      <c r="I1490" s="10" t="s">
        <v>2368</v>
      </c>
    </row>
    <row r="1491" spans="1:9" x14ac:dyDescent="0.25">
      <c r="A1491">
        <v>1747</v>
      </c>
      <c r="B1491" s="10" t="s">
        <v>3365</v>
      </c>
      <c r="C1491" s="10" t="s">
        <v>4849</v>
      </c>
      <c r="D1491" s="10">
        <v>7132</v>
      </c>
      <c r="E1491" s="10" t="s">
        <v>4872</v>
      </c>
      <c r="F1491" s="10" t="s">
        <v>2215</v>
      </c>
      <c r="G1491" s="10" t="s">
        <v>2537</v>
      </c>
      <c r="H1491" s="10" t="s">
        <v>3811</v>
      </c>
      <c r="I1491" s="10" t="s">
        <v>2368</v>
      </c>
    </row>
    <row r="1492" spans="1:9" x14ac:dyDescent="0.25">
      <c r="A1492">
        <v>1748</v>
      </c>
      <c r="B1492" s="10" t="s">
        <v>3365</v>
      </c>
      <c r="C1492" s="10" t="s">
        <v>4849</v>
      </c>
      <c r="D1492" s="10">
        <v>7134</v>
      </c>
      <c r="E1492" s="10" t="s">
        <v>4873</v>
      </c>
      <c r="F1492" s="10" t="s">
        <v>2215</v>
      </c>
      <c r="G1492" s="10" t="s">
        <v>2537</v>
      </c>
      <c r="H1492" s="10" t="s">
        <v>3811</v>
      </c>
      <c r="I1492" s="10" t="s">
        <v>2368</v>
      </c>
    </row>
    <row r="1493" spans="1:9" x14ac:dyDescent="0.25">
      <c r="A1493">
        <v>1749</v>
      </c>
      <c r="B1493" s="10" t="s">
        <v>3365</v>
      </c>
      <c r="C1493" s="10" t="s">
        <v>4849</v>
      </c>
      <c r="D1493" s="10">
        <v>7137</v>
      </c>
      <c r="E1493" s="10" t="s">
        <v>4874</v>
      </c>
      <c r="F1493" s="10" t="s">
        <v>2215</v>
      </c>
      <c r="G1493" s="10" t="s">
        <v>2537</v>
      </c>
      <c r="H1493" s="10" t="s">
        <v>3811</v>
      </c>
      <c r="I1493" s="10" t="s">
        <v>2368</v>
      </c>
    </row>
    <row r="1494" spans="1:9" x14ac:dyDescent="0.25">
      <c r="A1494">
        <v>1750</v>
      </c>
      <c r="B1494" s="10" t="s">
        <v>3365</v>
      </c>
      <c r="C1494" s="10" t="s">
        <v>4849</v>
      </c>
      <c r="D1494" s="10">
        <v>7138</v>
      </c>
      <c r="E1494" s="10" t="s">
        <v>4875</v>
      </c>
      <c r="F1494" s="10" t="s">
        <v>2215</v>
      </c>
      <c r="G1494" s="10" t="s">
        <v>2537</v>
      </c>
      <c r="H1494" s="10" t="s">
        <v>3811</v>
      </c>
      <c r="I1494" s="10" t="s">
        <v>2368</v>
      </c>
    </row>
    <row r="1495" spans="1:9" x14ac:dyDescent="0.25">
      <c r="A1495">
        <v>1751</v>
      </c>
      <c r="B1495" s="10" t="s">
        <v>3365</v>
      </c>
      <c r="C1495" s="10" t="s">
        <v>4849</v>
      </c>
      <c r="D1495" s="10">
        <v>7139</v>
      </c>
      <c r="E1495" s="10" t="s">
        <v>4876</v>
      </c>
      <c r="F1495" s="10" t="s">
        <v>2215</v>
      </c>
      <c r="G1495" s="10" t="s">
        <v>2537</v>
      </c>
      <c r="H1495" s="10" t="s">
        <v>3811</v>
      </c>
      <c r="I1495" s="10" t="s">
        <v>2368</v>
      </c>
    </row>
    <row r="1496" spans="1:9" x14ac:dyDescent="0.25">
      <c r="A1496">
        <v>1752</v>
      </c>
      <c r="B1496" s="10" t="s">
        <v>3365</v>
      </c>
      <c r="C1496" s="10" t="s">
        <v>4849</v>
      </c>
      <c r="D1496" s="10">
        <v>7140</v>
      </c>
      <c r="E1496" s="10" t="s">
        <v>4877</v>
      </c>
      <c r="F1496" s="10" t="s">
        <v>2215</v>
      </c>
      <c r="G1496" s="10" t="s">
        <v>2537</v>
      </c>
      <c r="H1496" s="10" t="s">
        <v>3811</v>
      </c>
      <c r="I1496" s="10" t="s">
        <v>2368</v>
      </c>
    </row>
    <row r="1497" spans="1:9" x14ac:dyDescent="0.25">
      <c r="A1497">
        <v>1753</v>
      </c>
      <c r="B1497" s="10" t="s">
        <v>3365</v>
      </c>
      <c r="C1497" s="10" t="s">
        <v>4849</v>
      </c>
      <c r="D1497" s="10">
        <v>7141</v>
      </c>
      <c r="E1497" s="10" t="s">
        <v>4878</v>
      </c>
      <c r="F1497" s="10" t="s">
        <v>2215</v>
      </c>
      <c r="G1497" s="10" t="s">
        <v>2537</v>
      </c>
      <c r="H1497" s="10" t="s">
        <v>3811</v>
      </c>
      <c r="I1497" s="10" t="s">
        <v>2368</v>
      </c>
    </row>
    <row r="1498" spans="1:9" x14ac:dyDescent="0.25">
      <c r="A1498">
        <v>1754</v>
      </c>
      <c r="B1498" s="10" t="s">
        <v>3365</v>
      </c>
      <c r="C1498" s="10" t="s">
        <v>4849</v>
      </c>
      <c r="D1498" s="10">
        <v>7145</v>
      </c>
      <c r="E1498" s="10" t="s">
        <v>4879</v>
      </c>
      <c r="F1498" s="10" t="s">
        <v>2215</v>
      </c>
      <c r="G1498" s="10" t="s">
        <v>2537</v>
      </c>
      <c r="H1498" s="10" t="s">
        <v>3811</v>
      </c>
      <c r="I1498" s="10" t="s">
        <v>2368</v>
      </c>
    </row>
    <row r="1499" spans="1:9" x14ac:dyDescent="0.25">
      <c r="A1499">
        <v>1755</v>
      </c>
      <c r="B1499" s="10" t="s">
        <v>3365</v>
      </c>
      <c r="C1499" s="10" t="s">
        <v>4849</v>
      </c>
      <c r="D1499" s="10">
        <v>7146</v>
      </c>
      <c r="E1499" s="10" t="s">
        <v>4880</v>
      </c>
      <c r="F1499" s="10" t="s">
        <v>2215</v>
      </c>
      <c r="G1499" s="10" t="s">
        <v>2537</v>
      </c>
      <c r="H1499" s="10" t="s">
        <v>3811</v>
      </c>
      <c r="I1499" s="10" t="s">
        <v>2368</v>
      </c>
    </row>
    <row r="1500" spans="1:9" x14ac:dyDescent="0.25">
      <c r="A1500">
        <v>1756</v>
      </c>
      <c r="B1500" s="10" t="s">
        <v>3365</v>
      </c>
      <c r="C1500" s="10" t="s">
        <v>4849</v>
      </c>
      <c r="D1500" s="10">
        <v>7147</v>
      </c>
      <c r="E1500" s="10" t="s">
        <v>4881</v>
      </c>
      <c r="F1500" s="10" t="s">
        <v>2215</v>
      </c>
      <c r="G1500" s="10" t="s">
        <v>2537</v>
      </c>
      <c r="H1500" s="10" t="s">
        <v>3811</v>
      </c>
      <c r="I1500" s="10" t="s">
        <v>2368</v>
      </c>
    </row>
    <row r="1501" spans="1:9" x14ac:dyDescent="0.25">
      <c r="A1501">
        <v>1757</v>
      </c>
      <c r="B1501" s="10" t="s">
        <v>3365</v>
      </c>
      <c r="C1501" s="10" t="s">
        <v>4849</v>
      </c>
      <c r="D1501" s="10">
        <v>7148</v>
      </c>
      <c r="E1501" s="10" t="s">
        <v>4882</v>
      </c>
      <c r="F1501" s="10" t="s">
        <v>2215</v>
      </c>
      <c r="G1501" s="10" t="s">
        <v>2537</v>
      </c>
      <c r="H1501" s="10" t="s">
        <v>3811</v>
      </c>
      <c r="I1501" s="10" t="s">
        <v>2368</v>
      </c>
    </row>
    <row r="1502" spans="1:9" x14ac:dyDescent="0.25">
      <c r="A1502">
        <v>1758</v>
      </c>
      <c r="B1502" s="10" t="s">
        <v>3365</v>
      </c>
      <c r="C1502" s="10" t="s">
        <v>4849</v>
      </c>
      <c r="D1502" s="10">
        <v>7150</v>
      </c>
      <c r="E1502" s="10" t="s">
        <v>4883</v>
      </c>
      <c r="F1502" s="10" t="s">
        <v>2215</v>
      </c>
      <c r="G1502" s="10" t="s">
        <v>2537</v>
      </c>
      <c r="H1502" s="10" t="s">
        <v>3811</v>
      </c>
      <c r="I1502" s="10" t="s">
        <v>2368</v>
      </c>
    </row>
    <row r="1503" spans="1:9" x14ac:dyDescent="0.25">
      <c r="A1503">
        <v>1759</v>
      </c>
      <c r="B1503" s="10" t="s">
        <v>3365</v>
      </c>
      <c r="C1503" s="10" t="s">
        <v>4849</v>
      </c>
      <c r="D1503" s="10">
        <v>7153</v>
      </c>
      <c r="E1503" s="10" t="s">
        <v>4884</v>
      </c>
      <c r="F1503" s="10" t="s">
        <v>2215</v>
      </c>
      <c r="G1503" s="10" t="s">
        <v>2537</v>
      </c>
      <c r="H1503" s="10" t="s">
        <v>3811</v>
      </c>
      <c r="I1503" s="10" t="s">
        <v>2368</v>
      </c>
    </row>
    <row r="1504" spans="1:9" x14ac:dyDescent="0.25">
      <c r="A1504">
        <v>1760</v>
      </c>
      <c r="B1504" s="10" t="s">
        <v>3365</v>
      </c>
      <c r="C1504" s="10" t="s">
        <v>4849</v>
      </c>
      <c r="D1504" s="10">
        <v>7154</v>
      </c>
      <c r="E1504" s="10" t="s">
        <v>4885</v>
      </c>
      <c r="F1504" s="10" t="s">
        <v>2215</v>
      </c>
      <c r="G1504" s="10" t="s">
        <v>2537</v>
      </c>
      <c r="H1504" s="10" t="s">
        <v>3811</v>
      </c>
      <c r="I1504" s="10" t="s">
        <v>2368</v>
      </c>
    </row>
    <row r="1505" spans="1:9" x14ac:dyDescent="0.25">
      <c r="A1505">
        <v>1763</v>
      </c>
      <c r="B1505" s="10" t="s">
        <v>3365</v>
      </c>
      <c r="C1505" s="10" t="s">
        <v>4886</v>
      </c>
      <c r="D1505" s="10">
        <v>7155</v>
      </c>
      <c r="E1505" s="10" t="s">
        <v>4887</v>
      </c>
      <c r="F1505" s="10">
        <v>22.95</v>
      </c>
      <c r="G1505" s="10">
        <v>0.96</v>
      </c>
      <c r="H1505" s="10">
        <v>2.15</v>
      </c>
      <c r="I1505" s="10">
        <v>1.29</v>
      </c>
    </row>
    <row r="1506" spans="1:9" x14ac:dyDescent="0.25">
      <c r="A1506">
        <v>1764</v>
      </c>
      <c r="B1506" s="10" t="s">
        <v>3365</v>
      </c>
      <c r="C1506" s="10" t="s">
        <v>4886</v>
      </c>
      <c r="D1506" s="10">
        <v>7156</v>
      </c>
      <c r="E1506" s="10" t="s">
        <v>4888</v>
      </c>
      <c r="F1506" s="10">
        <v>22.95</v>
      </c>
      <c r="G1506" s="10">
        <v>0.96</v>
      </c>
      <c r="H1506" s="10">
        <v>2.15</v>
      </c>
      <c r="I1506" s="10">
        <v>1.29</v>
      </c>
    </row>
    <row r="1507" spans="1:9" x14ac:dyDescent="0.25">
      <c r="A1507">
        <v>1765</v>
      </c>
      <c r="B1507" s="10" t="s">
        <v>3365</v>
      </c>
      <c r="C1507" s="10" t="s">
        <v>4886</v>
      </c>
      <c r="D1507" s="10">
        <v>7157</v>
      </c>
      <c r="E1507" s="10" t="s">
        <v>4889</v>
      </c>
      <c r="F1507" s="10">
        <v>22.95</v>
      </c>
      <c r="G1507" s="10">
        <v>0.96</v>
      </c>
      <c r="H1507" s="10">
        <v>2.15</v>
      </c>
      <c r="I1507" s="10">
        <v>1.29</v>
      </c>
    </row>
    <row r="1508" spans="1:9" x14ac:dyDescent="0.25">
      <c r="A1508">
        <v>1766</v>
      </c>
      <c r="B1508" s="10" t="s">
        <v>3365</v>
      </c>
      <c r="C1508" s="10" t="s">
        <v>4886</v>
      </c>
      <c r="D1508" s="10">
        <v>7158</v>
      </c>
      <c r="E1508" s="10" t="s">
        <v>4890</v>
      </c>
      <c r="F1508" s="10">
        <v>22.95</v>
      </c>
      <c r="G1508" s="10">
        <v>0.96</v>
      </c>
      <c r="H1508" s="10">
        <v>2.15</v>
      </c>
      <c r="I1508" s="10">
        <v>1.29</v>
      </c>
    </row>
    <row r="1509" spans="1:9" x14ac:dyDescent="0.25">
      <c r="A1509">
        <v>1761</v>
      </c>
      <c r="B1509" s="10" t="s">
        <v>3365</v>
      </c>
      <c r="C1509" s="10" t="s">
        <v>4849</v>
      </c>
      <c r="D1509" s="10">
        <v>7164</v>
      </c>
      <c r="E1509" s="10" t="s">
        <v>4891</v>
      </c>
      <c r="F1509" s="10" t="s">
        <v>2215</v>
      </c>
      <c r="G1509" s="10" t="s">
        <v>2537</v>
      </c>
      <c r="H1509" s="10" t="s">
        <v>3811</v>
      </c>
      <c r="I1509" s="10" t="s">
        <v>2368</v>
      </c>
    </row>
    <row r="1510" spans="1:9" x14ac:dyDescent="0.25">
      <c r="A1510">
        <v>1762</v>
      </c>
      <c r="B1510" s="10" t="s">
        <v>3365</v>
      </c>
      <c r="C1510" s="10" t="s">
        <v>4849</v>
      </c>
      <c r="D1510" s="10">
        <v>7169</v>
      </c>
      <c r="E1510" s="10" t="s">
        <v>4892</v>
      </c>
      <c r="F1510" s="10" t="s">
        <v>2215</v>
      </c>
      <c r="G1510" s="10" t="s">
        <v>2537</v>
      </c>
      <c r="H1510" s="10" t="s">
        <v>3493</v>
      </c>
      <c r="I1510" s="10" t="s">
        <v>2368</v>
      </c>
    </row>
    <row r="1511" spans="1:9" x14ac:dyDescent="0.25">
      <c r="A1511">
        <v>719</v>
      </c>
      <c r="B1511" s="10" t="s">
        <v>4082</v>
      </c>
      <c r="C1511" s="10" t="s">
        <v>4083</v>
      </c>
      <c r="D1511" s="10">
        <v>7475</v>
      </c>
      <c r="E1511" s="10" t="s">
        <v>4893</v>
      </c>
      <c r="F1511" s="10" t="s">
        <v>3364</v>
      </c>
      <c r="G1511" s="10" t="s">
        <v>2273</v>
      </c>
      <c r="H1511" s="10" t="s">
        <v>2496</v>
      </c>
      <c r="I1511" s="10" t="s">
        <v>2241</v>
      </c>
    </row>
    <row r="1512" spans="1:9" x14ac:dyDescent="0.25">
      <c r="A1512">
        <v>720</v>
      </c>
      <c r="B1512" s="10" t="s">
        <v>4082</v>
      </c>
      <c r="C1512" s="10" t="s">
        <v>4083</v>
      </c>
      <c r="D1512" s="10">
        <v>7476</v>
      </c>
      <c r="E1512" s="10" t="s">
        <v>4894</v>
      </c>
      <c r="F1512" s="10" t="s">
        <v>2215</v>
      </c>
      <c r="G1512" s="10" t="s">
        <v>2537</v>
      </c>
      <c r="H1512" s="10" t="s">
        <v>2543</v>
      </c>
      <c r="I1512" s="10" t="s">
        <v>2241</v>
      </c>
    </row>
    <row r="1513" spans="1:9" x14ac:dyDescent="0.25">
      <c r="A1513">
        <v>1700</v>
      </c>
      <c r="B1513" s="10" t="s">
        <v>2593</v>
      </c>
      <c r="C1513" s="10" t="s">
        <v>2696</v>
      </c>
      <c r="D1513" s="10">
        <v>7607</v>
      </c>
      <c r="E1513" s="10" t="s">
        <v>4895</v>
      </c>
      <c r="F1513" s="10">
        <v>21.95</v>
      </c>
      <c r="G1513" s="10">
        <v>0.91</v>
      </c>
      <c r="H1513" s="10">
        <v>2.4300000000000002</v>
      </c>
      <c r="I1513" s="10">
        <v>1.29</v>
      </c>
    </row>
    <row r="1514" spans="1:9" x14ac:dyDescent="0.25">
      <c r="A1514">
        <v>1701</v>
      </c>
      <c r="B1514" s="10" t="s">
        <v>2593</v>
      </c>
      <c r="C1514" s="10" t="s">
        <v>2696</v>
      </c>
      <c r="D1514" s="10">
        <v>7608</v>
      </c>
      <c r="E1514" s="10" t="s">
        <v>4896</v>
      </c>
      <c r="F1514" s="10">
        <v>21.95</v>
      </c>
      <c r="G1514" s="10">
        <v>0.91</v>
      </c>
      <c r="H1514" s="10">
        <v>2.4300000000000002</v>
      </c>
      <c r="I1514" s="10">
        <v>1.29</v>
      </c>
    </row>
    <row r="1515" spans="1:9" x14ac:dyDescent="0.25">
      <c r="A1515">
        <v>1526</v>
      </c>
      <c r="B1515" s="10" t="s">
        <v>2671</v>
      </c>
      <c r="C1515" s="10" t="s">
        <v>3643</v>
      </c>
      <c r="D1515" s="10">
        <v>8407</v>
      </c>
      <c r="E1515" s="10" t="s">
        <v>4897</v>
      </c>
      <c r="F1515" s="10">
        <v>83.95</v>
      </c>
      <c r="G1515" s="11">
        <v>1.5</v>
      </c>
      <c r="H1515" s="10">
        <v>0</v>
      </c>
      <c r="I1515" s="10">
        <v>0</v>
      </c>
    </row>
    <row r="1516" spans="1:9" x14ac:dyDescent="0.25">
      <c r="A1516">
        <v>1527</v>
      </c>
      <c r="B1516" s="10" t="s">
        <v>2671</v>
      </c>
      <c r="C1516" s="10" t="s">
        <v>3643</v>
      </c>
      <c r="D1516" s="10">
        <v>8408</v>
      </c>
      <c r="E1516" s="10" t="s">
        <v>4898</v>
      </c>
      <c r="F1516" s="10">
        <v>83.95</v>
      </c>
      <c r="G1516" s="11">
        <v>3.5</v>
      </c>
      <c r="H1516" s="10">
        <v>0</v>
      </c>
      <c r="I1516" s="10">
        <v>0</v>
      </c>
    </row>
    <row r="1517" spans="1:9" x14ac:dyDescent="0.25">
      <c r="A1517">
        <v>1585</v>
      </c>
      <c r="B1517" s="10" t="s">
        <v>3875</v>
      </c>
      <c r="C1517" s="10" t="s">
        <v>4899</v>
      </c>
      <c r="D1517" s="10">
        <v>8440</v>
      </c>
      <c r="E1517" s="10" t="s">
        <v>4900</v>
      </c>
      <c r="F1517" s="10" t="s">
        <v>3013</v>
      </c>
      <c r="G1517" s="10" t="s">
        <v>2116</v>
      </c>
      <c r="H1517" s="10" t="s">
        <v>2499</v>
      </c>
      <c r="I1517" s="10" t="s">
        <v>2319</v>
      </c>
    </row>
    <row r="1518" spans="1:9" x14ac:dyDescent="0.25">
      <c r="A1518">
        <v>1586</v>
      </c>
      <c r="B1518" s="10" t="s">
        <v>3875</v>
      </c>
      <c r="C1518" s="10" t="s">
        <v>4899</v>
      </c>
      <c r="D1518" s="10">
        <v>8441</v>
      </c>
      <c r="E1518" s="10" t="s">
        <v>4901</v>
      </c>
      <c r="F1518" s="10" t="s">
        <v>3013</v>
      </c>
      <c r="G1518" s="10" t="s">
        <v>2116</v>
      </c>
      <c r="H1518" s="10" t="s">
        <v>2499</v>
      </c>
      <c r="I1518" s="10" t="s">
        <v>2319</v>
      </c>
    </row>
    <row r="1519" spans="1:9" x14ac:dyDescent="0.25">
      <c r="A1519">
        <v>1587</v>
      </c>
      <c r="B1519" s="10" t="s">
        <v>3875</v>
      </c>
      <c r="C1519" s="10" t="s">
        <v>4899</v>
      </c>
      <c r="D1519" s="10">
        <v>8442</v>
      </c>
      <c r="E1519" s="10" t="s">
        <v>4902</v>
      </c>
      <c r="F1519" s="10" t="s">
        <v>3013</v>
      </c>
      <c r="G1519" s="10" t="s">
        <v>2116</v>
      </c>
      <c r="H1519" s="10" t="s">
        <v>2499</v>
      </c>
      <c r="I1519" s="10" t="s">
        <v>2319</v>
      </c>
    </row>
    <row r="1520" spans="1:9" x14ac:dyDescent="0.25">
      <c r="A1520">
        <v>1421</v>
      </c>
      <c r="B1520" s="10" t="s">
        <v>2944</v>
      </c>
      <c r="C1520" s="10" t="s">
        <v>3054</v>
      </c>
      <c r="D1520" s="10">
        <v>8453</v>
      </c>
      <c r="E1520" s="10" t="s">
        <v>4903</v>
      </c>
      <c r="F1520" s="10" t="s">
        <v>4904</v>
      </c>
      <c r="G1520" s="10" t="s">
        <v>3066</v>
      </c>
      <c r="H1520" s="10" t="s">
        <v>2583</v>
      </c>
      <c r="I1520" s="10" t="s">
        <v>2276</v>
      </c>
    </row>
    <row r="1521" spans="1:9" x14ac:dyDescent="0.25">
      <c r="A1521">
        <v>1460</v>
      </c>
      <c r="B1521" s="10" t="s">
        <v>2944</v>
      </c>
      <c r="C1521" s="10" t="s">
        <v>2945</v>
      </c>
      <c r="D1521" s="10">
        <v>8454</v>
      </c>
      <c r="E1521" s="10" t="s">
        <v>4905</v>
      </c>
      <c r="F1521" s="10" t="s">
        <v>3141</v>
      </c>
      <c r="G1521" s="10" t="s">
        <v>2948</v>
      </c>
      <c r="H1521" s="10" t="s">
        <v>2949</v>
      </c>
      <c r="I1521" s="10" t="s">
        <v>2329</v>
      </c>
    </row>
    <row r="1522" spans="1:9" x14ac:dyDescent="0.25">
      <c r="A1522">
        <v>1543</v>
      </c>
      <c r="B1522" s="10" t="s">
        <v>2671</v>
      </c>
      <c r="C1522" s="10" t="s">
        <v>2944</v>
      </c>
      <c r="D1522" s="10">
        <v>8455</v>
      </c>
      <c r="E1522" s="10" t="s">
        <v>4906</v>
      </c>
      <c r="F1522" s="10" t="s">
        <v>4907</v>
      </c>
      <c r="G1522" s="10" t="s">
        <v>4908</v>
      </c>
      <c r="H1522" s="10" t="s">
        <v>2955</v>
      </c>
      <c r="I1522" s="10" t="s">
        <v>2205</v>
      </c>
    </row>
    <row r="1523" spans="1:9" x14ac:dyDescent="0.25">
      <c r="A1523">
        <v>41</v>
      </c>
      <c r="B1523" s="10" t="s">
        <v>2518</v>
      </c>
      <c r="C1523" s="10" t="s">
        <v>2548</v>
      </c>
      <c r="D1523" s="10">
        <v>8466</v>
      </c>
      <c r="E1523" s="10" t="s">
        <v>4909</v>
      </c>
      <c r="F1523" s="10" t="s">
        <v>2712</v>
      </c>
      <c r="G1523" s="10" t="s">
        <v>2706</v>
      </c>
      <c r="H1523" s="10" t="s">
        <v>2660</v>
      </c>
      <c r="I1523" s="10" t="s">
        <v>2707</v>
      </c>
    </row>
    <row r="1524" spans="1:9" x14ac:dyDescent="0.25">
      <c r="A1524">
        <v>42</v>
      </c>
      <c r="B1524" s="10" t="s">
        <v>2518</v>
      </c>
      <c r="C1524" s="10" t="s">
        <v>2548</v>
      </c>
      <c r="D1524" s="10">
        <v>8467</v>
      </c>
      <c r="E1524" s="10" t="s">
        <v>4910</v>
      </c>
      <c r="F1524" s="10" t="s">
        <v>2712</v>
      </c>
      <c r="G1524" s="10" t="s">
        <v>2706</v>
      </c>
      <c r="H1524" s="10" t="s">
        <v>2660</v>
      </c>
      <c r="I1524" s="10" t="s">
        <v>2707</v>
      </c>
    </row>
    <row r="1525" spans="1:9" x14ac:dyDescent="0.25">
      <c r="A1525">
        <v>43</v>
      </c>
      <c r="B1525" s="10" t="s">
        <v>2518</v>
      </c>
      <c r="C1525" s="10" t="s">
        <v>2548</v>
      </c>
      <c r="D1525" s="10">
        <v>8468</v>
      </c>
      <c r="E1525" s="10" t="s">
        <v>4911</v>
      </c>
      <c r="F1525" s="10" t="s">
        <v>2712</v>
      </c>
      <c r="G1525" s="10" t="s">
        <v>2706</v>
      </c>
      <c r="H1525" s="10" t="s">
        <v>2660</v>
      </c>
      <c r="I1525" s="10" t="s">
        <v>2707</v>
      </c>
    </row>
    <row r="1526" spans="1:9" x14ac:dyDescent="0.25">
      <c r="A1526">
        <v>44</v>
      </c>
      <c r="B1526" s="10" t="s">
        <v>2518</v>
      </c>
      <c r="C1526" s="10" t="s">
        <v>2548</v>
      </c>
      <c r="D1526" s="10">
        <v>8469</v>
      </c>
      <c r="E1526" s="10" t="s">
        <v>4912</v>
      </c>
      <c r="F1526" s="10" t="s">
        <v>2712</v>
      </c>
      <c r="G1526" s="10" t="s">
        <v>2706</v>
      </c>
      <c r="H1526" s="10" t="s">
        <v>2660</v>
      </c>
      <c r="I1526" s="10" t="s">
        <v>2707</v>
      </c>
    </row>
    <row r="1527" spans="1:9" x14ac:dyDescent="0.25">
      <c r="A1527">
        <v>599</v>
      </c>
      <c r="B1527" s="10" t="s">
        <v>3258</v>
      </c>
      <c r="C1527" s="10" t="s">
        <v>3930</v>
      </c>
      <c r="D1527" s="10">
        <v>8487</v>
      </c>
      <c r="E1527" s="10" t="s">
        <v>4913</v>
      </c>
      <c r="F1527" s="10">
        <v>1701.95</v>
      </c>
      <c r="G1527" s="10">
        <v>4.05</v>
      </c>
      <c r="H1527" s="10">
        <v>0</v>
      </c>
      <c r="I1527" s="10">
        <v>0</v>
      </c>
    </row>
    <row r="1528" spans="1:9" x14ac:dyDescent="0.25">
      <c r="A1528">
        <v>753</v>
      </c>
      <c r="B1528" s="10" t="s">
        <v>2633</v>
      </c>
      <c r="C1528" s="10" t="s">
        <v>4156</v>
      </c>
      <c r="D1528" s="10">
        <v>8491</v>
      </c>
      <c r="E1528" s="10" t="s">
        <v>4914</v>
      </c>
      <c r="F1528" s="10">
        <v>478.95</v>
      </c>
      <c r="G1528" s="10">
        <v>0.62</v>
      </c>
      <c r="H1528" s="10">
        <v>3.38</v>
      </c>
      <c r="I1528" s="10" t="s">
        <v>4216</v>
      </c>
    </row>
    <row r="1529" spans="1:9" x14ac:dyDescent="0.25">
      <c r="A1529">
        <v>519</v>
      </c>
      <c r="B1529" s="10" t="s">
        <v>2622</v>
      </c>
      <c r="C1529" s="10" t="s">
        <v>3780</v>
      </c>
      <c r="D1529" s="10">
        <v>8492</v>
      </c>
      <c r="E1529" s="10" t="s">
        <v>4915</v>
      </c>
      <c r="F1529" s="10">
        <v>1380.7</v>
      </c>
      <c r="G1529" s="10">
        <v>2.21</v>
      </c>
      <c r="H1529" s="10">
        <v>0</v>
      </c>
      <c r="I1529" s="10">
        <v>0</v>
      </c>
    </row>
    <row r="1530" spans="1:9" x14ac:dyDescent="0.25">
      <c r="A1530">
        <v>167</v>
      </c>
      <c r="B1530" s="10" t="s">
        <v>2518</v>
      </c>
      <c r="C1530" s="10" t="s">
        <v>3482</v>
      </c>
      <c r="D1530" s="10">
        <v>8495</v>
      </c>
      <c r="E1530" s="10" t="s">
        <v>4916</v>
      </c>
      <c r="F1530" s="10" t="s">
        <v>4917</v>
      </c>
      <c r="G1530" s="10" t="s">
        <v>4013</v>
      </c>
      <c r="H1530" s="10" t="s">
        <v>3532</v>
      </c>
      <c r="I1530" s="10" t="s">
        <v>2425</v>
      </c>
    </row>
    <row r="1531" spans="1:9" x14ac:dyDescent="0.25">
      <c r="A1531">
        <v>168</v>
      </c>
      <c r="B1531" s="10" t="s">
        <v>2518</v>
      </c>
      <c r="C1531" s="10" t="s">
        <v>3482</v>
      </c>
      <c r="D1531" s="10">
        <v>8496</v>
      </c>
      <c r="E1531" s="10" t="s">
        <v>4918</v>
      </c>
      <c r="F1531" s="10" t="s">
        <v>4917</v>
      </c>
      <c r="G1531" s="10" t="s">
        <v>4013</v>
      </c>
      <c r="H1531" s="10" t="s">
        <v>3532</v>
      </c>
      <c r="I1531" s="10" t="s">
        <v>2425</v>
      </c>
    </row>
    <row r="1532" spans="1:9" x14ac:dyDescent="0.25">
      <c r="A1532">
        <v>169</v>
      </c>
      <c r="B1532" s="10" t="s">
        <v>2518</v>
      </c>
      <c r="C1532" s="10" t="s">
        <v>3482</v>
      </c>
      <c r="D1532" s="10">
        <v>8518</v>
      </c>
      <c r="E1532" s="10" t="s">
        <v>4919</v>
      </c>
      <c r="F1532" s="10" t="s">
        <v>3384</v>
      </c>
      <c r="G1532" s="10" t="s">
        <v>4920</v>
      </c>
      <c r="H1532" s="10" t="s">
        <v>2680</v>
      </c>
      <c r="I1532" s="10" t="s">
        <v>2263</v>
      </c>
    </row>
    <row r="1533" spans="1:9" x14ac:dyDescent="0.25">
      <c r="A1533">
        <v>170</v>
      </c>
      <c r="B1533" s="10" t="s">
        <v>2518</v>
      </c>
      <c r="C1533" s="10" t="s">
        <v>3482</v>
      </c>
      <c r="D1533" s="10">
        <v>8519</v>
      </c>
      <c r="E1533" s="10" t="s">
        <v>4921</v>
      </c>
      <c r="F1533" s="10" t="s">
        <v>4922</v>
      </c>
      <c r="G1533" s="10" t="s">
        <v>2250</v>
      </c>
      <c r="H1533" s="10" t="s">
        <v>4923</v>
      </c>
      <c r="I1533" s="10" t="s">
        <v>2477</v>
      </c>
    </row>
    <row r="1534" spans="1:9" x14ac:dyDescent="0.25">
      <c r="A1534">
        <v>171</v>
      </c>
      <c r="B1534" s="10" t="s">
        <v>2518</v>
      </c>
      <c r="C1534" s="10" t="s">
        <v>3482</v>
      </c>
      <c r="D1534" s="10">
        <v>8520</v>
      </c>
      <c r="E1534" s="10" t="s">
        <v>4924</v>
      </c>
      <c r="F1534" s="10" t="s">
        <v>3384</v>
      </c>
      <c r="G1534" s="10" t="s">
        <v>4920</v>
      </c>
      <c r="H1534" s="10" t="s">
        <v>2680</v>
      </c>
      <c r="I1534" s="10" t="s">
        <v>2263</v>
      </c>
    </row>
    <row r="1535" spans="1:9" x14ac:dyDescent="0.25">
      <c r="A1535">
        <v>172</v>
      </c>
      <c r="B1535" s="10" t="s">
        <v>2518</v>
      </c>
      <c r="C1535" s="10" t="s">
        <v>3482</v>
      </c>
      <c r="D1535" s="10">
        <v>8521</v>
      </c>
      <c r="E1535" s="10" t="s">
        <v>4925</v>
      </c>
      <c r="F1535" s="10" t="s">
        <v>4922</v>
      </c>
      <c r="G1535" s="10" t="s">
        <v>2250</v>
      </c>
      <c r="H1535" s="10" t="s">
        <v>4923</v>
      </c>
      <c r="I1535" s="10" t="s">
        <v>2477</v>
      </c>
    </row>
    <row r="1536" spans="1:9" x14ac:dyDescent="0.25">
      <c r="A1536">
        <v>384</v>
      </c>
      <c r="B1536" s="10" t="s">
        <v>2685</v>
      </c>
      <c r="C1536" s="10" t="s">
        <v>4926</v>
      </c>
      <c r="D1536" s="10">
        <v>8801</v>
      </c>
      <c r="E1536" s="10" t="s">
        <v>4927</v>
      </c>
      <c r="F1536" s="10" t="s">
        <v>2365</v>
      </c>
      <c r="G1536" s="10" t="s">
        <v>2849</v>
      </c>
      <c r="H1536" s="10" t="s">
        <v>3343</v>
      </c>
      <c r="I1536" s="10" t="s">
        <v>2850</v>
      </c>
    </row>
    <row r="1537" spans="1:9" x14ac:dyDescent="0.25">
      <c r="A1537">
        <v>385</v>
      </c>
      <c r="B1537" s="10" t="s">
        <v>2685</v>
      </c>
      <c r="C1537" s="10" t="s">
        <v>4926</v>
      </c>
      <c r="D1537" s="10">
        <v>8802</v>
      </c>
      <c r="E1537" s="10" t="s">
        <v>4928</v>
      </c>
      <c r="F1537" s="10" t="s">
        <v>2365</v>
      </c>
      <c r="G1537" s="10" t="s">
        <v>2849</v>
      </c>
      <c r="H1537" s="10" t="s">
        <v>3343</v>
      </c>
      <c r="I1537" s="10" t="s">
        <v>2850</v>
      </c>
    </row>
    <row r="1538" spans="1:9" x14ac:dyDescent="0.25">
      <c r="A1538">
        <v>484</v>
      </c>
      <c r="B1538" s="10" t="s">
        <v>4463</v>
      </c>
      <c r="C1538" s="10" t="s">
        <v>4929</v>
      </c>
      <c r="D1538" s="10">
        <v>8872</v>
      </c>
      <c r="E1538" s="10" t="s">
        <v>4930</v>
      </c>
      <c r="F1538" s="10" t="s">
        <v>2602</v>
      </c>
      <c r="G1538" s="10" t="s">
        <v>2603</v>
      </c>
      <c r="H1538" s="10" t="s">
        <v>4931</v>
      </c>
      <c r="I1538" s="10" t="s">
        <v>2374</v>
      </c>
    </row>
    <row r="1539" spans="1:9" x14ac:dyDescent="0.25">
      <c r="A1539">
        <v>485</v>
      </c>
      <c r="B1539" s="10" t="s">
        <v>4463</v>
      </c>
      <c r="C1539" s="10" t="s">
        <v>4929</v>
      </c>
      <c r="D1539" s="10">
        <v>8873</v>
      </c>
      <c r="E1539" s="10" t="s">
        <v>4932</v>
      </c>
      <c r="F1539" s="10" t="s">
        <v>2602</v>
      </c>
      <c r="G1539" s="10" t="s">
        <v>2603</v>
      </c>
      <c r="H1539" s="10" t="s">
        <v>4275</v>
      </c>
      <c r="I1539" s="10" t="s">
        <v>2374</v>
      </c>
    </row>
    <row r="1540" spans="1:9" x14ac:dyDescent="0.25">
      <c r="A1540">
        <v>486</v>
      </c>
      <c r="B1540" s="10" t="s">
        <v>4463</v>
      </c>
      <c r="C1540" s="10" t="s">
        <v>4929</v>
      </c>
      <c r="D1540" s="10">
        <v>8874</v>
      </c>
      <c r="E1540" s="10" t="s">
        <v>4933</v>
      </c>
      <c r="F1540" s="10" t="s">
        <v>2602</v>
      </c>
      <c r="G1540" s="10" t="s">
        <v>2603</v>
      </c>
      <c r="H1540" s="10" t="s">
        <v>4931</v>
      </c>
      <c r="I1540" s="10" t="s">
        <v>2374</v>
      </c>
    </row>
    <row r="1541" spans="1:9" x14ac:dyDescent="0.25">
      <c r="A1541">
        <v>383</v>
      </c>
      <c r="B1541" s="10" t="s">
        <v>2685</v>
      </c>
      <c r="C1541" s="10" t="s">
        <v>4744</v>
      </c>
      <c r="D1541" s="10">
        <v>8977</v>
      </c>
      <c r="E1541" s="10" t="s">
        <v>4934</v>
      </c>
      <c r="F1541" s="10" t="s">
        <v>2365</v>
      </c>
      <c r="G1541" s="10" t="s">
        <v>2849</v>
      </c>
      <c r="H1541" s="10" t="s">
        <v>3868</v>
      </c>
      <c r="I1541" s="10" t="s">
        <v>2850</v>
      </c>
    </row>
    <row r="1542" spans="1:9" x14ac:dyDescent="0.25">
      <c r="A1542">
        <v>800</v>
      </c>
      <c r="B1542" s="10" t="s">
        <v>4316</v>
      </c>
      <c r="C1542" s="10" t="s">
        <v>4935</v>
      </c>
      <c r="D1542" s="10">
        <v>8985</v>
      </c>
      <c r="E1542" s="10" t="s">
        <v>4936</v>
      </c>
      <c r="F1542" s="10" t="s">
        <v>3954</v>
      </c>
      <c r="G1542" s="10" t="s">
        <v>2310</v>
      </c>
      <c r="H1542" s="10" t="s">
        <v>3433</v>
      </c>
      <c r="I1542" s="10" t="s">
        <v>2241</v>
      </c>
    </row>
    <row r="1543" spans="1:9" x14ac:dyDescent="0.25">
      <c r="A1543">
        <v>801</v>
      </c>
      <c r="B1543" s="10" t="s">
        <v>4316</v>
      </c>
      <c r="C1543" s="10" t="s">
        <v>4935</v>
      </c>
      <c r="D1543" s="10">
        <v>9003</v>
      </c>
      <c r="E1543" s="10" t="s">
        <v>4937</v>
      </c>
      <c r="F1543" s="10" t="s">
        <v>2690</v>
      </c>
      <c r="G1543" s="10" t="s">
        <v>2691</v>
      </c>
      <c r="H1543" s="10" t="s">
        <v>3253</v>
      </c>
      <c r="I1543" s="10" t="s">
        <v>2319</v>
      </c>
    </row>
    <row r="1544" spans="1:9" x14ac:dyDescent="0.25">
      <c r="A1544">
        <v>802</v>
      </c>
      <c r="B1544" s="10" t="s">
        <v>4316</v>
      </c>
      <c r="C1544" s="10" t="s">
        <v>4935</v>
      </c>
      <c r="D1544" s="10">
        <v>9004</v>
      </c>
      <c r="E1544" s="10" t="s">
        <v>4938</v>
      </c>
      <c r="F1544" s="10" t="s">
        <v>2228</v>
      </c>
      <c r="G1544" s="10" t="s">
        <v>2229</v>
      </c>
      <c r="H1544" s="10" t="s">
        <v>4327</v>
      </c>
      <c r="I1544" s="10" t="s">
        <v>3353</v>
      </c>
    </row>
    <row r="1545" spans="1:9" x14ac:dyDescent="0.25">
      <c r="A1545">
        <v>803</v>
      </c>
      <c r="B1545" s="10" t="s">
        <v>4316</v>
      </c>
      <c r="C1545" s="10" t="s">
        <v>4935</v>
      </c>
      <c r="D1545" s="10">
        <v>9005</v>
      </c>
      <c r="E1545" s="10" t="s">
        <v>4939</v>
      </c>
      <c r="F1545" s="10" t="s">
        <v>2333</v>
      </c>
      <c r="G1545" s="10" t="s">
        <v>2334</v>
      </c>
      <c r="H1545" s="10" t="s">
        <v>4752</v>
      </c>
      <c r="I1545" s="10" t="s">
        <v>2246</v>
      </c>
    </row>
    <row r="1546" spans="1:9" x14ac:dyDescent="0.25">
      <c r="A1546">
        <v>804</v>
      </c>
      <c r="B1546" s="10" t="s">
        <v>4316</v>
      </c>
      <c r="C1546" s="10" t="s">
        <v>4935</v>
      </c>
      <c r="D1546" s="10">
        <v>9006</v>
      </c>
      <c r="E1546" s="10" t="s">
        <v>4940</v>
      </c>
      <c r="F1546" s="10" t="s">
        <v>2645</v>
      </c>
      <c r="G1546" s="10" t="s">
        <v>2646</v>
      </c>
      <c r="H1546" s="10" t="s">
        <v>4941</v>
      </c>
      <c r="I1546" s="10" t="s">
        <v>2287</v>
      </c>
    </row>
    <row r="1547" spans="1:9" x14ac:dyDescent="0.25">
      <c r="A1547">
        <v>805</v>
      </c>
      <c r="B1547" s="10" t="s">
        <v>4316</v>
      </c>
      <c r="C1547" s="10" t="s">
        <v>4935</v>
      </c>
      <c r="D1547" s="10">
        <v>9007</v>
      </c>
      <c r="E1547" s="10" t="s">
        <v>4942</v>
      </c>
      <c r="F1547" s="10" t="s">
        <v>3287</v>
      </c>
      <c r="G1547" s="10" t="s">
        <v>4121</v>
      </c>
      <c r="H1547" s="10" t="s">
        <v>4943</v>
      </c>
      <c r="I1547" s="10" t="s">
        <v>3619</v>
      </c>
    </row>
    <row r="1548" spans="1:9" x14ac:dyDescent="0.25">
      <c r="A1548">
        <v>806</v>
      </c>
      <c r="B1548" s="10" t="s">
        <v>4316</v>
      </c>
      <c r="C1548" s="10" t="s">
        <v>4935</v>
      </c>
      <c r="D1548" s="10">
        <v>9008</v>
      </c>
      <c r="E1548" s="10" t="s">
        <v>4944</v>
      </c>
      <c r="F1548" s="10" t="s">
        <v>2690</v>
      </c>
      <c r="G1548" s="10" t="s">
        <v>2691</v>
      </c>
      <c r="H1548" s="10" t="s">
        <v>3047</v>
      </c>
      <c r="I1548" s="10" t="s">
        <v>2319</v>
      </c>
    </row>
    <row r="1549" spans="1:9" x14ac:dyDescent="0.25">
      <c r="A1549">
        <v>815</v>
      </c>
      <c r="B1549" s="10" t="s">
        <v>4316</v>
      </c>
      <c r="C1549" s="10" t="s">
        <v>2678</v>
      </c>
      <c r="D1549" s="10">
        <v>9009</v>
      </c>
      <c r="E1549" s="10" t="s">
        <v>4945</v>
      </c>
      <c r="F1549" s="10" t="s">
        <v>2365</v>
      </c>
      <c r="G1549" s="10" t="s">
        <v>2849</v>
      </c>
      <c r="H1549" s="10" t="s">
        <v>4946</v>
      </c>
      <c r="I1549" s="10" t="s">
        <v>2707</v>
      </c>
    </row>
    <row r="1550" spans="1:9" x14ac:dyDescent="0.25">
      <c r="A1550">
        <v>816</v>
      </c>
      <c r="B1550" s="10" t="s">
        <v>4316</v>
      </c>
      <c r="C1550" s="10" t="s">
        <v>2678</v>
      </c>
      <c r="D1550" s="10">
        <v>9010</v>
      </c>
      <c r="E1550" s="10" t="s">
        <v>4947</v>
      </c>
      <c r="F1550" s="10" t="s">
        <v>2446</v>
      </c>
      <c r="G1550" s="10" t="s">
        <v>2377</v>
      </c>
      <c r="H1550" s="10" t="s">
        <v>3295</v>
      </c>
      <c r="I1550" s="10" t="s">
        <v>2218</v>
      </c>
    </row>
    <row r="1551" spans="1:9" x14ac:dyDescent="0.25">
      <c r="A1551">
        <v>817</v>
      </c>
      <c r="B1551" s="10" t="s">
        <v>4316</v>
      </c>
      <c r="C1551" s="10" t="s">
        <v>2678</v>
      </c>
      <c r="D1551" s="10">
        <v>9011</v>
      </c>
      <c r="E1551" s="10" t="s">
        <v>4948</v>
      </c>
      <c r="F1551" s="10" t="s">
        <v>2365</v>
      </c>
      <c r="G1551" s="10" t="s">
        <v>2849</v>
      </c>
      <c r="H1551" s="10" t="s">
        <v>4946</v>
      </c>
      <c r="I1551" s="10" t="s">
        <v>2707</v>
      </c>
    </row>
    <row r="1552" spans="1:9" x14ac:dyDescent="0.25">
      <c r="A1552">
        <v>1102</v>
      </c>
      <c r="B1552" s="10" t="s">
        <v>4949</v>
      </c>
      <c r="C1552" s="10" t="s">
        <v>4950</v>
      </c>
      <c r="D1552" s="10">
        <v>9012</v>
      </c>
      <c r="E1552" s="10" t="s">
        <v>4951</v>
      </c>
      <c r="F1552" s="10" t="s">
        <v>4952</v>
      </c>
      <c r="G1552" s="10" t="s">
        <v>2631</v>
      </c>
      <c r="H1552" s="10" t="s">
        <v>3318</v>
      </c>
      <c r="I1552" s="10" t="s">
        <v>3319</v>
      </c>
    </row>
    <row r="1553" spans="1:9" x14ac:dyDescent="0.25">
      <c r="A1553">
        <v>1041</v>
      </c>
      <c r="B1553" s="10" t="s">
        <v>4949</v>
      </c>
      <c r="C1553" s="10" t="s">
        <v>4953</v>
      </c>
      <c r="D1553" s="10">
        <v>9013</v>
      </c>
      <c r="E1553" s="10" t="s">
        <v>4954</v>
      </c>
      <c r="F1553" s="10" t="s">
        <v>4952</v>
      </c>
      <c r="G1553" s="10" t="s">
        <v>2631</v>
      </c>
      <c r="H1553" s="10" t="s">
        <v>2894</v>
      </c>
      <c r="I1553" s="10" t="s">
        <v>2167</v>
      </c>
    </row>
    <row r="1554" spans="1:9" x14ac:dyDescent="0.25">
      <c r="A1554">
        <v>1042</v>
      </c>
      <c r="B1554" s="10" t="s">
        <v>4949</v>
      </c>
      <c r="C1554" s="10" t="s">
        <v>4953</v>
      </c>
      <c r="D1554" s="10">
        <v>9014</v>
      </c>
      <c r="E1554" s="10" t="s">
        <v>4955</v>
      </c>
      <c r="F1554" s="10" t="s">
        <v>4952</v>
      </c>
      <c r="G1554" s="10" t="s">
        <v>2631</v>
      </c>
      <c r="H1554" s="10" t="s">
        <v>2894</v>
      </c>
      <c r="I1554" s="10" t="s">
        <v>2167</v>
      </c>
    </row>
    <row r="1555" spans="1:9" x14ac:dyDescent="0.25">
      <c r="A1555">
        <v>1043</v>
      </c>
      <c r="B1555" s="10" t="s">
        <v>4949</v>
      </c>
      <c r="C1555" s="10" t="s">
        <v>4953</v>
      </c>
      <c r="D1555" s="10">
        <v>9015</v>
      </c>
      <c r="E1555" s="10" t="s">
        <v>4956</v>
      </c>
      <c r="F1555" s="10" t="s">
        <v>4952</v>
      </c>
      <c r="G1555" s="10" t="s">
        <v>2631</v>
      </c>
      <c r="H1555" s="10" t="s">
        <v>2894</v>
      </c>
      <c r="I1555" s="10" t="s">
        <v>2167</v>
      </c>
    </row>
    <row r="1556" spans="1:9" x14ac:dyDescent="0.25">
      <c r="A1556">
        <v>1103</v>
      </c>
      <c r="B1556" s="10" t="s">
        <v>4949</v>
      </c>
      <c r="C1556" s="10" t="s">
        <v>4950</v>
      </c>
      <c r="D1556" s="10">
        <v>9016</v>
      </c>
      <c r="E1556" s="10" t="s">
        <v>4957</v>
      </c>
      <c r="F1556" s="10" t="s">
        <v>2294</v>
      </c>
      <c r="G1556" s="10" t="s">
        <v>4958</v>
      </c>
      <c r="H1556" s="10" t="s">
        <v>3648</v>
      </c>
      <c r="I1556" s="10" t="s">
        <v>2251</v>
      </c>
    </row>
    <row r="1557" spans="1:9" x14ac:dyDescent="0.25">
      <c r="A1557">
        <v>807</v>
      </c>
      <c r="B1557" s="10" t="s">
        <v>4316</v>
      </c>
      <c r="C1557" s="10" t="s">
        <v>4935</v>
      </c>
      <c r="D1557" s="10">
        <v>9023</v>
      </c>
      <c r="E1557" s="10" t="s">
        <v>4959</v>
      </c>
      <c r="F1557" s="10" t="s">
        <v>3287</v>
      </c>
      <c r="G1557" s="10" t="s">
        <v>4121</v>
      </c>
      <c r="H1557" s="10" t="s">
        <v>4960</v>
      </c>
      <c r="I1557" s="10" t="s">
        <v>3619</v>
      </c>
    </row>
    <row r="1558" spans="1:9" x14ac:dyDescent="0.25">
      <c r="A1558">
        <v>1011</v>
      </c>
      <c r="B1558" s="10" t="s">
        <v>4961</v>
      </c>
      <c r="C1558" s="10" t="s">
        <v>4962</v>
      </c>
      <c r="D1558" s="10">
        <v>9024</v>
      </c>
      <c r="E1558" s="10" t="s">
        <v>4963</v>
      </c>
      <c r="F1558" s="10" t="s">
        <v>3448</v>
      </c>
      <c r="G1558" s="10" t="s">
        <v>4964</v>
      </c>
      <c r="H1558" s="10" t="s">
        <v>3734</v>
      </c>
      <c r="I1558" s="10" t="s">
        <v>4965</v>
      </c>
    </row>
    <row r="1559" spans="1:9" x14ac:dyDescent="0.25">
      <c r="A1559">
        <v>1012</v>
      </c>
      <c r="B1559" s="10" t="s">
        <v>4961</v>
      </c>
      <c r="C1559" s="10" t="s">
        <v>4962</v>
      </c>
      <c r="D1559" s="10">
        <v>9026</v>
      </c>
      <c r="E1559" s="10" t="s">
        <v>4966</v>
      </c>
      <c r="F1559" s="10" t="s">
        <v>2253</v>
      </c>
      <c r="G1559" s="10" t="s">
        <v>2254</v>
      </c>
      <c r="H1559" s="10" t="s">
        <v>3144</v>
      </c>
      <c r="I1559" s="10" t="s">
        <v>4967</v>
      </c>
    </row>
    <row r="1560" spans="1:9" x14ac:dyDescent="0.25">
      <c r="A1560">
        <v>1044</v>
      </c>
      <c r="B1560" s="10" t="s">
        <v>4949</v>
      </c>
      <c r="C1560" s="10" t="s">
        <v>4953</v>
      </c>
      <c r="D1560" s="10">
        <v>9027</v>
      </c>
      <c r="E1560" s="10" t="s">
        <v>4968</v>
      </c>
      <c r="F1560" s="10" t="s">
        <v>2625</v>
      </c>
      <c r="G1560" s="10" t="s">
        <v>4708</v>
      </c>
      <c r="H1560" s="10" t="s">
        <v>2511</v>
      </c>
      <c r="I1560" s="10" t="s">
        <v>2182</v>
      </c>
    </row>
    <row r="1561" spans="1:9" x14ac:dyDescent="0.25">
      <c r="A1561">
        <v>1655</v>
      </c>
      <c r="B1561" s="10" t="s">
        <v>4969</v>
      </c>
      <c r="C1561" s="10" t="s">
        <v>4970</v>
      </c>
      <c r="D1561" s="10">
        <v>9028</v>
      </c>
      <c r="E1561" s="10" t="s">
        <v>4971</v>
      </c>
      <c r="F1561" s="10" t="s">
        <v>2528</v>
      </c>
      <c r="G1561" s="10" t="s">
        <v>2866</v>
      </c>
      <c r="H1561" s="10" t="s">
        <v>2669</v>
      </c>
      <c r="I1561" s="10" t="s">
        <v>2868</v>
      </c>
    </row>
    <row r="1562" spans="1:9" x14ac:dyDescent="0.25">
      <c r="A1562">
        <v>1045</v>
      </c>
      <c r="B1562" s="10" t="s">
        <v>4949</v>
      </c>
      <c r="C1562" s="10" t="s">
        <v>4953</v>
      </c>
      <c r="D1562" s="10">
        <v>9030</v>
      </c>
      <c r="E1562" s="10" t="s">
        <v>4972</v>
      </c>
      <c r="F1562" s="10" t="s">
        <v>2625</v>
      </c>
      <c r="G1562" s="10" t="s">
        <v>4708</v>
      </c>
      <c r="H1562" s="10" t="s">
        <v>2511</v>
      </c>
      <c r="I1562" s="10" t="s">
        <v>2182</v>
      </c>
    </row>
    <row r="1563" spans="1:9" x14ac:dyDescent="0.25">
      <c r="A1563">
        <v>1046</v>
      </c>
      <c r="B1563" s="10" t="s">
        <v>4949</v>
      </c>
      <c r="C1563" s="10" t="s">
        <v>4953</v>
      </c>
      <c r="D1563" s="10">
        <v>9031</v>
      </c>
      <c r="E1563" s="10" t="s">
        <v>4973</v>
      </c>
      <c r="F1563" s="10" t="s">
        <v>2625</v>
      </c>
      <c r="G1563" s="10" t="s">
        <v>4708</v>
      </c>
      <c r="H1563" s="10" t="s">
        <v>2511</v>
      </c>
      <c r="I1563" s="10" t="s">
        <v>2182</v>
      </c>
    </row>
    <row r="1564" spans="1:9" x14ac:dyDescent="0.25">
      <c r="A1564">
        <v>1047</v>
      </c>
      <c r="B1564" s="10" t="s">
        <v>4949</v>
      </c>
      <c r="C1564" s="10" t="s">
        <v>4953</v>
      </c>
      <c r="D1564" s="10">
        <v>9034</v>
      </c>
      <c r="E1564" s="10" t="s">
        <v>4974</v>
      </c>
      <c r="F1564" s="10" t="s">
        <v>2625</v>
      </c>
      <c r="G1564" s="10" t="s">
        <v>4708</v>
      </c>
      <c r="H1564" s="10" t="s">
        <v>2511</v>
      </c>
      <c r="I1564" s="10" t="s">
        <v>2182</v>
      </c>
    </row>
    <row r="1565" spans="1:9" x14ac:dyDescent="0.25">
      <c r="A1565">
        <v>1651</v>
      </c>
      <c r="B1565" s="10" t="s">
        <v>4969</v>
      </c>
      <c r="C1565" s="10" t="s">
        <v>4975</v>
      </c>
      <c r="D1565" s="10">
        <v>9035</v>
      </c>
      <c r="E1565" s="10" t="s">
        <v>4976</v>
      </c>
      <c r="F1565" s="10" t="s">
        <v>2215</v>
      </c>
      <c r="G1565" s="10" t="s">
        <v>4977</v>
      </c>
      <c r="H1565" s="10" t="s">
        <v>4978</v>
      </c>
      <c r="I1565" s="10" t="s">
        <v>2304</v>
      </c>
    </row>
    <row r="1566" spans="1:9" x14ac:dyDescent="0.25">
      <c r="A1566">
        <v>1095</v>
      </c>
      <c r="B1566" s="10" t="s">
        <v>4949</v>
      </c>
      <c r="C1566" s="10" t="s">
        <v>4979</v>
      </c>
      <c r="D1566" s="10">
        <v>9038</v>
      </c>
      <c r="E1566" s="10" t="s">
        <v>4980</v>
      </c>
      <c r="F1566" s="10" t="s">
        <v>3522</v>
      </c>
      <c r="G1566" s="10" t="s">
        <v>3706</v>
      </c>
      <c r="H1566" s="10" t="s">
        <v>4981</v>
      </c>
      <c r="I1566" s="10" t="s">
        <v>2424</v>
      </c>
    </row>
    <row r="1567" spans="1:9" x14ac:dyDescent="0.25">
      <c r="A1567">
        <v>1078</v>
      </c>
      <c r="B1567" s="10" t="s">
        <v>4949</v>
      </c>
      <c r="C1567" s="10" t="s">
        <v>4982</v>
      </c>
      <c r="D1567" s="10">
        <v>9040</v>
      </c>
      <c r="E1567" s="10" t="s">
        <v>4983</v>
      </c>
      <c r="F1567" s="10" t="s">
        <v>2294</v>
      </c>
      <c r="G1567" s="10" t="s">
        <v>4958</v>
      </c>
      <c r="H1567" s="10" t="s">
        <v>2251</v>
      </c>
      <c r="I1567" s="10" t="s">
        <v>2251</v>
      </c>
    </row>
    <row r="1568" spans="1:9" x14ac:dyDescent="0.25">
      <c r="A1568">
        <v>1656</v>
      </c>
      <c r="B1568" s="10" t="s">
        <v>4969</v>
      </c>
      <c r="C1568" s="10" t="s">
        <v>4970</v>
      </c>
      <c r="D1568" s="10">
        <v>9041</v>
      </c>
      <c r="E1568" s="10" t="s">
        <v>4984</v>
      </c>
      <c r="F1568" s="10" t="s">
        <v>2607</v>
      </c>
      <c r="G1568" s="10" t="s">
        <v>2608</v>
      </c>
      <c r="H1568" s="10" t="s">
        <v>2250</v>
      </c>
      <c r="I1568" s="10" t="s">
        <v>2383</v>
      </c>
    </row>
    <row r="1569" spans="1:9" x14ac:dyDescent="0.25">
      <c r="A1569">
        <v>1079</v>
      </c>
      <c r="B1569" s="10" t="s">
        <v>4949</v>
      </c>
      <c r="C1569" s="10" t="s">
        <v>4982</v>
      </c>
      <c r="D1569" s="10">
        <v>9042</v>
      </c>
      <c r="E1569" s="10" t="s">
        <v>4985</v>
      </c>
      <c r="F1569" s="10" t="s">
        <v>2625</v>
      </c>
      <c r="G1569" s="10" t="s">
        <v>4708</v>
      </c>
      <c r="H1569" s="10" t="s">
        <v>3016</v>
      </c>
      <c r="I1569" s="10" t="s">
        <v>2167</v>
      </c>
    </row>
    <row r="1570" spans="1:9" x14ac:dyDescent="0.25">
      <c r="A1570">
        <v>1652</v>
      </c>
      <c r="B1570" s="10" t="s">
        <v>4969</v>
      </c>
      <c r="C1570" s="10" t="s">
        <v>4975</v>
      </c>
      <c r="D1570" s="10">
        <v>9043</v>
      </c>
      <c r="E1570" s="10" t="s">
        <v>4986</v>
      </c>
      <c r="F1570" s="10" t="s">
        <v>3221</v>
      </c>
      <c r="G1570" s="10" t="s">
        <v>2501</v>
      </c>
      <c r="H1570" s="10" t="s">
        <v>3252</v>
      </c>
      <c r="I1570" s="10" t="s">
        <v>2319</v>
      </c>
    </row>
    <row r="1571" spans="1:9" x14ac:dyDescent="0.25">
      <c r="A1571">
        <v>1657</v>
      </c>
      <c r="B1571" s="10" t="s">
        <v>4969</v>
      </c>
      <c r="C1571" s="10" t="s">
        <v>4970</v>
      </c>
      <c r="D1571" s="10">
        <v>9044</v>
      </c>
      <c r="E1571" s="10" t="s">
        <v>4987</v>
      </c>
      <c r="F1571" s="10" t="s">
        <v>2228</v>
      </c>
      <c r="G1571" s="10" t="s">
        <v>2353</v>
      </c>
      <c r="H1571" s="10" t="s">
        <v>2939</v>
      </c>
      <c r="I1571" s="10" t="s">
        <v>2355</v>
      </c>
    </row>
    <row r="1572" spans="1:9" x14ac:dyDescent="0.25">
      <c r="A1572">
        <v>1653</v>
      </c>
      <c r="B1572" s="10" t="s">
        <v>4969</v>
      </c>
      <c r="C1572" s="10" t="s">
        <v>4975</v>
      </c>
      <c r="D1572" s="10">
        <v>9045</v>
      </c>
      <c r="E1572" s="10" t="s">
        <v>4988</v>
      </c>
      <c r="F1572" s="10" t="s">
        <v>2266</v>
      </c>
      <c r="G1572" s="10" t="s">
        <v>2656</v>
      </c>
      <c r="H1572" s="10" t="s">
        <v>4085</v>
      </c>
      <c r="I1572" s="10" t="s">
        <v>2241</v>
      </c>
    </row>
    <row r="1573" spans="1:9" x14ac:dyDescent="0.25">
      <c r="A1573">
        <v>1058</v>
      </c>
      <c r="B1573" s="10" t="s">
        <v>4949</v>
      </c>
      <c r="C1573" s="10" t="s">
        <v>4989</v>
      </c>
      <c r="D1573" s="10">
        <v>9046</v>
      </c>
      <c r="E1573" s="10" t="s">
        <v>4990</v>
      </c>
      <c r="F1573" s="10" t="s">
        <v>3221</v>
      </c>
      <c r="G1573" s="10" t="s">
        <v>2501</v>
      </c>
      <c r="H1573" s="10" t="s">
        <v>2464</v>
      </c>
      <c r="I1573" s="10" t="s">
        <v>2477</v>
      </c>
    </row>
    <row r="1574" spans="1:9" x14ac:dyDescent="0.25">
      <c r="A1574">
        <v>1059</v>
      </c>
      <c r="B1574" s="10" t="s">
        <v>4949</v>
      </c>
      <c r="C1574" s="10" t="s">
        <v>4989</v>
      </c>
      <c r="D1574" s="10">
        <v>9047</v>
      </c>
      <c r="E1574" s="10" t="s">
        <v>4991</v>
      </c>
      <c r="F1574" s="10" t="s">
        <v>2446</v>
      </c>
      <c r="G1574" s="10" t="s">
        <v>2377</v>
      </c>
      <c r="H1574" s="10" t="s">
        <v>2868</v>
      </c>
      <c r="I1574" s="10" t="s">
        <v>2868</v>
      </c>
    </row>
    <row r="1575" spans="1:9" x14ac:dyDescent="0.25">
      <c r="A1575">
        <v>986</v>
      </c>
      <c r="B1575" s="10" t="s">
        <v>4961</v>
      </c>
      <c r="C1575" s="10" t="s">
        <v>4992</v>
      </c>
      <c r="D1575" s="10">
        <v>9048</v>
      </c>
      <c r="E1575" s="10" t="s">
        <v>4993</v>
      </c>
      <c r="F1575" s="10" t="s">
        <v>2380</v>
      </c>
      <c r="G1575" s="10" t="s">
        <v>2850</v>
      </c>
      <c r="H1575" s="10" t="s">
        <v>2443</v>
      </c>
      <c r="I1575" s="10" t="s">
        <v>2425</v>
      </c>
    </row>
    <row r="1576" spans="1:9" x14ac:dyDescent="0.25">
      <c r="A1576">
        <v>983</v>
      </c>
      <c r="B1576" s="10" t="s">
        <v>4961</v>
      </c>
      <c r="C1576" s="10" t="s">
        <v>4994</v>
      </c>
      <c r="D1576" s="10">
        <v>9049</v>
      </c>
      <c r="E1576" s="10" t="s">
        <v>4995</v>
      </c>
      <c r="F1576" s="10" t="s">
        <v>2347</v>
      </c>
      <c r="G1576" s="10" t="s">
        <v>2363</v>
      </c>
      <c r="H1576" s="10" t="s">
        <v>2860</v>
      </c>
      <c r="I1576" s="10" t="s">
        <v>2218</v>
      </c>
    </row>
    <row r="1577" spans="1:9" x14ac:dyDescent="0.25">
      <c r="A1577">
        <v>1013</v>
      </c>
      <c r="B1577" s="10" t="s">
        <v>4961</v>
      </c>
      <c r="C1577" s="10" t="s">
        <v>4962</v>
      </c>
      <c r="D1577" s="10">
        <v>9050</v>
      </c>
      <c r="E1577" s="10" t="s">
        <v>4996</v>
      </c>
      <c r="F1577" s="10" t="s">
        <v>3667</v>
      </c>
      <c r="G1577" s="10" t="s">
        <v>3256</v>
      </c>
      <c r="H1577" s="10" t="s">
        <v>4923</v>
      </c>
      <c r="I1577" s="10" t="s">
        <v>2477</v>
      </c>
    </row>
    <row r="1578" spans="1:9" x14ac:dyDescent="0.25">
      <c r="A1578">
        <v>987</v>
      </c>
      <c r="B1578" s="10" t="s">
        <v>4961</v>
      </c>
      <c r="C1578" s="10" t="s">
        <v>4992</v>
      </c>
      <c r="D1578" s="10">
        <v>9051</v>
      </c>
      <c r="E1578" s="10" t="s">
        <v>4997</v>
      </c>
      <c r="F1578" s="10" t="s">
        <v>2528</v>
      </c>
      <c r="G1578" s="10" t="s">
        <v>4129</v>
      </c>
      <c r="H1578" s="10" t="s">
        <v>2372</v>
      </c>
      <c r="I1578" s="10" t="s">
        <v>2666</v>
      </c>
    </row>
    <row r="1579" spans="1:9" x14ac:dyDescent="0.25">
      <c r="A1579">
        <v>988</v>
      </c>
      <c r="B1579" s="10" t="s">
        <v>4961</v>
      </c>
      <c r="C1579" s="10" t="s">
        <v>4992</v>
      </c>
      <c r="D1579" s="10">
        <v>9052</v>
      </c>
      <c r="E1579" s="10" t="s">
        <v>4998</v>
      </c>
      <c r="F1579" s="10" t="s">
        <v>2901</v>
      </c>
      <c r="G1579" s="10" t="s">
        <v>3322</v>
      </c>
      <c r="H1579" s="10" t="s">
        <v>2621</v>
      </c>
      <c r="I1579" s="10" t="s">
        <v>2363</v>
      </c>
    </row>
    <row r="1580" spans="1:9" x14ac:dyDescent="0.25">
      <c r="A1580">
        <v>984</v>
      </c>
      <c r="B1580" s="10" t="s">
        <v>4961</v>
      </c>
      <c r="C1580" s="10" t="s">
        <v>4994</v>
      </c>
      <c r="D1580" s="10">
        <v>9053</v>
      </c>
      <c r="E1580" s="10" t="s">
        <v>4999</v>
      </c>
      <c r="F1580" s="10" t="s">
        <v>3274</v>
      </c>
      <c r="G1580" s="10" t="s">
        <v>3253</v>
      </c>
      <c r="H1580" s="10" t="s">
        <v>3811</v>
      </c>
      <c r="I1580" s="10" t="s">
        <v>2350</v>
      </c>
    </row>
    <row r="1581" spans="1:9" x14ac:dyDescent="0.25">
      <c r="A1581">
        <v>985</v>
      </c>
      <c r="B1581" s="10" t="s">
        <v>4961</v>
      </c>
      <c r="C1581" s="10" t="s">
        <v>4994</v>
      </c>
      <c r="D1581" s="10">
        <v>9054</v>
      </c>
      <c r="E1581" s="10" t="s">
        <v>5000</v>
      </c>
      <c r="F1581" s="10" t="s">
        <v>2442</v>
      </c>
      <c r="G1581" s="10" t="s">
        <v>2574</v>
      </c>
      <c r="H1581" s="10" t="s">
        <v>2245</v>
      </c>
      <c r="I1581" s="10" t="s">
        <v>2246</v>
      </c>
    </row>
    <row r="1582" spans="1:9" x14ac:dyDescent="0.25">
      <c r="A1582">
        <v>1014</v>
      </c>
      <c r="B1582" s="10" t="s">
        <v>4961</v>
      </c>
      <c r="C1582" s="10" t="s">
        <v>2648</v>
      </c>
      <c r="D1582" s="10">
        <v>9055</v>
      </c>
      <c r="E1582" s="10" t="s">
        <v>5001</v>
      </c>
      <c r="F1582" s="10" t="s">
        <v>2220</v>
      </c>
      <c r="G1582" s="10" t="s">
        <v>2231</v>
      </c>
      <c r="H1582" s="10" t="s">
        <v>5002</v>
      </c>
      <c r="I1582" s="10" t="s">
        <v>2341</v>
      </c>
    </row>
    <row r="1583" spans="1:9" x14ac:dyDescent="0.25">
      <c r="A1583">
        <v>1015</v>
      </c>
      <c r="B1583" s="10" t="s">
        <v>4961</v>
      </c>
      <c r="C1583" s="10" t="s">
        <v>2648</v>
      </c>
      <c r="D1583" s="10">
        <v>9056</v>
      </c>
      <c r="E1583" s="10" t="s">
        <v>5003</v>
      </c>
      <c r="F1583" s="10" t="s">
        <v>2611</v>
      </c>
      <c r="G1583" s="10" t="s">
        <v>2574</v>
      </c>
      <c r="H1583" s="10" t="s">
        <v>2793</v>
      </c>
      <c r="I1583" s="10" t="s">
        <v>2246</v>
      </c>
    </row>
    <row r="1584" spans="1:9" x14ac:dyDescent="0.25">
      <c r="A1584">
        <v>1016</v>
      </c>
      <c r="B1584" s="10" t="s">
        <v>4961</v>
      </c>
      <c r="C1584" s="10" t="s">
        <v>2648</v>
      </c>
      <c r="D1584" s="10">
        <v>9057</v>
      </c>
      <c r="E1584" s="10" t="s">
        <v>5004</v>
      </c>
      <c r="F1584" s="10" t="s">
        <v>2830</v>
      </c>
      <c r="G1584" s="10" t="s">
        <v>2831</v>
      </c>
      <c r="H1584" s="10" t="s">
        <v>2472</v>
      </c>
      <c r="I1584" s="10" t="s">
        <v>2374</v>
      </c>
    </row>
    <row r="1585" spans="1:9" x14ac:dyDescent="0.25">
      <c r="A1585">
        <v>958</v>
      </c>
      <c r="B1585" s="10" t="s">
        <v>4961</v>
      </c>
      <c r="C1585" s="10" t="s">
        <v>5005</v>
      </c>
      <c r="D1585" s="10">
        <v>9058</v>
      </c>
      <c r="E1585" s="10" t="s">
        <v>5006</v>
      </c>
      <c r="F1585" s="10" t="s">
        <v>3036</v>
      </c>
      <c r="G1585" s="10" t="s">
        <v>3037</v>
      </c>
      <c r="H1585" s="10" t="s">
        <v>5007</v>
      </c>
      <c r="I1585" s="10" t="s">
        <v>2251</v>
      </c>
    </row>
    <row r="1586" spans="1:9" x14ac:dyDescent="0.25">
      <c r="A1586">
        <v>959</v>
      </c>
      <c r="B1586" s="10" t="s">
        <v>4961</v>
      </c>
      <c r="C1586" s="10" t="s">
        <v>5005</v>
      </c>
      <c r="D1586" s="10">
        <v>9059</v>
      </c>
      <c r="E1586" s="10" t="s">
        <v>5008</v>
      </c>
      <c r="F1586" s="10" t="s">
        <v>3036</v>
      </c>
      <c r="G1586" s="10" t="s">
        <v>3037</v>
      </c>
      <c r="H1586" s="10" t="s">
        <v>5009</v>
      </c>
      <c r="I1586" s="10" t="s">
        <v>2251</v>
      </c>
    </row>
    <row r="1587" spans="1:9" x14ac:dyDescent="0.25">
      <c r="A1587">
        <v>906</v>
      </c>
      <c r="B1587" s="10" t="s">
        <v>4961</v>
      </c>
      <c r="C1587" s="10" t="s">
        <v>5010</v>
      </c>
      <c r="D1587" s="10">
        <v>9060</v>
      </c>
      <c r="E1587" s="10" t="s">
        <v>5011</v>
      </c>
      <c r="F1587" s="10" t="s">
        <v>2470</v>
      </c>
      <c r="G1587" s="10" t="s">
        <v>2471</v>
      </c>
      <c r="H1587" s="10" t="s">
        <v>3523</v>
      </c>
      <c r="I1587" s="10" t="s">
        <v>2329</v>
      </c>
    </row>
    <row r="1588" spans="1:9" x14ac:dyDescent="0.25">
      <c r="A1588">
        <v>907</v>
      </c>
      <c r="B1588" s="10" t="s">
        <v>4961</v>
      </c>
      <c r="C1588" s="10" t="s">
        <v>5010</v>
      </c>
      <c r="D1588" s="10">
        <v>9061</v>
      </c>
      <c r="E1588" s="10" t="s">
        <v>5012</v>
      </c>
      <c r="F1588" s="10" t="s">
        <v>2470</v>
      </c>
      <c r="G1588" s="10" t="s">
        <v>2471</v>
      </c>
      <c r="H1588" s="10" t="s">
        <v>3523</v>
      </c>
      <c r="I1588" s="10" t="s">
        <v>2329</v>
      </c>
    </row>
    <row r="1589" spans="1:9" x14ac:dyDescent="0.25">
      <c r="A1589">
        <v>1017</v>
      </c>
      <c r="B1589" s="10" t="s">
        <v>4961</v>
      </c>
      <c r="C1589" s="10" t="s">
        <v>2638</v>
      </c>
      <c r="D1589" s="10">
        <v>9062</v>
      </c>
      <c r="E1589" s="10" t="s">
        <v>5004</v>
      </c>
      <c r="F1589" s="10" t="s">
        <v>2830</v>
      </c>
      <c r="G1589" s="10" t="s">
        <v>2831</v>
      </c>
      <c r="H1589" s="10" t="s">
        <v>2472</v>
      </c>
      <c r="I1589" s="10" t="s">
        <v>2374</v>
      </c>
    </row>
    <row r="1590" spans="1:9" x14ac:dyDescent="0.25">
      <c r="A1590">
        <v>1018</v>
      </c>
      <c r="B1590" s="10" t="s">
        <v>4961</v>
      </c>
      <c r="C1590" s="10" t="s">
        <v>2638</v>
      </c>
      <c r="D1590" s="10">
        <v>9063</v>
      </c>
      <c r="E1590" s="10" t="s">
        <v>5003</v>
      </c>
      <c r="F1590" s="10" t="s">
        <v>2611</v>
      </c>
      <c r="G1590" s="10" t="s">
        <v>2574</v>
      </c>
      <c r="H1590" s="10" t="s">
        <v>2793</v>
      </c>
      <c r="I1590" s="10" t="s">
        <v>2246</v>
      </c>
    </row>
    <row r="1591" spans="1:9" x14ac:dyDescent="0.25">
      <c r="A1591">
        <v>1019</v>
      </c>
      <c r="B1591" s="10" t="s">
        <v>4961</v>
      </c>
      <c r="C1591" s="10" t="s">
        <v>2638</v>
      </c>
      <c r="D1591" s="10">
        <v>9064</v>
      </c>
      <c r="E1591" s="10" t="s">
        <v>5001</v>
      </c>
      <c r="F1591" s="10" t="s">
        <v>2220</v>
      </c>
      <c r="G1591" s="10" t="s">
        <v>2231</v>
      </c>
      <c r="H1591" s="10" t="s">
        <v>5002</v>
      </c>
      <c r="I1591" s="10" t="s">
        <v>2341</v>
      </c>
    </row>
    <row r="1592" spans="1:9" x14ac:dyDescent="0.25">
      <c r="A1592">
        <v>960</v>
      </c>
      <c r="B1592" s="10" t="s">
        <v>4961</v>
      </c>
      <c r="C1592" s="10" t="s">
        <v>5005</v>
      </c>
      <c r="D1592" s="10">
        <v>9065</v>
      </c>
      <c r="E1592" s="10" t="s">
        <v>5013</v>
      </c>
      <c r="F1592" s="10" t="s">
        <v>2344</v>
      </c>
      <c r="G1592" s="10" t="s">
        <v>2263</v>
      </c>
      <c r="H1592" s="10" t="s">
        <v>2363</v>
      </c>
      <c r="I1592" s="10" t="s">
        <v>2363</v>
      </c>
    </row>
    <row r="1593" spans="1:9" x14ac:dyDescent="0.25">
      <c r="A1593">
        <v>1082</v>
      </c>
      <c r="B1593" s="10" t="s">
        <v>4949</v>
      </c>
      <c r="C1593" s="10" t="s">
        <v>5014</v>
      </c>
      <c r="D1593" s="10">
        <v>9066</v>
      </c>
      <c r="E1593" s="10" t="s">
        <v>5015</v>
      </c>
      <c r="F1593" s="10" t="s">
        <v>2528</v>
      </c>
      <c r="G1593" s="10" t="s">
        <v>2866</v>
      </c>
      <c r="H1593" s="10" t="s">
        <v>2383</v>
      </c>
      <c r="I1593" s="10" t="s">
        <v>2383</v>
      </c>
    </row>
    <row r="1594" spans="1:9" x14ac:dyDescent="0.25">
      <c r="A1594">
        <v>961</v>
      </c>
      <c r="B1594" s="10" t="s">
        <v>4961</v>
      </c>
      <c r="C1594" s="10" t="s">
        <v>5005</v>
      </c>
      <c r="D1594" s="10">
        <v>9067</v>
      </c>
      <c r="E1594" s="10" t="s">
        <v>5016</v>
      </c>
      <c r="F1594" s="10" t="s">
        <v>5017</v>
      </c>
      <c r="G1594" s="10" t="s">
        <v>4436</v>
      </c>
      <c r="H1594" s="10" t="s">
        <v>2241</v>
      </c>
      <c r="I1594" s="10" t="s">
        <v>2241</v>
      </c>
    </row>
    <row r="1595" spans="1:9" x14ac:dyDescent="0.25">
      <c r="A1595">
        <v>1036</v>
      </c>
      <c r="B1595" s="10" t="s">
        <v>4949</v>
      </c>
      <c r="C1595" s="10" t="s">
        <v>5018</v>
      </c>
      <c r="D1595" s="10">
        <v>9068</v>
      </c>
      <c r="E1595" s="10" t="s">
        <v>5019</v>
      </c>
      <c r="F1595" s="10" t="s">
        <v>2528</v>
      </c>
      <c r="G1595" s="10" t="s">
        <v>2866</v>
      </c>
      <c r="H1595" s="10" t="s">
        <v>3609</v>
      </c>
      <c r="I1595" s="10" t="s">
        <v>2383</v>
      </c>
    </row>
    <row r="1596" spans="1:9" x14ac:dyDescent="0.25">
      <c r="A1596">
        <v>915</v>
      </c>
      <c r="B1596" s="10" t="s">
        <v>4961</v>
      </c>
      <c r="C1596" s="10" t="s">
        <v>5020</v>
      </c>
      <c r="D1596" s="10">
        <v>9069</v>
      </c>
      <c r="E1596" s="10" t="s">
        <v>5021</v>
      </c>
      <c r="F1596" s="10" t="s">
        <v>2598</v>
      </c>
      <c r="G1596" s="10" t="s">
        <v>2368</v>
      </c>
      <c r="H1596" s="10" t="s">
        <v>4137</v>
      </c>
      <c r="I1596" s="10" t="s">
        <v>2213</v>
      </c>
    </row>
    <row r="1597" spans="1:9" x14ac:dyDescent="0.25">
      <c r="A1597">
        <v>1037</v>
      </c>
      <c r="B1597" s="10" t="s">
        <v>4949</v>
      </c>
      <c r="C1597" s="10" t="s">
        <v>5018</v>
      </c>
      <c r="D1597" s="10">
        <v>9070</v>
      </c>
      <c r="E1597" s="10" t="s">
        <v>5022</v>
      </c>
      <c r="F1597" s="10" t="s">
        <v>2528</v>
      </c>
      <c r="G1597" s="10" t="s">
        <v>2866</v>
      </c>
      <c r="H1597" s="10" t="s">
        <v>3609</v>
      </c>
      <c r="I1597" s="10" t="s">
        <v>2383</v>
      </c>
    </row>
    <row r="1598" spans="1:9" x14ac:dyDescent="0.25">
      <c r="A1598">
        <v>916</v>
      </c>
      <c r="B1598" s="10" t="s">
        <v>4961</v>
      </c>
      <c r="C1598" s="10" t="s">
        <v>5020</v>
      </c>
      <c r="D1598" s="10">
        <v>9071</v>
      </c>
      <c r="E1598" s="10" t="s">
        <v>5023</v>
      </c>
      <c r="F1598" s="10" t="s">
        <v>2690</v>
      </c>
      <c r="G1598" s="10" t="s">
        <v>2691</v>
      </c>
      <c r="H1598" s="10" t="s">
        <v>3465</v>
      </c>
      <c r="I1598" s="10" t="s">
        <v>2319</v>
      </c>
    </row>
    <row r="1599" spans="1:9" x14ac:dyDescent="0.25">
      <c r="A1599">
        <v>917</v>
      </c>
      <c r="B1599" s="10" t="s">
        <v>4961</v>
      </c>
      <c r="C1599" s="10" t="s">
        <v>5020</v>
      </c>
      <c r="D1599" s="10">
        <v>9072</v>
      </c>
      <c r="E1599" s="10" t="s">
        <v>5024</v>
      </c>
      <c r="F1599" s="10" t="s">
        <v>2371</v>
      </c>
      <c r="G1599" s="10" t="s">
        <v>2372</v>
      </c>
      <c r="H1599" s="10" t="s">
        <v>2457</v>
      </c>
      <c r="I1599" s="10" t="s">
        <v>2264</v>
      </c>
    </row>
    <row r="1600" spans="1:9" x14ac:dyDescent="0.25">
      <c r="A1600">
        <v>980</v>
      </c>
      <c r="B1600" s="10" t="s">
        <v>4961</v>
      </c>
      <c r="C1600" s="10" t="s">
        <v>5025</v>
      </c>
      <c r="D1600" s="10">
        <v>9073</v>
      </c>
      <c r="E1600" s="10" t="s">
        <v>5026</v>
      </c>
      <c r="F1600" s="10" t="s">
        <v>3274</v>
      </c>
      <c r="G1600" s="10" t="s">
        <v>3253</v>
      </c>
      <c r="H1600" s="10" t="s">
        <v>3523</v>
      </c>
      <c r="I1600" s="10" t="s">
        <v>2350</v>
      </c>
    </row>
    <row r="1601" spans="1:9" x14ac:dyDescent="0.25">
      <c r="A1601">
        <v>962</v>
      </c>
      <c r="B1601" s="10" t="s">
        <v>4961</v>
      </c>
      <c r="C1601" s="10" t="s">
        <v>5005</v>
      </c>
      <c r="D1601" s="10">
        <v>9074</v>
      </c>
      <c r="E1601" s="10" t="s">
        <v>5027</v>
      </c>
      <c r="F1601" s="10" t="s">
        <v>2344</v>
      </c>
      <c r="G1601" s="10" t="s">
        <v>2263</v>
      </c>
      <c r="H1601" s="10" t="s">
        <v>2363</v>
      </c>
      <c r="I1601" s="10" t="s">
        <v>2363</v>
      </c>
    </row>
    <row r="1602" spans="1:9" x14ac:dyDescent="0.25">
      <c r="A1602">
        <v>929</v>
      </c>
      <c r="B1602" s="10" t="s">
        <v>4961</v>
      </c>
      <c r="C1602" s="10" t="s">
        <v>5028</v>
      </c>
      <c r="D1602" s="10">
        <v>9078</v>
      </c>
      <c r="E1602" s="10" t="s">
        <v>5029</v>
      </c>
      <c r="F1602" s="10" t="s">
        <v>2365</v>
      </c>
      <c r="G1602" s="10" t="s">
        <v>2366</v>
      </c>
      <c r="H1602" s="10" t="s">
        <v>3139</v>
      </c>
      <c r="I1602" s="10" t="s">
        <v>2315</v>
      </c>
    </row>
    <row r="1603" spans="1:9" x14ac:dyDescent="0.25">
      <c r="A1603">
        <v>930</v>
      </c>
      <c r="B1603" s="10" t="s">
        <v>4961</v>
      </c>
      <c r="C1603" s="10" t="s">
        <v>5028</v>
      </c>
      <c r="D1603" s="10">
        <v>9079</v>
      </c>
      <c r="E1603" s="10" t="s">
        <v>5030</v>
      </c>
      <c r="F1603" s="10" t="s">
        <v>2333</v>
      </c>
      <c r="G1603" s="10" t="s">
        <v>2334</v>
      </c>
      <c r="H1603" s="10" t="s">
        <v>2793</v>
      </c>
      <c r="I1603" s="10" t="s">
        <v>2246</v>
      </c>
    </row>
    <row r="1604" spans="1:9" x14ac:dyDescent="0.25">
      <c r="A1604">
        <v>918</v>
      </c>
      <c r="B1604" s="10" t="s">
        <v>4961</v>
      </c>
      <c r="C1604" s="10" t="s">
        <v>5020</v>
      </c>
      <c r="D1604" s="10">
        <v>9080</v>
      </c>
      <c r="E1604" s="10" t="s">
        <v>5031</v>
      </c>
      <c r="F1604" s="10" t="s">
        <v>2333</v>
      </c>
      <c r="G1604" s="10" t="s">
        <v>2334</v>
      </c>
      <c r="H1604" s="10" t="s">
        <v>2793</v>
      </c>
      <c r="I1604" s="10" t="s">
        <v>2246</v>
      </c>
    </row>
    <row r="1605" spans="1:9" x14ac:dyDescent="0.25">
      <c r="A1605">
        <v>919</v>
      </c>
      <c r="B1605" s="10" t="s">
        <v>4961</v>
      </c>
      <c r="C1605" s="10" t="s">
        <v>5020</v>
      </c>
      <c r="D1605" s="10">
        <v>9081</v>
      </c>
      <c r="E1605" s="10" t="s">
        <v>5032</v>
      </c>
      <c r="F1605" s="10" t="s">
        <v>2528</v>
      </c>
      <c r="G1605" s="10" t="s">
        <v>2866</v>
      </c>
      <c r="H1605" s="10" t="s">
        <v>2464</v>
      </c>
      <c r="I1605" s="10" t="s">
        <v>2383</v>
      </c>
    </row>
    <row r="1606" spans="1:9" x14ac:dyDescent="0.25">
      <c r="A1606">
        <v>920</v>
      </c>
      <c r="B1606" s="10" t="s">
        <v>4961</v>
      </c>
      <c r="C1606" s="10" t="s">
        <v>5020</v>
      </c>
      <c r="D1606" s="10">
        <v>9082</v>
      </c>
      <c r="E1606" s="10" t="s">
        <v>5033</v>
      </c>
      <c r="F1606" s="10" t="s">
        <v>2371</v>
      </c>
      <c r="G1606" s="10" t="s">
        <v>2372</v>
      </c>
      <c r="H1606" s="10" t="s">
        <v>2457</v>
      </c>
      <c r="I1606" s="10" t="s">
        <v>2264</v>
      </c>
    </row>
    <row r="1607" spans="1:9" x14ac:dyDescent="0.25">
      <c r="A1607">
        <v>931</v>
      </c>
      <c r="B1607" s="10" t="s">
        <v>4961</v>
      </c>
      <c r="C1607" s="10" t="s">
        <v>5028</v>
      </c>
      <c r="D1607" s="10">
        <v>9083</v>
      </c>
      <c r="E1607" s="10" t="s">
        <v>5034</v>
      </c>
      <c r="F1607" s="10" t="s">
        <v>2344</v>
      </c>
      <c r="G1607" s="10" t="s">
        <v>2263</v>
      </c>
      <c r="H1607" s="10" t="s">
        <v>3238</v>
      </c>
      <c r="I1607" s="10" t="s">
        <v>2363</v>
      </c>
    </row>
    <row r="1608" spans="1:9" x14ac:dyDescent="0.25">
      <c r="A1608">
        <v>921</v>
      </c>
      <c r="B1608" s="10" t="s">
        <v>4961</v>
      </c>
      <c r="C1608" s="10" t="s">
        <v>5020</v>
      </c>
      <c r="D1608" s="10">
        <v>9084</v>
      </c>
      <c r="E1608" s="10" t="s">
        <v>5035</v>
      </c>
      <c r="F1608" s="10" t="s">
        <v>2371</v>
      </c>
      <c r="G1608" s="10" t="s">
        <v>2372</v>
      </c>
      <c r="H1608" s="10" t="s">
        <v>2457</v>
      </c>
      <c r="I1608" s="10" t="s">
        <v>2264</v>
      </c>
    </row>
    <row r="1609" spans="1:9" x14ac:dyDescent="0.25">
      <c r="A1609">
        <v>922</v>
      </c>
      <c r="B1609" s="10" t="s">
        <v>4961</v>
      </c>
      <c r="C1609" s="10" t="s">
        <v>5020</v>
      </c>
      <c r="D1609" s="10">
        <v>9085</v>
      </c>
      <c r="E1609" s="10" t="s">
        <v>5036</v>
      </c>
      <c r="F1609" s="10" t="s">
        <v>2390</v>
      </c>
      <c r="G1609" s="10" t="s">
        <v>2391</v>
      </c>
      <c r="H1609" s="10" t="s">
        <v>4831</v>
      </c>
      <c r="I1609" s="10" t="s">
        <v>2503</v>
      </c>
    </row>
    <row r="1610" spans="1:9" x14ac:dyDescent="0.25">
      <c r="A1610">
        <v>923</v>
      </c>
      <c r="B1610" s="10" t="s">
        <v>4961</v>
      </c>
      <c r="C1610" s="10" t="s">
        <v>5020</v>
      </c>
      <c r="D1610" s="10">
        <v>9086</v>
      </c>
      <c r="E1610" s="10" t="s">
        <v>5037</v>
      </c>
      <c r="F1610" s="10" t="s">
        <v>2830</v>
      </c>
      <c r="G1610" s="10" t="s">
        <v>3074</v>
      </c>
      <c r="H1610" s="10" t="s">
        <v>4115</v>
      </c>
      <c r="I1610" s="10" t="s">
        <v>2631</v>
      </c>
    </row>
    <row r="1611" spans="1:9" x14ac:dyDescent="0.25">
      <c r="A1611">
        <v>924</v>
      </c>
      <c r="B1611" s="10" t="s">
        <v>4961</v>
      </c>
      <c r="C1611" s="10" t="s">
        <v>5020</v>
      </c>
      <c r="D1611" s="10">
        <v>9087</v>
      </c>
      <c r="E1611" s="10" t="s">
        <v>5038</v>
      </c>
      <c r="F1611" s="10" t="s">
        <v>2220</v>
      </c>
      <c r="G1611" s="10" t="s">
        <v>2475</v>
      </c>
      <c r="H1611" s="10" t="s">
        <v>3433</v>
      </c>
      <c r="I1611" s="10" t="s">
        <v>2496</v>
      </c>
    </row>
    <row r="1612" spans="1:9" x14ac:dyDescent="0.25">
      <c r="A1612">
        <v>925</v>
      </c>
      <c r="B1612" s="10" t="s">
        <v>4961</v>
      </c>
      <c r="C1612" s="10" t="s">
        <v>5020</v>
      </c>
      <c r="D1612" s="10">
        <v>9088</v>
      </c>
      <c r="E1612" s="10" t="s">
        <v>5039</v>
      </c>
      <c r="F1612" s="10" t="s">
        <v>2598</v>
      </c>
      <c r="G1612" s="10" t="s">
        <v>2368</v>
      </c>
      <c r="H1612" s="10" t="s">
        <v>4137</v>
      </c>
      <c r="I1612" s="10" t="s">
        <v>2213</v>
      </c>
    </row>
    <row r="1613" spans="1:9" x14ac:dyDescent="0.25">
      <c r="A1613">
        <v>932</v>
      </c>
      <c r="B1613" s="10" t="s">
        <v>4961</v>
      </c>
      <c r="C1613" s="10" t="s">
        <v>5028</v>
      </c>
      <c r="D1613" s="10">
        <v>9089</v>
      </c>
      <c r="E1613" s="10" t="s">
        <v>5040</v>
      </c>
      <c r="F1613" s="10" t="s">
        <v>2344</v>
      </c>
      <c r="G1613" s="10" t="s">
        <v>2263</v>
      </c>
      <c r="H1613" s="10" t="s">
        <v>3238</v>
      </c>
      <c r="I1613" s="10" t="s">
        <v>2363</v>
      </c>
    </row>
    <row r="1614" spans="1:9" x14ac:dyDescent="0.25">
      <c r="A1614">
        <v>933</v>
      </c>
      <c r="B1614" s="10" t="s">
        <v>4961</v>
      </c>
      <c r="C1614" s="10" t="s">
        <v>5028</v>
      </c>
      <c r="D1614" s="10">
        <v>9090</v>
      </c>
      <c r="E1614" s="10" t="s">
        <v>5041</v>
      </c>
      <c r="F1614" s="10" t="s">
        <v>2365</v>
      </c>
      <c r="G1614" s="10" t="s">
        <v>2366</v>
      </c>
      <c r="H1614" s="10" t="s">
        <v>3139</v>
      </c>
      <c r="I1614" s="10" t="s">
        <v>2315</v>
      </c>
    </row>
    <row r="1615" spans="1:9" x14ac:dyDescent="0.25">
      <c r="A1615">
        <v>1060</v>
      </c>
      <c r="B1615" s="10" t="s">
        <v>4949</v>
      </c>
      <c r="C1615" s="10" t="s">
        <v>4989</v>
      </c>
      <c r="D1615" s="10">
        <v>9092</v>
      </c>
      <c r="E1615" s="10" t="s">
        <v>5042</v>
      </c>
      <c r="F1615" s="10" t="s">
        <v>2347</v>
      </c>
      <c r="G1615" s="10" t="s">
        <v>2348</v>
      </c>
      <c r="H1615" s="10" t="s">
        <v>5043</v>
      </c>
      <c r="I1615" s="10" t="s">
        <v>2880</v>
      </c>
    </row>
    <row r="1616" spans="1:9" x14ac:dyDescent="0.25">
      <c r="A1616">
        <v>989</v>
      </c>
      <c r="B1616" s="10" t="s">
        <v>4961</v>
      </c>
      <c r="C1616" s="10" t="s">
        <v>4992</v>
      </c>
      <c r="D1616" s="10">
        <v>9094</v>
      </c>
      <c r="E1616" s="10" t="s">
        <v>5044</v>
      </c>
      <c r="F1616" s="10" t="s">
        <v>2510</v>
      </c>
      <c r="G1616" s="10" t="s">
        <v>2329</v>
      </c>
      <c r="H1616" s="10" t="s">
        <v>2558</v>
      </c>
      <c r="I1616" s="10" t="s">
        <v>2477</v>
      </c>
    </row>
    <row r="1617" spans="1:9" x14ac:dyDescent="0.25">
      <c r="A1617">
        <v>1032</v>
      </c>
      <c r="B1617" s="10" t="s">
        <v>5045</v>
      </c>
      <c r="C1617" s="10" t="s">
        <v>5046</v>
      </c>
      <c r="D1617" s="10">
        <v>9095</v>
      </c>
      <c r="E1617" s="10" t="s">
        <v>5047</v>
      </c>
      <c r="F1617" s="10" t="s">
        <v>2510</v>
      </c>
      <c r="G1617" s="10" t="s">
        <v>2447</v>
      </c>
      <c r="H1617" s="10" t="s">
        <v>2363</v>
      </c>
      <c r="I1617" s="10" t="s">
        <v>2363</v>
      </c>
    </row>
    <row r="1618" spans="1:9" x14ac:dyDescent="0.25">
      <c r="A1618">
        <v>1061</v>
      </c>
      <c r="B1618" s="10" t="s">
        <v>4949</v>
      </c>
      <c r="C1618" s="10" t="s">
        <v>4989</v>
      </c>
      <c r="D1618" s="10">
        <v>9098</v>
      </c>
      <c r="E1618" s="10" t="s">
        <v>5048</v>
      </c>
      <c r="F1618" s="10" t="s">
        <v>2385</v>
      </c>
      <c r="G1618" s="10" t="s">
        <v>2386</v>
      </c>
      <c r="H1618" s="10" t="s">
        <v>2468</v>
      </c>
      <c r="I1618" s="10" t="s">
        <v>2218</v>
      </c>
    </row>
    <row r="1619" spans="1:9" x14ac:dyDescent="0.25">
      <c r="A1619">
        <v>1062</v>
      </c>
      <c r="B1619" s="10" t="s">
        <v>4949</v>
      </c>
      <c r="C1619" s="10" t="s">
        <v>4989</v>
      </c>
      <c r="D1619" s="10">
        <v>9100</v>
      </c>
      <c r="E1619" s="10" t="s">
        <v>5049</v>
      </c>
      <c r="F1619" s="10" t="s">
        <v>3036</v>
      </c>
      <c r="G1619" s="10" t="s">
        <v>3037</v>
      </c>
      <c r="H1619" s="10" t="s">
        <v>2427</v>
      </c>
      <c r="I1619" s="10" t="s">
        <v>2251</v>
      </c>
    </row>
    <row r="1620" spans="1:9" x14ac:dyDescent="0.25">
      <c r="A1620">
        <v>1063</v>
      </c>
      <c r="B1620" s="10" t="s">
        <v>4949</v>
      </c>
      <c r="C1620" s="10" t="s">
        <v>4989</v>
      </c>
      <c r="D1620" s="10">
        <v>9101</v>
      </c>
      <c r="E1620" s="10" t="s">
        <v>5050</v>
      </c>
      <c r="F1620" s="10" t="s">
        <v>2284</v>
      </c>
      <c r="G1620" s="10" t="s">
        <v>2328</v>
      </c>
      <c r="H1620" s="10" t="s">
        <v>3450</v>
      </c>
      <c r="I1620" s="10" t="s">
        <v>3748</v>
      </c>
    </row>
    <row r="1621" spans="1:9" x14ac:dyDescent="0.25">
      <c r="A1621">
        <v>1064</v>
      </c>
      <c r="B1621" s="10" t="s">
        <v>4949</v>
      </c>
      <c r="C1621" s="10" t="s">
        <v>4989</v>
      </c>
      <c r="D1621" s="10">
        <v>9102</v>
      </c>
      <c r="E1621" s="10" t="s">
        <v>5051</v>
      </c>
      <c r="F1621" s="10" t="s">
        <v>2828</v>
      </c>
      <c r="G1621" s="10" t="s">
        <v>3347</v>
      </c>
      <c r="H1621" s="10" t="s">
        <v>5052</v>
      </c>
      <c r="I1621" s="10" t="s">
        <v>3703</v>
      </c>
    </row>
    <row r="1622" spans="1:9" x14ac:dyDescent="0.25">
      <c r="A1622">
        <v>1065</v>
      </c>
      <c r="B1622" s="10" t="s">
        <v>4949</v>
      </c>
      <c r="C1622" s="10" t="s">
        <v>4989</v>
      </c>
      <c r="D1622" s="10">
        <v>9105</v>
      </c>
      <c r="E1622" s="10" t="s">
        <v>5053</v>
      </c>
      <c r="F1622" s="10" t="s">
        <v>2573</v>
      </c>
      <c r="G1622" s="10" t="s">
        <v>2424</v>
      </c>
      <c r="H1622" s="10" t="s">
        <v>3450</v>
      </c>
      <c r="I1622" s="10" t="s">
        <v>5054</v>
      </c>
    </row>
    <row r="1623" spans="1:9" x14ac:dyDescent="0.25">
      <c r="A1623">
        <v>1080</v>
      </c>
      <c r="B1623" s="10" t="s">
        <v>4949</v>
      </c>
      <c r="C1623" s="10" t="s">
        <v>5055</v>
      </c>
      <c r="D1623" s="10">
        <v>9109</v>
      </c>
      <c r="E1623" s="10" t="s">
        <v>5056</v>
      </c>
      <c r="F1623" s="10" t="s">
        <v>2528</v>
      </c>
      <c r="G1623" s="10" t="s">
        <v>2866</v>
      </c>
      <c r="H1623" s="10" t="s">
        <v>2609</v>
      </c>
      <c r="I1623" s="10" t="s">
        <v>2383</v>
      </c>
    </row>
    <row r="1624" spans="1:9" x14ac:dyDescent="0.25">
      <c r="A1624">
        <v>1038</v>
      </c>
      <c r="B1624" s="10" t="s">
        <v>4949</v>
      </c>
      <c r="C1624" s="10" t="s">
        <v>5018</v>
      </c>
      <c r="D1624" s="10">
        <v>9116</v>
      </c>
      <c r="E1624" s="10" t="s">
        <v>5057</v>
      </c>
      <c r="F1624" s="10" t="s">
        <v>2528</v>
      </c>
      <c r="G1624" s="10" t="s">
        <v>2866</v>
      </c>
      <c r="H1624" s="10" t="s">
        <v>3609</v>
      </c>
      <c r="I1624" s="10" t="s">
        <v>2383</v>
      </c>
    </row>
    <row r="1625" spans="1:9" x14ac:dyDescent="0.25">
      <c r="A1625">
        <v>1066</v>
      </c>
      <c r="B1625" s="10" t="s">
        <v>4949</v>
      </c>
      <c r="C1625" s="10" t="s">
        <v>4989</v>
      </c>
      <c r="D1625" s="10">
        <v>9119</v>
      </c>
      <c r="E1625" s="10" t="s">
        <v>5058</v>
      </c>
      <c r="F1625" s="10" t="s">
        <v>2271</v>
      </c>
      <c r="G1625" s="10" t="s">
        <v>3733</v>
      </c>
      <c r="H1625" s="10" t="s">
        <v>3318</v>
      </c>
      <c r="I1625" s="10" t="s">
        <v>2908</v>
      </c>
    </row>
    <row r="1626" spans="1:9" x14ac:dyDescent="0.25">
      <c r="A1626">
        <v>981</v>
      </c>
      <c r="B1626" s="10" t="s">
        <v>4961</v>
      </c>
      <c r="C1626" s="10" t="s">
        <v>5025</v>
      </c>
      <c r="D1626" s="10">
        <v>9121</v>
      </c>
      <c r="E1626" s="10" t="s">
        <v>5059</v>
      </c>
      <c r="F1626" s="10" t="s">
        <v>3274</v>
      </c>
      <c r="G1626" s="10" t="s">
        <v>3253</v>
      </c>
      <c r="H1626" s="10" t="s">
        <v>3523</v>
      </c>
      <c r="I1626" s="10" t="s">
        <v>2350</v>
      </c>
    </row>
    <row r="1627" spans="1:9" x14ac:dyDescent="0.25">
      <c r="A1627">
        <v>926</v>
      </c>
      <c r="B1627" s="10" t="s">
        <v>4961</v>
      </c>
      <c r="C1627" s="10" t="s">
        <v>5020</v>
      </c>
      <c r="D1627" s="10">
        <v>9123</v>
      </c>
      <c r="E1627" s="10" t="s">
        <v>5060</v>
      </c>
      <c r="F1627" s="10" t="s">
        <v>2541</v>
      </c>
      <c r="G1627" s="10" t="s">
        <v>2545</v>
      </c>
      <c r="H1627" s="10" t="s">
        <v>5061</v>
      </c>
      <c r="I1627" s="10" t="s">
        <v>2182</v>
      </c>
    </row>
    <row r="1628" spans="1:9" x14ac:dyDescent="0.25">
      <c r="A1628">
        <v>927</v>
      </c>
      <c r="B1628" s="10" t="s">
        <v>4961</v>
      </c>
      <c r="C1628" s="10" t="s">
        <v>5020</v>
      </c>
      <c r="D1628" s="10">
        <v>9124</v>
      </c>
      <c r="E1628" s="10" t="s">
        <v>5062</v>
      </c>
      <c r="F1628" s="10" t="s">
        <v>2262</v>
      </c>
      <c r="G1628" s="10" t="s">
        <v>2636</v>
      </c>
      <c r="H1628" s="10" t="s">
        <v>5063</v>
      </c>
      <c r="I1628" s="10" t="s">
        <v>2231</v>
      </c>
    </row>
    <row r="1629" spans="1:9" x14ac:dyDescent="0.25">
      <c r="A1629">
        <v>963</v>
      </c>
      <c r="B1629" s="10" t="s">
        <v>4961</v>
      </c>
      <c r="C1629" s="10" t="s">
        <v>5005</v>
      </c>
      <c r="D1629" s="10">
        <v>9129</v>
      </c>
      <c r="E1629" s="10" t="s">
        <v>5064</v>
      </c>
      <c r="F1629" s="10" t="s">
        <v>2344</v>
      </c>
      <c r="G1629" s="10" t="s">
        <v>2263</v>
      </c>
      <c r="H1629" s="10" t="s">
        <v>2363</v>
      </c>
      <c r="I1629" s="10" t="s">
        <v>2363</v>
      </c>
    </row>
    <row r="1630" spans="1:9" x14ac:dyDescent="0.25">
      <c r="A1630">
        <v>964</v>
      </c>
      <c r="B1630" s="10" t="s">
        <v>4961</v>
      </c>
      <c r="C1630" s="10" t="s">
        <v>5005</v>
      </c>
      <c r="D1630" s="10">
        <v>9130</v>
      </c>
      <c r="E1630" s="10" t="s">
        <v>5065</v>
      </c>
      <c r="F1630" s="10" t="s">
        <v>5017</v>
      </c>
      <c r="G1630" s="10" t="s">
        <v>4436</v>
      </c>
      <c r="H1630" s="10" t="s">
        <v>2241</v>
      </c>
      <c r="I1630" s="10" t="s">
        <v>2241</v>
      </c>
    </row>
    <row r="1631" spans="1:9" x14ac:dyDescent="0.25">
      <c r="A1631">
        <v>965</v>
      </c>
      <c r="B1631" s="10" t="s">
        <v>4961</v>
      </c>
      <c r="C1631" s="10" t="s">
        <v>5005</v>
      </c>
      <c r="D1631" s="10">
        <v>9131</v>
      </c>
      <c r="E1631" s="10" t="s">
        <v>5066</v>
      </c>
      <c r="F1631" s="10" t="s">
        <v>2390</v>
      </c>
      <c r="G1631" s="10" t="s">
        <v>2391</v>
      </c>
      <c r="H1631" s="10" t="s">
        <v>2503</v>
      </c>
      <c r="I1631" s="10" t="s">
        <v>2503</v>
      </c>
    </row>
    <row r="1632" spans="1:9" x14ac:dyDescent="0.25">
      <c r="A1632">
        <v>990</v>
      </c>
      <c r="B1632" s="10" t="s">
        <v>4961</v>
      </c>
      <c r="C1632" s="10" t="s">
        <v>4992</v>
      </c>
      <c r="D1632" s="10">
        <v>9133</v>
      </c>
      <c r="E1632" s="10" t="s">
        <v>5067</v>
      </c>
      <c r="F1632" s="10" t="s">
        <v>2607</v>
      </c>
      <c r="G1632" s="10" t="s">
        <v>3288</v>
      </c>
      <c r="H1632" s="10" t="s">
        <v>2268</v>
      </c>
      <c r="I1632" s="10" t="s">
        <v>2269</v>
      </c>
    </row>
    <row r="1633" spans="1:9" x14ac:dyDescent="0.25">
      <c r="A1633">
        <v>991</v>
      </c>
      <c r="B1633" s="10" t="s">
        <v>4961</v>
      </c>
      <c r="C1633" s="10" t="s">
        <v>4992</v>
      </c>
      <c r="D1633" s="10">
        <v>9135</v>
      </c>
      <c r="E1633" s="10" t="s">
        <v>5068</v>
      </c>
      <c r="F1633" s="10" t="s">
        <v>2257</v>
      </c>
      <c r="G1633" s="10" t="s">
        <v>3074</v>
      </c>
      <c r="H1633" s="10" t="s">
        <v>2631</v>
      </c>
      <c r="I1633" s="10" t="s">
        <v>2631</v>
      </c>
    </row>
    <row r="1634" spans="1:9" x14ac:dyDescent="0.25">
      <c r="A1634">
        <v>982</v>
      </c>
      <c r="B1634" s="10" t="s">
        <v>4961</v>
      </c>
      <c r="C1634" s="10" t="s">
        <v>5025</v>
      </c>
      <c r="D1634" s="10">
        <v>9136</v>
      </c>
      <c r="E1634" s="10" t="s">
        <v>5069</v>
      </c>
      <c r="F1634" s="10" t="s">
        <v>3274</v>
      </c>
      <c r="G1634" s="10" t="s">
        <v>3253</v>
      </c>
      <c r="H1634" s="10" t="s">
        <v>3523</v>
      </c>
      <c r="I1634" s="10" t="s">
        <v>2350</v>
      </c>
    </row>
    <row r="1635" spans="1:9" x14ac:dyDescent="0.25">
      <c r="A1635">
        <v>966</v>
      </c>
      <c r="B1635" s="10" t="s">
        <v>4961</v>
      </c>
      <c r="C1635" s="10" t="s">
        <v>5005</v>
      </c>
      <c r="D1635" s="10">
        <v>9137</v>
      </c>
      <c r="E1635" s="10" t="s">
        <v>5070</v>
      </c>
      <c r="F1635" s="10" t="s">
        <v>2470</v>
      </c>
      <c r="G1635" s="10" t="s">
        <v>2629</v>
      </c>
      <c r="H1635" s="10" t="s">
        <v>2403</v>
      </c>
      <c r="I1635" s="10" t="s">
        <v>2403</v>
      </c>
    </row>
    <row r="1636" spans="1:9" x14ac:dyDescent="0.25">
      <c r="A1636">
        <v>967</v>
      </c>
      <c r="B1636" s="10" t="s">
        <v>4961</v>
      </c>
      <c r="C1636" s="10" t="s">
        <v>5005</v>
      </c>
      <c r="D1636" s="10">
        <v>9138</v>
      </c>
      <c r="E1636" s="10" t="s">
        <v>5071</v>
      </c>
      <c r="F1636" s="10" t="s">
        <v>2344</v>
      </c>
      <c r="G1636" s="10" t="s">
        <v>2263</v>
      </c>
      <c r="H1636" s="10" t="s">
        <v>2449</v>
      </c>
      <c r="I1636" s="10" t="s">
        <v>2449</v>
      </c>
    </row>
    <row r="1637" spans="1:9" x14ac:dyDescent="0.25">
      <c r="A1637">
        <v>968</v>
      </c>
      <c r="B1637" s="10" t="s">
        <v>4961</v>
      </c>
      <c r="C1637" s="10" t="s">
        <v>5005</v>
      </c>
      <c r="D1637" s="10">
        <v>9139</v>
      </c>
      <c r="E1637" s="10" t="s">
        <v>5072</v>
      </c>
      <c r="F1637" s="10" t="s">
        <v>2344</v>
      </c>
      <c r="G1637" s="10" t="s">
        <v>2263</v>
      </c>
      <c r="H1637" s="10" t="s">
        <v>2449</v>
      </c>
      <c r="I1637" s="10" t="s">
        <v>2449</v>
      </c>
    </row>
    <row r="1638" spans="1:9" x14ac:dyDescent="0.25">
      <c r="A1638">
        <v>1083</v>
      </c>
      <c r="B1638" s="10" t="s">
        <v>4949</v>
      </c>
      <c r="C1638" s="10" t="s">
        <v>5014</v>
      </c>
      <c r="D1638" s="10">
        <v>9151</v>
      </c>
      <c r="E1638" s="10" t="s">
        <v>5073</v>
      </c>
      <c r="F1638" s="10" t="s">
        <v>5074</v>
      </c>
      <c r="G1638" s="10" t="s">
        <v>3468</v>
      </c>
      <c r="H1638" s="10" t="s">
        <v>3757</v>
      </c>
      <c r="I1638" s="10" t="s">
        <v>3757</v>
      </c>
    </row>
    <row r="1639" spans="1:9" x14ac:dyDescent="0.25">
      <c r="A1639">
        <v>1084</v>
      </c>
      <c r="B1639" s="10" t="s">
        <v>4949</v>
      </c>
      <c r="C1639" s="10" t="s">
        <v>5014</v>
      </c>
      <c r="D1639" s="10">
        <v>9152</v>
      </c>
      <c r="E1639" s="10" t="s">
        <v>5075</v>
      </c>
      <c r="F1639" s="10" t="s">
        <v>2528</v>
      </c>
      <c r="G1639" s="10" t="s">
        <v>2866</v>
      </c>
      <c r="H1639" s="10" t="s">
        <v>3319</v>
      </c>
      <c r="I1639" s="10" t="s">
        <v>2383</v>
      </c>
    </row>
    <row r="1640" spans="1:9" x14ac:dyDescent="0.25">
      <c r="A1640">
        <v>1056</v>
      </c>
      <c r="B1640" s="10" t="s">
        <v>4949</v>
      </c>
      <c r="C1640" s="10" t="s">
        <v>5076</v>
      </c>
      <c r="D1640" s="10">
        <v>9155</v>
      </c>
      <c r="E1640" s="10" t="s">
        <v>5077</v>
      </c>
      <c r="F1640" s="10" t="s">
        <v>3384</v>
      </c>
      <c r="G1640" s="10" t="s">
        <v>2447</v>
      </c>
      <c r="H1640" s="10" t="s">
        <v>4145</v>
      </c>
      <c r="I1640" s="10" t="s">
        <v>2241</v>
      </c>
    </row>
    <row r="1641" spans="1:9" x14ac:dyDescent="0.25">
      <c r="A1641">
        <v>1057</v>
      </c>
      <c r="B1641" s="10" t="s">
        <v>4949</v>
      </c>
      <c r="C1641" s="10" t="s">
        <v>5076</v>
      </c>
      <c r="D1641" s="10">
        <v>9156</v>
      </c>
      <c r="E1641" s="10" t="s">
        <v>5078</v>
      </c>
      <c r="F1641" s="10" t="s">
        <v>3384</v>
      </c>
      <c r="G1641" s="10" t="s">
        <v>2447</v>
      </c>
      <c r="H1641" s="10" t="s">
        <v>4145</v>
      </c>
      <c r="I1641" s="10" t="s">
        <v>2241</v>
      </c>
    </row>
    <row r="1642" spans="1:9" x14ac:dyDescent="0.25">
      <c r="A1642">
        <v>908</v>
      </c>
      <c r="B1642" s="10" t="s">
        <v>4961</v>
      </c>
      <c r="C1642" s="10" t="s">
        <v>5010</v>
      </c>
      <c r="D1642" s="10">
        <v>9162</v>
      </c>
      <c r="E1642" s="10" t="s">
        <v>5079</v>
      </c>
      <c r="F1642" s="10" t="s">
        <v>3531</v>
      </c>
      <c r="G1642" s="10" t="s">
        <v>3532</v>
      </c>
      <c r="H1642" s="10" t="s">
        <v>2264</v>
      </c>
      <c r="I1642" s="10" t="s">
        <v>2315</v>
      </c>
    </row>
    <row r="1643" spans="1:9" x14ac:dyDescent="0.25">
      <c r="A1643">
        <v>909</v>
      </c>
      <c r="B1643" s="10" t="s">
        <v>4961</v>
      </c>
      <c r="C1643" s="10" t="s">
        <v>5010</v>
      </c>
      <c r="D1643" s="10">
        <v>9163</v>
      </c>
      <c r="E1643" s="10" t="s">
        <v>5080</v>
      </c>
      <c r="F1643" s="10" t="s">
        <v>3531</v>
      </c>
      <c r="G1643" s="10" t="s">
        <v>3532</v>
      </c>
      <c r="H1643" s="10" t="s">
        <v>2264</v>
      </c>
      <c r="I1643" s="10" t="s">
        <v>2315</v>
      </c>
    </row>
    <row r="1644" spans="1:9" x14ac:dyDescent="0.25">
      <c r="A1644">
        <v>910</v>
      </c>
      <c r="B1644" s="10" t="s">
        <v>4961</v>
      </c>
      <c r="C1644" s="10" t="s">
        <v>5010</v>
      </c>
      <c r="D1644" s="10">
        <v>9166</v>
      </c>
      <c r="E1644" s="10" t="s">
        <v>5081</v>
      </c>
      <c r="F1644" s="10" t="s">
        <v>3401</v>
      </c>
      <c r="G1644" s="10" t="s">
        <v>2395</v>
      </c>
      <c r="H1644" s="10" t="s">
        <v>5082</v>
      </c>
      <c r="I1644" s="10" t="s">
        <v>2319</v>
      </c>
    </row>
    <row r="1645" spans="1:9" x14ac:dyDescent="0.25">
      <c r="A1645">
        <v>911</v>
      </c>
      <c r="B1645" s="10" t="s">
        <v>4961</v>
      </c>
      <c r="C1645" s="10" t="s">
        <v>5010</v>
      </c>
      <c r="D1645" s="10">
        <v>9167</v>
      </c>
      <c r="E1645" s="10" t="s">
        <v>5083</v>
      </c>
      <c r="F1645" s="10" t="s">
        <v>3401</v>
      </c>
      <c r="G1645" s="10" t="s">
        <v>2395</v>
      </c>
      <c r="H1645" s="10" t="s">
        <v>5082</v>
      </c>
      <c r="I1645" s="10" t="s">
        <v>2319</v>
      </c>
    </row>
    <row r="1646" spans="1:9" x14ac:dyDescent="0.25">
      <c r="A1646">
        <v>969</v>
      </c>
      <c r="B1646" s="10" t="s">
        <v>4961</v>
      </c>
      <c r="C1646" s="10" t="s">
        <v>5005</v>
      </c>
      <c r="D1646" s="10">
        <v>9168</v>
      </c>
      <c r="E1646" s="10" t="s">
        <v>5084</v>
      </c>
      <c r="F1646" s="10" t="s">
        <v>2442</v>
      </c>
      <c r="G1646" s="10" t="s">
        <v>2675</v>
      </c>
      <c r="H1646" s="10" t="s">
        <v>3252</v>
      </c>
      <c r="I1646" s="10" t="s">
        <v>5085</v>
      </c>
    </row>
    <row r="1647" spans="1:9" x14ac:dyDescent="0.25">
      <c r="A1647">
        <v>970</v>
      </c>
      <c r="B1647" s="10" t="s">
        <v>4961</v>
      </c>
      <c r="C1647" s="10" t="s">
        <v>5005</v>
      </c>
      <c r="D1647" s="10">
        <v>9169</v>
      </c>
      <c r="E1647" s="10" t="s">
        <v>5086</v>
      </c>
      <c r="F1647" s="10" t="s">
        <v>2442</v>
      </c>
      <c r="G1647" s="10" t="s">
        <v>2675</v>
      </c>
      <c r="H1647" s="10" t="s">
        <v>3252</v>
      </c>
      <c r="I1647" s="10" t="s">
        <v>5085</v>
      </c>
    </row>
    <row r="1648" spans="1:9" x14ac:dyDescent="0.25">
      <c r="A1648">
        <v>971</v>
      </c>
      <c r="B1648" s="10" t="s">
        <v>4961</v>
      </c>
      <c r="C1648" s="10" t="s">
        <v>5005</v>
      </c>
      <c r="D1648" s="10">
        <v>9170</v>
      </c>
      <c r="E1648" s="10" t="s">
        <v>5087</v>
      </c>
      <c r="F1648" s="10" t="s">
        <v>2442</v>
      </c>
      <c r="G1648" s="10" t="s">
        <v>2675</v>
      </c>
      <c r="H1648" s="10" t="s">
        <v>3252</v>
      </c>
      <c r="I1648" s="10" t="s">
        <v>5085</v>
      </c>
    </row>
    <row r="1649" spans="1:9" x14ac:dyDescent="0.25">
      <c r="A1649">
        <v>972</v>
      </c>
      <c r="B1649" s="10" t="s">
        <v>4961</v>
      </c>
      <c r="C1649" s="10" t="s">
        <v>5005</v>
      </c>
      <c r="D1649" s="10">
        <v>9171</v>
      </c>
      <c r="E1649" s="10" t="s">
        <v>5088</v>
      </c>
      <c r="F1649" s="10" t="s">
        <v>2115</v>
      </c>
      <c r="G1649" s="10" t="s">
        <v>4731</v>
      </c>
      <c r="H1649" s="10" t="s">
        <v>2911</v>
      </c>
      <c r="I1649" s="10" t="s">
        <v>5089</v>
      </c>
    </row>
    <row r="1650" spans="1:9" x14ac:dyDescent="0.25">
      <c r="A1650">
        <v>973</v>
      </c>
      <c r="B1650" s="10" t="s">
        <v>4961</v>
      </c>
      <c r="C1650" s="10" t="s">
        <v>5005</v>
      </c>
      <c r="D1650" s="10">
        <v>9172</v>
      </c>
      <c r="E1650" s="10" t="s">
        <v>5090</v>
      </c>
      <c r="F1650" s="10" t="s">
        <v>2406</v>
      </c>
      <c r="G1650" s="10" t="s">
        <v>4532</v>
      </c>
      <c r="H1650" s="10" t="s">
        <v>2629</v>
      </c>
      <c r="I1650" s="10" t="s">
        <v>2462</v>
      </c>
    </row>
    <row r="1651" spans="1:9" x14ac:dyDescent="0.25">
      <c r="A1651">
        <v>974</v>
      </c>
      <c r="B1651" s="10" t="s">
        <v>4961</v>
      </c>
      <c r="C1651" s="10" t="s">
        <v>5005</v>
      </c>
      <c r="D1651" s="10">
        <v>9173</v>
      </c>
      <c r="E1651" s="10" t="s">
        <v>5091</v>
      </c>
      <c r="F1651" s="10" t="s">
        <v>2510</v>
      </c>
      <c r="G1651" s="10" t="s">
        <v>2329</v>
      </c>
      <c r="H1651" s="10" t="s">
        <v>2503</v>
      </c>
      <c r="I1651" s="10" t="s">
        <v>2503</v>
      </c>
    </row>
    <row r="1652" spans="1:9" x14ac:dyDescent="0.25">
      <c r="A1652">
        <v>975</v>
      </c>
      <c r="B1652" s="10" t="s">
        <v>4961</v>
      </c>
      <c r="C1652" s="10" t="s">
        <v>5005</v>
      </c>
      <c r="D1652" s="10">
        <v>9174</v>
      </c>
      <c r="E1652" s="10" t="s">
        <v>5092</v>
      </c>
      <c r="F1652" s="10" t="s">
        <v>2510</v>
      </c>
      <c r="G1652" s="10" t="s">
        <v>2329</v>
      </c>
      <c r="H1652" s="10" t="s">
        <v>2503</v>
      </c>
      <c r="I1652" s="10" t="s">
        <v>2503</v>
      </c>
    </row>
    <row r="1653" spans="1:9" x14ac:dyDescent="0.25">
      <c r="A1653">
        <v>1085</v>
      </c>
      <c r="B1653" s="10" t="s">
        <v>4949</v>
      </c>
      <c r="C1653" s="10" t="s">
        <v>5014</v>
      </c>
      <c r="D1653" s="10">
        <v>9193</v>
      </c>
      <c r="E1653" s="10" t="s">
        <v>5093</v>
      </c>
      <c r="F1653" s="10" t="s">
        <v>5094</v>
      </c>
      <c r="G1653" s="10" t="s">
        <v>5095</v>
      </c>
      <c r="H1653" s="10" t="s">
        <v>5096</v>
      </c>
      <c r="I1653" s="10" t="s">
        <v>3336</v>
      </c>
    </row>
    <row r="1654" spans="1:9" x14ac:dyDescent="0.25">
      <c r="A1654">
        <v>1086</v>
      </c>
      <c r="B1654" s="10" t="s">
        <v>4949</v>
      </c>
      <c r="C1654" s="10" t="s">
        <v>5014</v>
      </c>
      <c r="D1654" s="10">
        <v>9195</v>
      </c>
      <c r="E1654" s="10" t="s">
        <v>5097</v>
      </c>
      <c r="F1654" s="10" t="s">
        <v>2279</v>
      </c>
      <c r="G1654" s="10" t="s">
        <v>3695</v>
      </c>
      <c r="H1654" s="10" t="s">
        <v>3336</v>
      </c>
      <c r="I1654" s="10" t="s">
        <v>3748</v>
      </c>
    </row>
    <row r="1655" spans="1:9" x14ac:dyDescent="0.25">
      <c r="A1655">
        <v>1096</v>
      </c>
      <c r="B1655" s="10" t="s">
        <v>4949</v>
      </c>
      <c r="C1655" s="10" t="s">
        <v>4979</v>
      </c>
      <c r="D1655" s="10">
        <v>9196</v>
      </c>
      <c r="E1655" s="10" t="s">
        <v>5098</v>
      </c>
      <c r="F1655" s="10" t="s">
        <v>4577</v>
      </c>
      <c r="G1655" s="10" t="s">
        <v>3039</v>
      </c>
      <c r="H1655" s="10" t="s">
        <v>5099</v>
      </c>
      <c r="I1655" s="10" t="s">
        <v>2276</v>
      </c>
    </row>
    <row r="1656" spans="1:9" x14ac:dyDescent="0.25">
      <c r="A1656">
        <v>1097</v>
      </c>
      <c r="B1656" s="10" t="s">
        <v>4949</v>
      </c>
      <c r="C1656" s="10" t="s">
        <v>4979</v>
      </c>
      <c r="D1656" s="10">
        <v>9197</v>
      </c>
      <c r="E1656" s="10" t="s">
        <v>5100</v>
      </c>
      <c r="F1656" s="10" t="s">
        <v>4577</v>
      </c>
      <c r="G1656" s="10" t="s">
        <v>3039</v>
      </c>
      <c r="H1656" s="10" t="s">
        <v>5099</v>
      </c>
      <c r="I1656" s="10" t="s">
        <v>2276</v>
      </c>
    </row>
    <row r="1657" spans="1:9" x14ac:dyDescent="0.25">
      <c r="A1657">
        <v>976</v>
      </c>
      <c r="B1657" s="10" t="s">
        <v>4961</v>
      </c>
      <c r="C1657" s="10" t="s">
        <v>5005</v>
      </c>
      <c r="D1657" s="10">
        <v>9198</v>
      </c>
      <c r="E1657" s="10" t="s">
        <v>5101</v>
      </c>
      <c r="F1657" s="10" t="s">
        <v>2333</v>
      </c>
      <c r="G1657" s="10" t="s">
        <v>2334</v>
      </c>
      <c r="H1657" s="10" t="s">
        <v>2246</v>
      </c>
      <c r="I1657" s="10" t="s">
        <v>2246</v>
      </c>
    </row>
    <row r="1658" spans="1:9" x14ac:dyDescent="0.25">
      <c r="A1658">
        <v>1010</v>
      </c>
      <c r="B1658" s="10" t="s">
        <v>4961</v>
      </c>
      <c r="C1658" s="10" t="s">
        <v>5102</v>
      </c>
      <c r="D1658" s="10">
        <v>9202</v>
      </c>
      <c r="E1658" s="10" t="s">
        <v>5103</v>
      </c>
      <c r="F1658" s="10" t="s">
        <v>2220</v>
      </c>
      <c r="G1658" s="10" t="s">
        <v>2475</v>
      </c>
      <c r="H1658" s="10" t="s">
        <v>4370</v>
      </c>
      <c r="I1658" s="10" t="s">
        <v>2496</v>
      </c>
    </row>
    <row r="1659" spans="1:9" x14ac:dyDescent="0.25">
      <c r="A1659">
        <v>943</v>
      </c>
      <c r="B1659" s="10" t="s">
        <v>4961</v>
      </c>
      <c r="C1659" s="10" t="s">
        <v>5104</v>
      </c>
      <c r="D1659" s="10">
        <v>9206</v>
      </c>
      <c r="E1659" s="10" t="s">
        <v>5105</v>
      </c>
      <c r="F1659" s="10" t="s">
        <v>2874</v>
      </c>
      <c r="G1659" s="10" t="s">
        <v>2793</v>
      </c>
      <c r="H1659" s="10" t="s">
        <v>3558</v>
      </c>
      <c r="I1659" s="10" t="s">
        <v>5106</v>
      </c>
    </row>
    <row r="1660" spans="1:9" x14ac:dyDescent="0.25">
      <c r="A1660">
        <v>998</v>
      </c>
      <c r="B1660" s="10" t="s">
        <v>4961</v>
      </c>
      <c r="C1660" s="10" t="s">
        <v>5107</v>
      </c>
      <c r="D1660" s="10">
        <v>9209</v>
      </c>
      <c r="E1660" s="10" t="s">
        <v>5108</v>
      </c>
      <c r="F1660" s="10" t="s">
        <v>2406</v>
      </c>
      <c r="G1660" s="10" t="s">
        <v>3016</v>
      </c>
      <c r="H1660" s="10" t="s">
        <v>3450</v>
      </c>
      <c r="I1660" s="10" t="s">
        <v>5109</v>
      </c>
    </row>
    <row r="1661" spans="1:9" x14ac:dyDescent="0.25">
      <c r="A1661">
        <v>1090</v>
      </c>
      <c r="B1661" s="10" t="s">
        <v>4949</v>
      </c>
      <c r="C1661" s="10" t="s">
        <v>5110</v>
      </c>
      <c r="D1661" s="10">
        <v>9212</v>
      </c>
      <c r="E1661" s="10" t="s">
        <v>5111</v>
      </c>
      <c r="F1661" s="10" t="s">
        <v>2279</v>
      </c>
      <c r="G1661" s="10" t="s">
        <v>4514</v>
      </c>
      <c r="H1661" s="10" t="s">
        <v>2462</v>
      </c>
      <c r="I1661" s="10" t="s">
        <v>2904</v>
      </c>
    </row>
    <row r="1662" spans="1:9" x14ac:dyDescent="0.25">
      <c r="A1662">
        <v>1091</v>
      </c>
      <c r="B1662" s="10" t="s">
        <v>4949</v>
      </c>
      <c r="C1662" s="10" t="s">
        <v>5110</v>
      </c>
      <c r="D1662" s="10">
        <v>9213</v>
      </c>
      <c r="E1662" s="10" t="s">
        <v>5112</v>
      </c>
      <c r="F1662" s="10" t="s">
        <v>2279</v>
      </c>
      <c r="G1662" s="10" t="s">
        <v>4514</v>
      </c>
      <c r="H1662" s="10" t="s">
        <v>2462</v>
      </c>
      <c r="I1662" s="10" t="s">
        <v>2904</v>
      </c>
    </row>
    <row r="1663" spans="1:9" x14ac:dyDescent="0.25">
      <c r="A1663">
        <v>1092</v>
      </c>
      <c r="B1663" s="10" t="s">
        <v>4949</v>
      </c>
      <c r="C1663" s="10" t="s">
        <v>5110</v>
      </c>
      <c r="D1663" s="10">
        <v>9214</v>
      </c>
      <c r="E1663" s="10" t="s">
        <v>5113</v>
      </c>
      <c r="F1663" s="10" t="s">
        <v>2279</v>
      </c>
      <c r="G1663" s="10" t="s">
        <v>4514</v>
      </c>
      <c r="H1663" s="10" t="s">
        <v>2462</v>
      </c>
      <c r="I1663" s="10" t="s">
        <v>2904</v>
      </c>
    </row>
    <row r="1664" spans="1:9" x14ac:dyDescent="0.25">
      <c r="A1664">
        <v>999</v>
      </c>
      <c r="B1664" s="10" t="s">
        <v>4961</v>
      </c>
      <c r="C1664" s="10" t="s">
        <v>5107</v>
      </c>
      <c r="D1664" s="10">
        <v>9215</v>
      </c>
      <c r="E1664" s="10" t="s">
        <v>5114</v>
      </c>
      <c r="F1664" s="10" t="s">
        <v>2262</v>
      </c>
      <c r="G1664" s="10" t="s">
        <v>2636</v>
      </c>
      <c r="H1664" s="10" t="s">
        <v>2221</v>
      </c>
      <c r="I1664" s="10" t="s">
        <v>2231</v>
      </c>
    </row>
    <row r="1665" spans="1:9" x14ac:dyDescent="0.25">
      <c r="A1665">
        <v>1000</v>
      </c>
      <c r="B1665" s="10" t="s">
        <v>4961</v>
      </c>
      <c r="C1665" s="10" t="s">
        <v>5107</v>
      </c>
      <c r="D1665" s="10">
        <v>9216</v>
      </c>
      <c r="E1665" s="10" t="s">
        <v>5115</v>
      </c>
      <c r="F1665" s="10" t="s">
        <v>2243</v>
      </c>
      <c r="G1665" s="10" t="s">
        <v>2244</v>
      </c>
      <c r="H1665" s="10" t="s">
        <v>2213</v>
      </c>
      <c r="I1665" s="10" t="s">
        <v>2213</v>
      </c>
    </row>
    <row r="1666" spans="1:9" x14ac:dyDescent="0.25">
      <c r="A1666">
        <v>996</v>
      </c>
      <c r="B1666" s="10" t="s">
        <v>4961</v>
      </c>
      <c r="C1666" s="10" t="s">
        <v>5116</v>
      </c>
      <c r="D1666" s="10">
        <v>9217</v>
      </c>
      <c r="E1666" s="10" t="s">
        <v>5117</v>
      </c>
      <c r="F1666" s="10" t="s">
        <v>2461</v>
      </c>
      <c r="G1666" s="10" t="s">
        <v>4566</v>
      </c>
      <c r="H1666" s="10" t="s">
        <v>2431</v>
      </c>
      <c r="I1666" s="10" t="s">
        <v>2431</v>
      </c>
    </row>
    <row r="1667" spans="1:9" x14ac:dyDescent="0.25">
      <c r="A1667">
        <v>997</v>
      </c>
      <c r="B1667" s="10" t="s">
        <v>4961</v>
      </c>
      <c r="C1667" s="10" t="s">
        <v>5116</v>
      </c>
      <c r="D1667" s="10">
        <v>9218</v>
      </c>
      <c r="E1667" s="10" t="s">
        <v>5118</v>
      </c>
      <c r="F1667" s="10" t="s">
        <v>2262</v>
      </c>
      <c r="G1667" s="10" t="s">
        <v>2636</v>
      </c>
      <c r="H1667" s="10" t="s">
        <v>2231</v>
      </c>
      <c r="I1667" s="10" t="s">
        <v>2231</v>
      </c>
    </row>
    <row r="1668" spans="1:9" x14ac:dyDescent="0.25">
      <c r="A1668">
        <v>1003</v>
      </c>
      <c r="B1668" s="10" t="s">
        <v>4961</v>
      </c>
      <c r="C1668" s="10" t="s">
        <v>5119</v>
      </c>
      <c r="D1668" s="10">
        <v>9219</v>
      </c>
      <c r="E1668" s="10" t="s">
        <v>5120</v>
      </c>
      <c r="F1668" s="10" t="s">
        <v>2220</v>
      </c>
      <c r="G1668" s="10" t="s">
        <v>2475</v>
      </c>
      <c r="H1668" s="10" t="s">
        <v>2496</v>
      </c>
      <c r="I1668" s="10" t="s">
        <v>2496</v>
      </c>
    </row>
    <row r="1669" spans="1:9" x14ac:dyDescent="0.25">
      <c r="A1669">
        <v>1004</v>
      </c>
      <c r="B1669" s="10" t="s">
        <v>4961</v>
      </c>
      <c r="C1669" s="10" t="s">
        <v>5119</v>
      </c>
      <c r="D1669" s="10">
        <v>9220</v>
      </c>
      <c r="E1669" s="10" t="s">
        <v>5121</v>
      </c>
      <c r="F1669" s="10" t="s">
        <v>2659</v>
      </c>
      <c r="G1669" s="10" t="s">
        <v>2871</v>
      </c>
      <c r="H1669" s="10" t="s">
        <v>3199</v>
      </c>
      <c r="I1669" s="10" t="s">
        <v>3199</v>
      </c>
    </row>
    <row r="1670" spans="1:9" x14ac:dyDescent="0.25">
      <c r="A1670">
        <v>1005</v>
      </c>
      <c r="B1670" s="10" t="s">
        <v>4961</v>
      </c>
      <c r="C1670" s="10" t="s">
        <v>5119</v>
      </c>
      <c r="D1670" s="10">
        <v>9221</v>
      </c>
      <c r="E1670" s="10" t="s">
        <v>5122</v>
      </c>
      <c r="F1670" s="10" t="s">
        <v>2598</v>
      </c>
      <c r="G1670" s="10" t="s">
        <v>2368</v>
      </c>
      <c r="H1670" s="10" t="s">
        <v>2213</v>
      </c>
      <c r="I1670" s="10" t="s">
        <v>2213</v>
      </c>
    </row>
    <row r="1671" spans="1:9" x14ac:dyDescent="0.25">
      <c r="A1671">
        <v>1001</v>
      </c>
      <c r="B1671" s="10" t="s">
        <v>4961</v>
      </c>
      <c r="C1671" s="10" t="s">
        <v>5107</v>
      </c>
      <c r="D1671" s="10">
        <v>9223</v>
      </c>
      <c r="E1671" s="10" t="s">
        <v>5123</v>
      </c>
      <c r="F1671" s="10" t="s">
        <v>2400</v>
      </c>
      <c r="G1671" s="10" t="s">
        <v>2123</v>
      </c>
      <c r="H1671" s="10" t="s">
        <v>2221</v>
      </c>
      <c r="I1671" s="10" t="s">
        <v>2258</v>
      </c>
    </row>
    <row r="1672" spans="1:9" x14ac:dyDescent="0.25">
      <c r="A1672">
        <v>1002</v>
      </c>
      <c r="B1672" s="10" t="s">
        <v>4961</v>
      </c>
      <c r="C1672" s="10" t="s">
        <v>5107</v>
      </c>
      <c r="D1672" s="10">
        <v>9224</v>
      </c>
      <c r="E1672" s="10" t="s">
        <v>5124</v>
      </c>
      <c r="F1672" s="10">
        <v>39.950000000000003</v>
      </c>
      <c r="G1672" s="10">
        <v>3.33</v>
      </c>
      <c r="H1672" s="10">
        <v>0</v>
      </c>
      <c r="I1672" s="10">
        <v>4.79</v>
      </c>
    </row>
    <row r="1673" spans="1:9" x14ac:dyDescent="0.25">
      <c r="A1673">
        <v>952</v>
      </c>
      <c r="B1673" s="10" t="s">
        <v>4961</v>
      </c>
      <c r="C1673" s="10" t="s">
        <v>5125</v>
      </c>
      <c r="D1673" s="10">
        <v>9225</v>
      </c>
      <c r="E1673" s="10" t="s">
        <v>5126</v>
      </c>
      <c r="F1673" s="10" t="s">
        <v>2406</v>
      </c>
      <c r="G1673" s="10" t="s">
        <v>2273</v>
      </c>
      <c r="H1673" s="10" t="s">
        <v>2640</v>
      </c>
      <c r="I1673" s="10" t="s">
        <v>2118</v>
      </c>
    </row>
    <row r="1674" spans="1:9" x14ac:dyDescent="0.25">
      <c r="A1674">
        <v>953</v>
      </c>
      <c r="B1674" s="10" t="s">
        <v>4961</v>
      </c>
      <c r="C1674" s="10" t="s">
        <v>5125</v>
      </c>
      <c r="D1674" s="10">
        <v>9226</v>
      </c>
      <c r="E1674" s="10" t="s">
        <v>5127</v>
      </c>
      <c r="F1674" s="10" t="s">
        <v>2406</v>
      </c>
      <c r="G1674" s="10" t="s">
        <v>2273</v>
      </c>
      <c r="H1674" s="10" t="s">
        <v>2640</v>
      </c>
      <c r="I1674" s="10" t="s">
        <v>2118</v>
      </c>
    </row>
    <row r="1675" spans="1:9" x14ac:dyDescent="0.25">
      <c r="A1675">
        <v>954</v>
      </c>
      <c r="B1675" s="10" t="s">
        <v>4961</v>
      </c>
      <c r="C1675" s="10" t="s">
        <v>5125</v>
      </c>
      <c r="D1675" s="10">
        <v>9227</v>
      </c>
      <c r="E1675" s="10" t="s">
        <v>5128</v>
      </c>
      <c r="F1675" s="10" t="s">
        <v>2406</v>
      </c>
      <c r="G1675" s="10" t="s">
        <v>2273</v>
      </c>
      <c r="H1675" s="10" t="s">
        <v>2640</v>
      </c>
      <c r="I1675" s="10" t="s">
        <v>2118</v>
      </c>
    </row>
    <row r="1676" spans="1:9" x14ac:dyDescent="0.25">
      <c r="A1676">
        <v>955</v>
      </c>
      <c r="B1676" s="10" t="s">
        <v>4961</v>
      </c>
      <c r="C1676" s="10" t="s">
        <v>5125</v>
      </c>
      <c r="D1676" s="10">
        <v>9228</v>
      </c>
      <c r="E1676" s="10" t="s">
        <v>5129</v>
      </c>
      <c r="F1676" s="10" t="s">
        <v>2932</v>
      </c>
      <c r="G1676" s="10" t="s">
        <v>2494</v>
      </c>
      <c r="H1676" s="10" t="s">
        <v>3353</v>
      </c>
      <c r="I1676" s="10" t="s">
        <v>2868</v>
      </c>
    </row>
    <row r="1677" spans="1:9" x14ac:dyDescent="0.25">
      <c r="A1677">
        <v>956</v>
      </c>
      <c r="B1677" s="10" t="s">
        <v>4961</v>
      </c>
      <c r="C1677" s="10" t="s">
        <v>5125</v>
      </c>
      <c r="D1677" s="10">
        <v>9229</v>
      </c>
      <c r="E1677" s="10" t="s">
        <v>5130</v>
      </c>
      <c r="F1677" s="10" t="s">
        <v>2932</v>
      </c>
      <c r="G1677" s="10" t="s">
        <v>2494</v>
      </c>
      <c r="H1677" s="10" t="s">
        <v>3353</v>
      </c>
      <c r="I1677" s="10" t="s">
        <v>2868</v>
      </c>
    </row>
    <row r="1678" spans="1:9" x14ac:dyDescent="0.25">
      <c r="A1678">
        <v>957</v>
      </c>
      <c r="B1678" s="10" t="s">
        <v>4961</v>
      </c>
      <c r="C1678" s="10" t="s">
        <v>5125</v>
      </c>
      <c r="D1678" s="10">
        <v>9230</v>
      </c>
      <c r="E1678" s="10" t="s">
        <v>5131</v>
      </c>
      <c r="F1678" s="10" t="s">
        <v>5132</v>
      </c>
      <c r="G1678" s="10" t="s">
        <v>2630</v>
      </c>
      <c r="H1678" s="10" t="s">
        <v>3269</v>
      </c>
      <c r="I1678" s="10" t="s">
        <v>2415</v>
      </c>
    </row>
    <row r="1679" spans="1:9" x14ac:dyDescent="0.25">
      <c r="A1679">
        <v>934</v>
      </c>
      <c r="B1679" s="10" t="s">
        <v>4961</v>
      </c>
      <c r="C1679" s="10" t="s">
        <v>5028</v>
      </c>
      <c r="D1679" s="10">
        <v>9231</v>
      </c>
      <c r="E1679" s="10" t="s">
        <v>5133</v>
      </c>
      <c r="F1679" s="10" t="s">
        <v>2365</v>
      </c>
      <c r="G1679" s="10" t="s">
        <v>2366</v>
      </c>
      <c r="H1679" s="10" t="s">
        <v>3139</v>
      </c>
      <c r="I1679" s="10" t="s">
        <v>2315</v>
      </c>
    </row>
    <row r="1680" spans="1:9" x14ac:dyDescent="0.25">
      <c r="A1680">
        <v>935</v>
      </c>
      <c r="B1680" s="10" t="s">
        <v>4961</v>
      </c>
      <c r="C1680" s="10" t="s">
        <v>5028</v>
      </c>
      <c r="D1680" s="10">
        <v>9233</v>
      </c>
      <c r="E1680" s="10" t="s">
        <v>5134</v>
      </c>
      <c r="F1680" s="10" t="s">
        <v>2344</v>
      </c>
      <c r="G1680" s="10" t="s">
        <v>2241</v>
      </c>
      <c r="H1680" s="10" t="s">
        <v>2793</v>
      </c>
      <c r="I1680" s="10" t="s">
        <v>2246</v>
      </c>
    </row>
    <row r="1681" spans="1:9" x14ac:dyDescent="0.25">
      <c r="A1681">
        <v>936</v>
      </c>
      <c r="B1681" s="10" t="s">
        <v>4961</v>
      </c>
      <c r="C1681" s="10" t="s">
        <v>5028</v>
      </c>
      <c r="D1681" s="10">
        <v>9240</v>
      </c>
      <c r="E1681" s="10" t="s">
        <v>5135</v>
      </c>
      <c r="F1681" s="10" t="s">
        <v>2365</v>
      </c>
      <c r="G1681" s="10" t="s">
        <v>2366</v>
      </c>
      <c r="H1681" s="10" t="s">
        <v>3139</v>
      </c>
      <c r="I1681" s="10" t="s">
        <v>2315</v>
      </c>
    </row>
    <row r="1682" spans="1:9" x14ac:dyDescent="0.25">
      <c r="A1682">
        <v>937</v>
      </c>
      <c r="B1682" s="10" t="s">
        <v>4961</v>
      </c>
      <c r="C1682" s="10" t="s">
        <v>5028</v>
      </c>
      <c r="D1682" s="10">
        <v>9241</v>
      </c>
      <c r="E1682" s="10" t="s">
        <v>5136</v>
      </c>
      <c r="F1682" s="10" t="s">
        <v>2365</v>
      </c>
      <c r="G1682" s="10" t="s">
        <v>2366</v>
      </c>
      <c r="H1682" s="10" t="s">
        <v>3139</v>
      </c>
      <c r="I1682" s="10" t="s">
        <v>2315</v>
      </c>
    </row>
    <row r="1683" spans="1:9" x14ac:dyDescent="0.25">
      <c r="A1683">
        <v>1006</v>
      </c>
      <c r="B1683" s="10" t="s">
        <v>4961</v>
      </c>
      <c r="C1683" s="10" t="s">
        <v>5137</v>
      </c>
      <c r="D1683" s="10">
        <v>9250</v>
      </c>
      <c r="E1683" s="10" t="s">
        <v>5138</v>
      </c>
      <c r="F1683" s="10" t="s">
        <v>2747</v>
      </c>
      <c r="G1683" s="10" t="s">
        <v>3468</v>
      </c>
      <c r="H1683" s="10" t="s">
        <v>3100</v>
      </c>
      <c r="I1683" s="10" t="s">
        <v>3757</v>
      </c>
    </row>
    <row r="1684" spans="1:9" x14ac:dyDescent="0.25">
      <c r="A1684">
        <v>1007</v>
      </c>
      <c r="B1684" s="10" t="s">
        <v>4961</v>
      </c>
      <c r="C1684" s="10" t="s">
        <v>5137</v>
      </c>
      <c r="D1684" s="10">
        <v>9251</v>
      </c>
      <c r="E1684" s="10" t="s">
        <v>5139</v>
      </c>
      <c r="F1684" s="10" t="s">
        <v>2412</v>
      </c>
      <c r="G1684" s="10" t="s">
        <v>2413</v>
      </c>
      <c r="H1684" s="10" t="s">
        <v>2401</v>
      </c>
      <c r="I1684" s="10" t="s">
        <v>2123</v>
      </c>
    </row>
    <row r="1685" spans="1:9" x14ac:dyDescent="0.25">
      <c r="A1685">
        <v>1008</v>
      </c>
      <c r="B1685" s="10" t="s">
        <v>4961</v>
      </c>
      <c r="C1685" s="10" t="s">
        <v>5137</v>
      </c>
      <c r="D1685" s="10">
        <v>9252</v>
      </c>
      <c r="E1685" s="10" t="s">
        <v>5140</v>
      </c>
      <c r="F1685" s="10" t="s">
        <v>2284</v>
      </c>
      <c r="G1685" s="10" t="s">
        <v>2221</v>
      </c>
      <c r="H1685" s="10" t="s">
        <v>2464</v>
      </c>
      <c r="I1685" s="10" t="s">
        <v>2464</v>
      </c>
    </row>
    <row r="1686" spans="1:9" x14ac:dyDescent="0.25">
      <c r="A1686">
        <v>1009</v>
      </c>
      <c r="B1686" s="10" t="s">
        <v>4961</v>
      </c>
      <c r="C1686" s="10" t="s">
        <v>5137</v>
      </c>
      <c r="D1686" s="10">
        <v>9253</v>
      </c>
      <c r="E1686" s="10" t="s">
        <v>5141</v>
      </c>
      <c r="F1686" s="10" t="s">
        <v>2747</v>
      </c>
      <c r="G1686" s="10" t="s">
        <v>3468</v>
      </c>
      <c r="H1686" s="10" t="s">
        <v>3100</v>
      </c>
      <c r="I1686" s="10" t="s">
        <v>3757</v>
      </c>
    </row>
    <row r="1687" spans="1:9" x14ac:dyDescent="0.25">
      <c r="A1687">
        <v>1089</v>
      </c>
      <c r="B1687" s="10" t="s">
        <v>4949</v>
      </c>
      <c r="C1687" s="10" t="s">
        <v>5142</v>
      </c>
      <c r="D1687" s="10">
        <v>9257</v>
      </c>
      <c r="E1687" s="10" t="s">
        <v>5143</v>
      </c>
      <c r="F1687" s="10" t="s">
        <v>2446</v>
      </c>
      <c r="G1687" s="10" t="s">
        <v>2879</v>
      </c>
      <c r="H1687" s="10" t="s">
        <v>5144</v>
      </c>
      <c r="I1687" s="10" t="s">
        <v>2431</v>
      </c>
    </row>
    <row r="1688" spans="1:9" x14ac:dyDescent="0.25">
      <c r="A1688">
        <v>1104</v>
      </c>
      <c r="B1688" s="10" t="s">
        <v>4949</v>
      </c>
      <c r="C1688" s="10" t="s">
        <v>5145</v>
      </c>
      <c r="D1688" s="10">
        <v>9260</v>
      </c>
      <c r="E1688" s="10" t="s">
        <v>5146</v>
      </c>
      <c r="F1688" s="10" t="s">
        <v>2262</v>
      </c>
      <c r="G1688" s="10" t="s">
        <v>5147</v>
      </c>
      <c r="H1688" s="10" t="s">
        <v>2213</v>
      </c>
      <c r="I1688" s="10" t="s">
        <v>3199</v>
      </c>
    </row>
    <row r="1689" spans="1:9" x14ac:dyDescent="0.25">
      <c r="A1689">
        <v>1093</v>
      </c>
      <c r="B1689" s="10" t="s">
        <v>4949</v>
      </c>
      <c r="C1689" s="10" t="s">
        <v>5110</v>
      </c>
      <c r="D1689" s="10">
        <v>9268</v>
      </c>
      <c r="E1689" s="10" t="s">
        <v>5148</v>
      </c>
      <c r="F1689" s="10" t="s">
        <v>2412</v>
      </c>
      <c r="G1689" s="10" t="s">
        <v>2413</v>
      </c>
      <c r="H1689" s="10" t="s">
        <v>2647</v>
      </c>
      <c r="I1689" s="10" t="s">
        <v>2123</v>
      </c>
    </row>
    <row r="1690" spans="1:9" x14ac:dyDescent="0.25">
      <c r="A1690">
        <v>938</v>
      </c>
      <c r="B1690" s="10" t="s">
        <v>4961</v>
      </c>
      <c r="C1690" s="10" t="s">
        <v>5028</v>
      </c>
      <c r="D1690" s="10">
        <v>9278</v>
      </c>
      <c r="E1690" s="10" t="s">
        <v>5149</v>
      </c>
      <c r="F1690" s="10" t="s">
        <v>2365</v>
      </c>
      <c r="G1690" s="10" t="s">
        <v>2366</v>
      </c>
      <c r="H1690" s="10" t="s">
        <v>3139</v>
      </c>
      <c r="I1690" s="10" t="s">
        <v>2315</v>
      </c>
    </row>
    <row r="1691" spans="1:9" x14ac:dyDescent="0.25">
      <c r="A1691">
        <v>939</v>
      </c>
      <c r="B1691" s="10" t="s">
        <v>4961</v>
      </c>
      <c r="C1691" s="10" t="s">
        <v>5028</v>
      </c>
      <c r="D1691" s="10">
        <v>9279</v>
      </c>
      <c r="E1691" s="10" t="s">
        <v>5150</v>
      </c>
      <c r="F1691" s="10" t="s">
        <v>2365</v>
      </c>
      <c r="G1691" s="10" t="s">
        <v>2366</v>
      </c>
      <c r="H1691" s="10" t="s">
        <v>3139</v>
      </c>
      <c r="I1691" s="10" t="s">
        <v>2315</v>
      </c>
    </row>
    <row r="1692" spans="1:9" x14ac:dyDescent="0.25">
      <c r="A1692">
        <v>940</v>
      </c>
      <c r="B1692" s="10" t="s">
        <v>4961</v>
      </c>
      <c r="C1692" s="10" t="s">
        <v>5028</v>
      </c>
      <c r="D1692" s="10">
        <v>9280</v>
      </c>
      <c r="E1692" s="10" t="s">
        <v>5151</v>
      </c>
      <c r="F1692" s="10" t="s">
        <v>2598</v>
      </c>
      <c r="G1692" s="10" t="s">
        <v>2368</v>
      </c>
      <c r="H1692" s="10" t="s">
        <v>4137</v>
      </c>
      <c r="I1692" s="10" t="s">
        <v>2213</v>
      </c>
    </row>
    <row r="1693" spans="1:9" x14ac:dyDescent="0.25">
      <c r="A1693">
        <v>941</v>
      </c>
      <c r="B1693" s="10" t="s">
        <v>4961</v>
      </c>
      <c r="C1693" s="10" t="s">
        <v>5028</v>
      </c>
      <c r="D1693" s="10">
        <v>9281</v>
      </c>
      <c r="E1693" s="10" t="s">
        <v>5152</v>
      </c>
      <c r="F1693" s="10" t="s">
        <v>2365</v>
      </c>
      <c r="G1693" s="10" t="s">
        <v>2366</v>
      </c>
      <c r="H1693" s="10" t="s">
        <v>3139</v>
      </c>
      <c r="I1693" s="10" t="s">
        <v>2315</v>
      </c>
    </row>
    <row r="1694" spans="1:9" x14ac:dyDescent="0.25">
      <c r="A1694">
        <v>944</v>
      </c>
      <c r="B1694" s="10" t="s">
        <v>4961</v>
      </c>
      <c r="C1694" s="10" t="s">
        <v>5153</v>
      </c>
      <c r="D1694" s="10">
        <v>9283</v>
      </c>
      <c r="E1694" s="10" t="s">
        <v>5154</v>
      </c>
      <c r="F1694" s="10" t="s">
        <v>2598</v>
      </c>
      <c r="G1694" s="10" t="s">
        <v>2368</v>
      </c>
      <c r="H1694" s="10" t="s">
        <v>2213</v>
      </c>
      <c r="I1694" s="10" t="s">
        <v>2213</v>
      </c>
    </row>
    <row r="1695" spans="1:9" x14ac:dyDescent="0.25">
      <c r="A1695">
        <v>942</v>
      </c>
      <c r="B1695" s="10" t="s">
        <v>4961</v>
      </c>
      <c r="C1695" s="10" t="s">
        <v>5028</v>
      </c>
      <c r="D1695" s="10">
        <v>9284</v>
      </c>
      <c r="E1695" s="10" t="s">
        <v>5155</v>
      </c>
      <c r="F1695" s="10" t="s">
        <v>2442</v>
      </c>
      <c r="G1695" s="10" t="s">
        <v>2675</v>
      </c>
      <c r="H1695" s="10" t="s">
        <v>5063</v>
      </c>
      <c r="I1695" s="10" t="s">
        <v>2231</v>
      </c>
    </row>
    <row r="1696" spans="1:9" x14ac:dyDescent="0.25">
      <c r="A1696">
        <v>1105</v>
      </c>
      <c r="B1696" s="10" t="s">
        <v>4949</v>
      </c>
      <c r="C1696" s="10" t="s">
        <v>5145</v>
      </c>
      <c r="D1696" s="10">
        <v>9285</v>
      </c>
      <c r="E1696" s="10" t="s">
        <v>5156</v>
      </c>
      <c r="F1696" s="10" t="s">
        <v>5157</v>
      </c>
      <c r="G1696" s="10" t="s">
        <v>3843</v>
      </c>
      <c r="H1696" s="10" t="s">
        <v>4145</v>
      </c>
      <c r="I1696" s="10" t="s">
        <v>2246</v>
      </c>
    </row>
    <row r="1697" spans="1:9" x14ac:dyDescent="0.25">
      <c r="A1697">
        <v>1074</v>
      </c>
      <c r="B1697" s="10" t="s">
        <v>4949</v>
      </c>
      <c r="C1697" s="10" t="s">
        <v>5158</v>
      </c>
      <c r="D1697" s="10">
        <v>9290</v>
      </c>
      <c r="E1697" s="10" t="s">
        <v>5159</v>
      </c>
      <c r="F1697" s="10" t="s">
        <v>2406</v>
      </c>
      <c r="G1697" s="10" t="s">
        <v>4532</v>
      </c>
      <c r="H1697" s="10" t="s">
        <v>3336</v>
      </c>
      <c r="I1697" s="10" t="s">
        <v>2462</v>
      </c>
    </row>
    <row r="1698" spans="1:9" x14ac:dyDescent="0.25">
      <c r="A1698">
        <v>1075</v>
      </c>
      <c r="B1698" s="10" t="s">
        <v>4949</v>
      </c>
      <c r="C1698" s="10" t="s">
        <v>5158</v>
      </c>
      <c r="D1698" s="10">
        <v>9291</v>
      </c>
      <c r="E1698" s="10" t="s">
        <v>5160</v>
      </c>
      <c r="F1698" s="10" t="s">
        <v>2406</v>
      </c>
      <c r="G1698" s="10" t="s">
        <v>4532</v>
      </c>
      <c r="H1698" s="10" t="s">
        <v>3336</v>
      </c>
      <c r="I1698" s="10" t="s">
        <v>2462</v>
      </c>
    </row>
    <row r="1699" spans="1:9" x14ac:dyDescent="0.25">
      <c r="A1699">
        <v>945</v>
      </c>
      <c r="B1699" s="10" t="s">
        <v>4961</v>
      </c>
      <c r="C1699" s="10" t="s">
        <v>5153</v>
      </c>
      <c r="D1699" s="10">
        <v>9295</v>
      </c>
      <c r="E1699" s="10" t="s">
        <v>5161</v>
      </c>
      <c r="F1699" s="10" t="s">
        <v>5162</v>
      </c>
      <c r="G1699" s="10" t="s">
        <v>3526</v>
      </c>
      <c r="H1699" s="10" t="s">
        <v>2213</v>
      </c>
      <c r="I1699" s="10" t="s">
        <v>2213</v>
      </c>
    </row>
    <row r="1700" spans="1:9" x14ac:dyDescent="0.25">
      <c r="A1700">
        <v>946</v>
      </c>
      <c r="B1700" s="10" t="s">
        <v>4961</v>
      </c>
      <c r="C1700" s="10" t="s">
        <v>5153</v>
      </c>
      <c r="D1700" s="10">
        <v>9296</v>
      </c>
      <c r="E1700" s="10" t="s">
        <v>5163</v>
      </c>
      <c r="F1700" s="10" t="s">
        <v>2248</v>
      </c>
      <c r="G1700" s="10" t="s">
        <v>2246</v>
      </c>
      <c r="H1700" s="10" t="s">
        <v>2812</v>
      </c>
      <c r="I1700" s="10" t="s">
        <v>2812</v>
      </c>
    </row>
    <row r="1701" spans="1:9" x14ac:dyDescent="0.25">
      <c r="A1701">
        <v>947</v>
      </c>
      <c r="B1701" s="10" t="s">
        <v>4961</v>
      </c>
      <c r="C1701" s="10" t="s">
        <v>5153</v>
      </c>
      <c r="D1701" s="10">
        <v>9297</v>
      </c>
      <c r="E1701" s="10" t="s">
        <v>5164</v>
      </c>
      <c r="F1701" s="10" t="s">
        <v>2659</v>
      </c>
      <c r="G1701" s="10" t="s">
        <v>2871</v>
      </c>
      <c r="H1701" s="10" t="s">
        <v>3199</v>
      </c>
      <c r="I1701" s="10" t="s">
        <v>3199</v>
      </c>
    </row>
    <row r="1702" spans="1:9" x14ac:dyDescent="0.25">
      <c r="A1702">
        <v>1076</v>
      </c>
      <c r="B1702" s="10" t="s">
        <v>4949</v>
      </c>
      <c r="C1702" s="10" t="s">
        <v>5158</v>
      </c>
      <c r="D1702" s="10">
        <v>9298</v>
      </c>
      <c r="E1702" s="10" t="s">
        <v>5165</v>
      </c>
      <c r="F1702" s="10" t="s">
        <v>2573</v>
      </c>
      <c r="G1702" s="10" t="s">
        <v>3551</v>
      </c>
      <c r="H1702" s="10" t="s">
        <v>5166</v>
      </c>
      <c r="I1702" s="10" t="s">
        <v>2431</v>
      </c>
    </row>
    <row r="1703" spans="1:9" x14ac:dyDescent="0.25">
      <c r="A1703">
        <v>1077</v>
      </c>
      <c r="B1703" s="10" t="s">
        <v>4949</v>
      </c>
      <c r="C1703" s="10" t="s">
        <v>5158</v>
      </c>
      <c r="D1703" s="10">
        <v>9299</v>
      </c>
      <c r="E1703" s="10" t="s">
        <v>5167</v>
      </c>
      <c r="F1703" s="10" t="s">
        <v>2573</v>
      </c>
      <c r="G1703" s="10" t="s">
        <v>3551</v>
      </c>
      <c r="H1703" s="10" t="s">
        <v>5166</v>
      </c>
      <c r="I1703" s="10" t="s">
        <v>2431</v>
      </c>
    </row>
    <row r="1704" spans="1:9" x14ac:dyDescent="0.25">
      <c r="A1704">
        <v>1048</v>
      </c>
      <c r="B1704" s="10" t="s">
        <v>4949</v>
      </c>
      <c r="C1704" s="10" t="s">
        <v>4953</v>
      </c>
      <c r="D1704" s="10">
        <v>9303</v>
      </c>
      <c r="E1704" s="10" t="s">
        <v>5168</v>
      </c>
      <c r="F1704" s="10" t="s">
        <v>2442</v>
      </c>
      <c r="G1704" s="10" t="s">
        <v>2675</v>
      </c>
      <c r="H1704" s="10" t="s">
        <v>5169</v>
      </c>
      <c r="I1704" s="10" t="s">
        <v>5085</v>
      </c>
    </row>
    <row r="1705" spans="1:9" x14ac:dyDescent="0.25">
      <c r="A1705">
        <v>1049</v>
      </c>
      <c r="B1705" s="10" t="s">
        <v>4949</v>
      </c>
      <c r="C1705" s="10" t="s">
        <v>4953</v>
      </c>
      <c r="D1705" s="10">
        <v>9304</v>
      </c>
      <c r="E1705" s="10" t="s">
        <v>5170</v>
      </c>
      <c r="F1705" s="10" t="s">
        <v>2442</v>
      </c>
      <c r="G1705" s="10" t="s">
        <v>2675</v>
      </c>
      <c r="H1705" s="10" t="s">
        <v>5169</v>
      </c>
      <c r="I1705" s="10" t="s">
        <v>5085</v>
      </c>
    </row>
    <row r="1706" spans="1:9" x14ac:dyDescent="0.25">
      <c r="A1706">
        <v>1050</v>
      </c>
      <c r="B1706" s="10" t="s">
        <v>4949</v>
      </c>
      <c r="C1706" s="10" t="s">
        <v>4953</v>
      </c>
      <c r="D1706" s="10">
        <v>9305</v>
      </c>
      <c r="E1706" s="10" t="s">
        <v>5171</v>
      </c>
      <c r="F1706" s="10" t="s">
        <v>2442</v>
      </c>
      <c r="G1706" s="10" t="s">
        <v>2675</v>
      </c>
      <c r="H1706" s="10" t="s">
        <v>5169</v>
      </c>
      <c r="I1706" s="10" t="s">
        <v>5085</v>
      </c>
    </row>
    <row r="1707" spans="1:9" x14ac:dyDescent="0.25">
      <c r="A1707">
        <v>1081</v>
      </c>
      <c r="B1707" s="10" t="s">
        <v>4949</v>
      </c>
      <c r="C1707" s="10" t="s">
        <v>5172</v>
      </c>
      <c r="D1707" s="10">
        <v>9310</v>
      </c>
      <c r="E1707" s="10" t="s">
        <v>5173</v>
      </c>
      <c r="F1707" s="10" t="s">
        <v>2470</v>
      </c>
      <c r="G1707" s="10" t="s">
        <v>2629</v>
      </c>
      <c r="H1707" s="10" t="s">
        <v>3706</v>
      </c>
      <c r="I1707" s="10" t="s">
        <v>2350</v>
      </c>
    </row>
    <row r="1708" spans="1:9" x14ac:dyDescent="0.25">
      <c r="A1708">
        <v>818</v>
      </c>
      <c r="B1708" s="10" t="s">
        <v>4316</v>
      </c>
      <c r="C1708" s="10" t="s">
        <v>2678</v>
      </c>
      <c r="D1708" s="10">
        <v>9311</v>
      </c>
      <c r="E1708" s="10" t="s">
        <v>5174</v>
      </c>
      <c r="F1708" s="10" t="s">
        <v>2365</v>
      </c>
      <c r="G1708" s="10" t="s">
        <v>2849</v>
      </c>
      <c r="H1708" s="10" t="s">
        <v>4946</v>
      </c>
      <c r="I1708" s="10" t="s">
        <v>2707</v>
      </c>
    </row>
    <row r="1709" spans="1:9" x14ac:dyDescent="0.25">
      <c r="A1709">
        <v>1051</v>
      </c>
      <c r="B1709" s="10" t="s">
        <v>4949</v>
      </c>
      <c r="C1709" s="10" t="s">
        <v>4953</v>
      </c>
      <c r="D1709" s="10">
        <v>9313</v>
      </c>
      <c r="E1709" s="10" t="s">
        <v>5175</v>
      </c>
      <c r="F1709" s="10" t="s">
        <v>2598</v>
      </c>
      <c r="G1709" s="10" t="s">
        <v>2368</v>
      </c>
      <c r="H1709" s="10" t="s">
        <v>2508</v>
      </c>
      <c r="I1709" s="10" t="s">
        <v>2213</v>
      </c>
    </row>
    <row r="1710" spans="1:9" x14ac:dyDescent="0.25">
      <c r="A1710">
        <v>1052</v>
      </c>
      <c r="B1710" s="10" t="s">
        <v>4949</v>
      </c>
      <c r="C1710" s="10" t="s">
        <v>4953</v>
      </c>
      <c r="D1710" s="10">
        <v>9314</v>
      </c>
      <c r="E1710" s="10" t="s">
        <v>5176</v>
      </c>
      <c r="F1710" s="10" t="s">
        <v>2598</v>
      </c>
      <c r="G1710" s="10" t="s">
        <v>2368</v>
      </c>
      <c r="H1710" s="10" t="s">
        <v>2508</v>
      </c>
      <c r="I1710" s="10" t="s">
        <v>2213</v>
      </c>
    </row>
    <row r="1711" spans="1:9" x14ac:dyDescent="0.25">
      <c r="A1711">
        <v>1067</v>
      </c>
      <c r="B1711" s="10" t="s">
        <v>4949</v>
      </c>
      <c r="C1711" s="10" t="s">
        <v>4989</v>
      </c>
      <c r="D1711" s="10">
        <v>9332</v>
      </c>
      <c r="E1711" s="10" t="s">
        <v>5177</v>
      </c>
      <c r="F1711" s="10" t="s">
        <v>2380</v>
      </c>
      <c r="G1711" s="10" t="s">
        <v>2381</v>
      </c>
      <c r="H1711" s="10" t="s">
        <v>5178</v>
      </c>
      <c r="I1711" s="10" t="s">
        <v>2223</v>
      </c>
    </row>
    <row r="1712" spans="1:9" x14ac:dyDescent="0.25">
      <c r="A1712">
        <v>992</v>
      </c>
      <c r="B1712" s="10" t="s">
        <v>4961</v>
      </c>
      <c r="C1712" s="10" t="s">
        <v>4992</v>
      </c>
      <c r="D1712" s="10">
        <v>9336</v>
      </c>
      <c r="E1712" s="10" t="s">
        <v>5179</v>
      </c>
      <c r="F1712" s="10" t="s">
        <v>3534</v>
      </c>
      <c r="G1712" s="10" t="s">
        <v>3535</v>
      </c>
      <c r="H1712" s="10" t="s">
        <v>3131</v>
      </c>
      <c r="I1712" s="10" t="s">
        <v>3131</v>
      </c>
    </row>
    <row r="1713" spans="1:9" x14ac:dyDescent="0.25">
      <c r="A1713">
        <v>993</v>
      </c>
      <c r="B1713" s="10" t="s">
        <v>4961</v>
      </c>
      <c r="C1713" s="10" t="s">
        <v>4992</v>
      </c>
      <c r="D1713" s="10">
        <v>9337</v>
      </c>
      <c r="E1713" s="10" t="s">
        <v>5180</v>
      </c>
      <c r="F1713" s="10" t="s">
        <v>2843</v>
      </c>
      <c r="G1713" s="10" t="s">
        <v>4076</v>
      </c>
      <c r="H1713" s="10" t="s">
        <v>2547</v>
      </c>
      <c r="I1713" s="10" t="s">
        <v>2547</v>
      </c>
    </row>
    <row r="1714" spans="1:9" x14ac:dyDescent="0.25">
      <c r="A1714">
        <v>994</v>
      </c>
      <c r="B1714" s="10" t="s">
        <v>4961</v>
      </c>
      <c r="C1714" s="10" t="s">
        <v>4992</v>
      </c>
      <c r="D1714" s="10">
        <v>9339</v>
      </c>
      <c r="E1714" s="10" t="s">
        <v>5181</v>
      </c>
      <c r="F1714" s="10" t="s">
        <v>2271</v>
      </c>
      <c r="G1714" s="10" t="s">
        <v>2612</v>
      </c>
      <c r="H1714" s="10" t="s">
        <v>3469</v>
      </c>
      <c r="I1714" s="10" t="s">
        <v>2464</v>
      </c>
    </row>
    <row r="1715" spans="1:9" x14ac:dyDescent="0.25">
      <c r="A1715">
        <v>977</v>
      </c>
      <c r="B1715" s="10" t="s">
        <v>4961</v>
      </c>
      <c r="C1715" s="10" t="s">
        <v>5005</v>
      </c>
      <c r="D1715" s="10">
        <v>9340</v>
      </c>
      <c r="E1715" s="10" t="s">
        <v>5182</v>
      </c>
      <c r="F1715" s="10" t="s">
        <v>5183</v>
      </c>
      <c r="G1715" s="10" t="s">
        <v>2834</v>
      </c>
      <c r="H1715" s="10" t="s">
        <v>3100</v>
      </c>
      <c r="I1715" s="10" t="s">
        <v>2363</v>
      </c>
    </row>
    <row r="1716" spans="1:9" x14ac:dyDescent="0.25">
      <c r="A1716">
        <v>978</v>
      </c>
      <c r="B1716" s="10" t="s">
        <v>4961</v>
      </c>
      <c r="C1716" s="10" t="s">
        <v>5005</v>
      </c>
      <c r="D1716" s="10">
        <v>9344</v>
      </c>
      <c r="E1716" s="10" t="s">
        <v>5184</v>
      </c>
      <c r="F1716" s="10" t="s">
        <v>5183</v>
      </c>
      <c r="G1716" s="10" t="s">
        <v>2834</v>
      </c>
      <c r="H1716" s="10" t="s">
        <v>3100</v>
      </c>
      <c r="I1716" s="10" t="s">
        <v>2363</v>
      </c>
    </row>
    <row r="1717" spans="1:9" x14ac:dyDescent="0.25">
      <c r="A1717">
        <v>1073</v>
      </c>
      <c r="B1717" s="10" t="s">
        <v>4949</v>
      </c>
      <c r="C1717" s="10" t="s">
        <v>5185</v>
      </c>
      <c r="D1717" s="10">
        <v>9349</v>
      </c>
      <c r="E1717" s="10" t="s">
        <v>5186</v>
      </c>
      <c r="F1717" s="10" t="s">
        <v>2740</v>
      </c>
      <c r="G1717" s="10" t="s">
        <v>2694</v>
      </c>
      <c r="H1717" s="10" t="s">
        <v>2403</v>
      </c>
      <c r="I1717" s="10" t="s">
        <v>2403</v>
      </c>
    </row>
    <row r="1718" spans="1:9" x14ac:dyDescent="0.25">
      <c r="A1718">
        <v>912</v>
      </c>
      <c r="B1718" s="10" t="s">
        <v>4961</v>
      </c>
      <c r="C1718" s="10" t="s">
        <v>5010</v>
      </c>
      <c r="D1718" s="10">
        <v>9350</v>
      </c>
      <c r="E1718" s="10" t="s">
        <v>5187</v>
      </c>
      <c r="F1718" s="10" t="s">
        <v>2228</v>
      </c>
      <c r="G1718" s="10" t="s">
        <v>2834</v>
      </c>
      <c r="H1718" s="10" t="s">
        <v>3238</v>
      </c>
      <c r="I1718" s="10" t="s">
        <v>2363</v>
      </c>
    </row>
    <row r="1719" spans="1:9" x14ac:dyDescent="0.25">
      <c r="A1719">
        <v>1039</v>
      </c>
      <c r="B1719" s="10" t="s">
        <v>4949</v>
      </c>
      <c r="C1719" s="10" t="s">
        <v>5018</v>
      </c>
      <c r="D1719" s="10">
        <v>9357</v>
      </c>
      <c r="E1719" s="10" t="s">
        <v>5188</v>
      </c>
      <c r="F1719" s="10" t="s">
        <v>2470</v>
      </c>
      <c r="G1719" s="10" t="s">
        <v>2629</v>
      </c>
      <c r="H1719" s="10" t="s">
        <v>4563</v>
      </c>
      <c r="I1719" s="10" t="s">
        <v>2403</v>
      </c>
    </row>
    <row r="1720" spans="1:9" x14ac:dyDescent="0.25">
      <c r="A1720">
        <v>1040</v>
      </c>
      <c r="B1720" s="10" t="s">
        <v>4949</v>
      </c>
      <c r="C1720" s="10" t="s">
        <v>5018</v>
      </c>
      <c r="D1720" s="10">
        <v>9359</v>
      </c>
      <c r="E1720" s="10" t="s">
        <v>5189</v>
      </c>
      <c r="F1720" s="10" t="s">
        <v>2528</v>
      </c>
      <c r="G1720" s="10" t="s">
        <v>2866</v>
      </c>
      <c r="H1720" s="10" t="s">
        <v>3609</v>
      </c>
      <c r="I1720" s="10" t="s">
        <v>2383</v>
      </c>
    </row>
    <row r="1721" spans="1:9" x14ac:dyDescent="0.25">
      <c r="A1721">
        <v>913</v>
      </c>
      <c r="B1721" s="10" t="s">
        <v>4961</v>
      </c>
      <c r="C1721" s="10" t="s">
        <v>5010</v>
      </c>
      <c r="D1721" s="10">
        <v>9360</v>
      </c>
      <c r="E1721" s="10" t="s">
        <v>5190</v>
      </c>
      <c r="F1721" s="10" t="s">
        <v>3904</v>
      </c>
      <c r="G1721" s="10" t="s">
        <v>2939</v>
      </c>
      <c r="H1721" s="10" t="s">
        <v>2368</v>
      </c>
      <c r="I1721" s="10" t="s">
        <v>2368</v>
      </c>
    </row>
    <row r="1722" spans="1:9" x14ac:dyDescent="0.25">
      <c r="A1722">
        <v>914</v>
      </c>
      <c r="B1722" s="10" t="s">
        <v>4961</v>
      </c>
      <c r="C1722" s="10" t="s">
        <v>5010</v>
      </c>
      <c r="D1722" s="10">
        <v>9361</v>
      </c>
      <c r="E1722" s="10" t="s">
        <v>5191</v>
      </c>
      <c r="F1722" s="10" t="s">
        <v>3904</v>
      </c>
      <c r="G1722" s="10" t="s">
        <v>2939</v>
      </c>
      <c r="H1722" s="10" t="s">
        <v>2368</v>
      </c>
      <c r="I1722" s="10" t="s">
        <v>2368</v>
      </c>
    </row>
    <row r="1723" spans="1:9" x14ac:dyDescent="0.25">
      <c r="A1723">
        <v>1020</v>
      </c>
      <c r="B1723" s="10" t="s">
        <v>4961</v>
      </c>
      <c r="C1723" s="10" t="s">
        <v>2638</v>
      </c>
      <c r="D1723" s="10">
        <v>9362</v>
      </c>
      <c r="E1723" s="10" t="s">
        <v>5192</v>
      </c>
      <c r="F1723" s="10" t="s">
        <v>2344</v>
      </c>
      <c r="G1723" s="10" t="s">
        <v>2263</v>
      </c>
      <c r="H1723" s="10" t="s">
        <v>3756</v>
      </c>
      <c r="I1723" s="10" t="s">
        <v>2363</v>
      </c>
    </row>
    <row r="1724" spans="1:9" x14ac:dyDescent="0.25">
      <c r="A1724">
        <v>1053</v>
      </c>
      <c r="B1724" s="10" t="s">
        <v>4949</v>
      </c>
      <c r="C1724" s="10" t="s">
        <v>4953</v>
      </c>
      <c r="D1724" s="10">
        <v>9371</v>
      </c>
      <c r="E1724" s="10" t="s">
        <v>5193</v>
      </c>
      <c r="F1724" s="10" t="s">
        <v>2573</v>
      </c>
      <c r="G1724" s="10" t="s">
        <v>3551</v>
      </c>
      <c r="H1724" s="10" t="s">
        <v>5194</v>
      </c>
      <c r="I1724" s="10" t="s">
        <v>2812</v>
      </c>
    </row>
    <row r="1725" spans="1:9" x14ac:dyDescent="0.25">
      <c r="A1725">
        <v>1054</v>
      </c>
      <c r="B1725" s="10" t="s">
        <v>4949</v>
      </c>
      <c r="C1725" s="10" t="s">
        <v>4953</v>
      </c>
      <c r="D1725" s="10">
        <v>9372</v>
      </c>
      <c r="E1725" s="10" t="s">
        <v>5195</v>
      </c>
      <c r="F1725" s="10" t="s">
        <v>4177</v>
      </c>
      <c r="G1725" s="10" t="s">
        <v>3994</v>
      </c>
      <c r="H1725" s="10" t="s">
        <v>4981</v>
      </c>
      <c r="I1725" s="10" t="s">
        <v>2276</v>
      </c>
    </row>
    <row r="1726" spans="1:9" x14ac:dyDescent="0.25">
      <c r="A1726">
        <v>1055</v>
      </c>
      <c r="B1726" s="10" t="s">
        <v>4949</v>
      </c>
      <c r="C1726" s="10" t="s">
        <v>4953</v>
      </c>
      <c r="D1726" s="10">
        <v>9373</v>
      </c>
      <c r="E1726" s="10" t="s">
        <v>5196</v>
      </c>
      <c r="F1726" s="10" t="s">
        <v>2573</v>
      </c>
      <c r="G1726" s="10" t="s">
        <v>3551</v>
      </c>
      <c r="H1726" s="10" t="s">
        <v>5194</v>
      </c>
      <c r="I1726" s="10" t="s">
        <v>2812</v>
      </c>
    </row>
    <row r="1727" spans="1:9" x14ac:dyDescent="0.25">
      <c r="A1727">
        <v>1068</v>
      </c>
      <c r="B1727" s="10" t="s">
        <v>4949</v>
      </c>
      <c r="C1727" s="10" t="s">
        <v>4989</v>
      </c>
      <c r="D1727" s="10">
        <v>9392</v>
      </c>
      <c r="E1727" s="10" t="s">
        <v>5197</v>
      </c>
      <c r="F1727" s="10" t="s">
        <v>5198</v>
      </c>
      <c r="G1727" s="10" t="s">
        <v>5199</v>
      </c>
      <c r="H1727" s="10" t="s">
        <v>5200</v>
      </c>
      <c r="I1727" s="10" t="s">
        <v>5201</v>
      </c>
    </row>
    <row r="1728" spans="1:9" x14ac:dyDescent="0.25">
      <c r="A1728">
        <v>1069</v>
      </c>
      <c r="B1728" s="10" t="s">
        <v>4949</v>
      </c>
      <c r="C1728" s="10" t="s">
        <v>4989</v>
      </c>
      <c r="D1728" s="10">
        <v>9393</v>
      </c>
      <c r="E1728" s="10" t="s">
        <v>5202</v>
      </c>
      <c r="F1728" s="10" t="s">
        <v>3667</v>
      </c>
      <c r="G1728" s="10" t="s">
        <v>3585</v>
      </c>
      <c r="H1728" s="10" t="s">
        <v>2213</v>
      </c>
      <c r="I1728" s="10" t="s">
        <v>2213</v>
      </c>
    </row>
    <row r="1729" spans="1:9" x14ac:dyDescent="0.25">
      <c r="A1729">
        <v>1071</v>
      </c>
      <c r="B1729" s="10" t="s">
        <v>4949</v>
      </c>
      <c r="C1729" s="10" t="s">
        <v>5203</v>
      </c>
      <c r="D1729" s="10">
        <v>9394</v>
      </c>
      <c r="E1729" s="10" t="s">
        <v>5204</v>
      </c>
      <c r="F1729" s="10" t="s">
        <v>2284</v>
      </c>
      <c r="G1729" s="10" t="s">
        <v>2221</v>
      </c>
      <c r="H1729" s="10" t="s">
        <v>3551</v>
      </c>
      <c r="I1729" s="10" t="s">
        <v>2403</v>
      </c>
    </row>
    <row r="1730" spans="1:9" x14ac:dyDescent="0.25">
      <c r="A1730">
        <v>928</v>
      </c>
      <c r="B1730" s="10" t="s">
        <v>4961</v>
      </c>
      <c r="C1730" s="10" t="s">
        <v>5020</v>
      </c>
      <c r="D1730" s="10">
        <v>9398</v>
      </c>
      <c r="E1730" s="10" t="s">
        <v>5205</v>
      </c>
      <c r="F1730" s="10" t="s">
        <v>3221</v>
      </c>
      <c r="G1730" s="10" t="s">
        <v>2501</v>
      </c>
      <c r="H1730" s="10" t="s">
        <v>4923</v>
      </c>
      <c r="I1730" s="10" t="s">
        <v>2477</v>
      </c>
    </row>
    <row r="1731" spans="1:9" x14ac:dyDescent="0.25">
      <c r="A1731">
        <v>819</v>
      </c>
      <c r="B1731" s="10" t="s">
        <v>4316</v>
      </c>
      <c r="C1731" s="10" t="s">
        <v>2678</v>
      </c>
      <c r="D1731" s="10">
        <v>9399</v>
      </c>
      <c r="E1731" s="10" t="s">
        <v>5206</v>
      </c>
      <c r="F1731" s="10" t="s">
        <v>2365</v>
      </c>
      <c r="G1731" s="10" t="s">
        <v>2849</v>
      </c>
      <c r="H1731" s="10" t="s">
        <v>4946</v>
      </c>
      <c r="I1731" s="10" t="s">
        <v>2707</v>
      </c>
    </row>
    <row r="1732" spans="1:9" x14ac:dyDescent="0.25">
      <c r="A1732">
        <v>1070</v>
      </c>
      <c r="B1732" s="10" t="s">
        <v>4949</v>
      </c>
      <c r="C1732" s="10" t="s">
        <v>4989</v>
      </c>
      <c r="D1732" s="10">
        <v>9411</v>
      </c>
      <c r="E1732" s="10" t="s">
        <v>5207</v>
      </c>
      <c r="F1732" s="10" t="s">
        <v>2470</v>
      </c>
      <c r="G1732" s="10" t="s">
        <v>2916</v>
      </c>
      <c r="H1732" s="10" t="s">
        <v>2286</v>
      </c>
      <c r="I1732" s="10" t="s">
        <v>2698</v>
      </c>
    </row>
    <row r="1733" spans="1:9" x14ac:dyDescent="0.25">
      <c r="A1733">
        <v>995</v>
      </c>
      <c r="B1733" s="10" t="s">
        <v>4961</v>
      </c>
      <c r="C1733" s="10" t="s">
        <v>5208</v>
      </c>
      <c r="D1733" s="10">
        <v>9425</v>
      </c>
      <c r="E1733" s="10" t="s">
        <v>5209</v>
      </c>
      <c r="F1733" s="10" t="s">
        <v>3667</v>
      </c>
      <c r="G1733" s="10" t="s">
        <v>3585</v>
      </c>
      <c r="H1733" s="10" t="s">
        <v>2213</v>
      </c>
      <c r="I1733" s="10" t="s">
        <v>2213</v>
      </c>
    </row>
    <row r="1734" spans="1:9" x14ac:dyDescent="0.25">
      <c r="A1734">
        <v>1654</v>
      </c>
      <c r="B1734" s="10" t="s">
        <v>4969</v>
      </c>
      <c r="C1734" s="10" t="s">
        <v>4975</v>
      </c>
      <c r="D1734" s="10">
        <v>9430</v>
      </c>
      <c r="E1734" s="10" t="s">
        <v>5210</v>
      </c>
      <c r="F1734" s="10" t="s">
        <v>2266</v>
      </c>
      <c r="G1734" s="10" t="s">
        <v>2656</v>
      </c>
      <c r="H1734" s="10" t="s">
        <v>5211</v>
      </c>
      <c r="I1734" s="10" t="s">
        <v>2241</v>
      </c>
    </row>
    <row r="1735" spans="1:9" x14ac:dyDescent="0.25">
      <c r="A1735">
        <v>1094</v>
      </c>
      <c r="B1735" s="10" t="s">
        <v>4949</v>
      </c>
      <c r="C1735" s="10" t="s">
        <v>5110</v>
      </c>
      <c r="D1735" s="10">
        <v>9444</v>
      </c>
      <c r="E1735" s="10" t="s">
        <v>5212</v>
      </c>
      <c r="F1735" s="10" t="s">
        <v>2451</v>
      </c>
      <c r="G1735" s="10" t="s">
        <v>3901</v>
      </c>
      <c r="H1735" s="10" t="s">
        <v>3469</v>
      </c>
      <c r="I1735" s="10" t="s">
        <v>2167</v>
      </c>
    </row>
    <row r="1736" spans="1:9" x14ac:dyDescent="0.25">
      <c r="A1736">
        <v>948</v>
      </c>
      <c r="B1736" s="10" t="s">
        <v>4961</v>
      </c>
      <c r="C1736" s="10" t="s">
        <v>5153</v>
      </c>
      <c r="D1736" s="10">
        <v>9450</v>
      </c>
      <c r="E1736" s="10" t="s">
        <v>5213</v>
      </c>
      <c r="F1736" s="10" t="s">
        <v>2607</v>
      </c>
      <c r="G1736" s="10" t="s">
        <v>2608</v>
      </c>
      <c r="H1736" s="10" t="s">
        <v>2223</v>
      </c>
      <c r="I1736" s="10" t="s">
        <v>2223</v>
      </c>
    </row>
    <row r="1737" spans="1:9" x14ac:dyDescent="0.25">
      <c r="A1737">
        <v>949</v>
      </c>
      <c r="B1737" s="10" t="s">
        <v>4961</v>
      </c>
      <c r="C1737" s="10" t="s">
        <v>5153</v>
      </c>
      <c r="D1737" s="10">
        <v>9455</v>
      </c>
      <c r="E1737" s="10" t="s">
        <v>5214</v>
      </c>
      <c r="F1737" s="10" t="s">
        <v>2607</v>
      </c>
      <c r="G1737" s="10" t="s">
        <v>2608</v>
      </c>
      <c r="H1737" s="10" t="s">
        <v>2223</v>
      </c>
      <c r="I1737" s="10" t="s">
        <v>2223</v>
      </c>
    </row>
    <row r="1738" spans="1:9" x14ac:dyDescent="0.25">
      <c r="A1738">
        <v>1033</v>
      </c>
      <c r="B1738" s="10" t="s">
        <v>4949</v>
      </c>
      <c r="C1738" s="10" t="s">
        <v>5215</v>
      </c>
      <c r="D1738" s="10">
        <v>9456</v>
      </c>
      <c r="E1738" s="10" t="s">
        <v>5216</v>
      </c>
      <c r="F1738" s="10" t="s">
        <v>2553</v>
      </c>
      <c r="G1738" s="10" t="s">
        <v>2336</v>
      </c>
      <c r="H1738" s="10" t="s">
        <v>5217</v>
      </c>
      <c r="I1738" s="10" t="s">
        <v>2231</v>
      </c>
    </row>
    <row r="1739" spans="1:9" x14ac:dyDescent="0.25">
      <c r="A1739">
        <v>950</v>
      </c>
      <c r="B1739" s="10" t="s">
        <v>4961</v>
      </c>
      <c r="C1739" s="10" t="s">
        <v>5153</v>
      </c>
      <c r="D1739" s="10">
        <v>9458</v>
      </c>
      <c r="E1739" s="10" t="s">
        <v>5218</v>
      </c>
      <c r="F1739" s="10" t="s">
        <v>5162</v>
      </c>
      <c r="G1739" s="10" t="s">
        <v>3526</v>
      </c>
      <c r="H1739" s="10" t="s">
        <v>2213</v>
      </c>
      <c r="I1739" s="10" t="s">
        <v>2213</v>
      </c>
    </row>
    <row r="1740" spans="1:9" x14ac:dyDescent="0.25">
      <c r="A1740">
        <v>1098</v>
      </c>
      <c r="B1740" s="10" t="s">
        <v>4949</v>
      </c>
      <c r="C1740" s="10" t="s">
        <v>4979</v>
      </c>
      <c r="D1740" s="10">
        <v>9463</v>
      </c>
      <c r="E1740" s="10" t="s">
        <v>5219</v>
      </c>
      <c r="F1740" s="10" t="s">
        <v>3384</v>
      </c>
      <c r="G1740" s="10" t="s">
        <v>2555</v>
      </c>
      <c r="H1740" s="10" t="s">
        <v>5220</v>
      </c>
      <c r="I1740" s="10" t="s">
        <v>2336</v>
      </c>
    </row>
    <row r="1741" spans="1:9" x14ac:dyDescent="0.25">
      <c r="A1741">
        <v>1034</v>
      </c>
      <c r="B1741" s="10" t="s">
        <v>4949</v>
      </c>
      <c r="C1741" s="10" t="s">
        <v>5215</v>
      </c>
      <c r="D1741" s="10">
        <v>9464</v>
      </c>
      <c r="E1741" s="10" t="s">
        <v>5221</v>
      </c>
      <c r="F1741" s="10" t="s">
        <v>2553</v>
      </c>
      <c r="G1741" s="10" t="s">
        <v>2336</v>
      </c>
      <c r="H1741" s="10" t="s">
        <v>5217</v>
      </c>
      <c r="I1741" s="10" t="s">
        <v>2231</v>
      </c>
    </row>
    <row r="1742" spans="1:9" x14ac:dyDescent="0.25">
      <c r="A1742">
        <v>1035</v>
      </c>
      <c r="B1742" s="10" t="s">
        <v>4949</v>
      </c>
      <c r="C1742" s="10" t="s">
        <v>5215</v>
      </c>
      <c r="D1742" s="10">
        <v>9465</v>
      </c>
      <c r="E1742" s="10" t="s">
        <v>5222</v>
      </c>
      <c r="F1742" s="10" t="s">
        <v>2553</v>
      </c>
      <c r="G1742" s="10" t="s">
        <v>2336</v>
      </c>
      <c r="H1742" s="10" t="s">
        <v>5217</v>
      </c>
      <c r="I1742" s="10" t="s">
        <v>2231</v>
      </c>
    </row>
    <row r="1743" spans="1:9" x14ac:dyDescent="0.25">
      <c r="A1743">
        <v>1087</v>
      </c>
      <c r="B1743" s="10" t="s">
        <v>4949</v>
      </c>
      <c r="C1743" s="10" t="s">
        <v>5014</v>
      </c>
      <c r="D1743" s="10">
        <v>9466</v>
      </c>
      <c r="E1743" s="10" t="s">
        <v>5223</v>
      </c>
      <c r="F1743" s="10" t="s">
        <v>2625</v>
      </c>
      <c r="G1743" s="10" t="s">
        <v>4708</v>
      </c>
      <c r="H1743" s="10" t="s">
        <v>3016</v>
      </c>
      <c r="I1743" s="10" t="s">
        <v>2167</v>
      </c>
    </row>
    <row r="1744" spans="1:9" x14ac:dyDescent="0.25">
      <c r="A1744">
        <v>1099</v>
      </c>
      <c r="B1744" s="10" t="s">
        <v>4949</v>
      </c>
      <c r="C1744" s="10" t="s">
        <v>4979</v>
      </c>
      <c r="D1744" s="10">
        <v>9470</v>
      </c>
      <c r="E1744" s="10" t="s">
        <v>5224</v>
      </c>
      <c r="F1744" s="10" t="s">
        <v>2466</v>
      </c>
      <c r="G1744" s="10" t="s">
        <v>5225</v>
      </c>
      <c r="H1744" s="10" t="s">
        <v>2350</v>
      </c>
      <c r="I1744" s="10" t="s">
        <v>2350</v>
      </c>
    </row>
    <row r="1745" spans="1:9" x14ac:dyDescent="0.25">
      <c r="A1745">
        <v>1100</v>
      </c>
      <c r="B1745" s="10" t="s">
        <v>4949</v>
      </c>
      <c r="C1745" s="10" t="s">
        <v>4979</v>
      </c>
      <c r="D1745" s="10">
        <v>9473</v>
      </c>
      <c r="E1745" s="10" t="s">
        <v>5226</v>
      </c>
      <c r="F1745" s="10" t="s">
        <v>2645</v>
      </c>
      <c r="G1745" s="10" t="s">
        <v>2646</v>
      </c>
      <c r="H1745" s="10" t="s">
        <v>5227</v>
      </c>
      <c r="I1745" s="10" t="s">
        <v>2287</v>
      </c>
    </row>
    <row r="1746" spans="1:9" x14ac:dyDescent="0.25">
      <c r="A1746">
        <v>1101</v>
      </c>
      <c r="B1746" s="10" t="s">
        <v>4949</v>
      </c>
      <c r="C1746" s="10" t="s">
        <v>4979</v>
      </c>
      <c r="D1746" s="10">
        <v>9477</v>
      </c>
      <c r="E1746" s="10" t="s">
        <v>5228</v>
      </c>
      <c r="F1746" s="10" t="s">
        <v>5074</v>
      </c>
      <c r="G1746" s="10" t="s">
        <v>3468</v>
      </c>
      <c r="H1746" s="10" t="s">
        <v>3757</v>
      </c>
      <c r="I1746" s="10" t="s">
        <v>3757</v>
      </c>
    </row>
    <row r="1747" spans="1:9" x14ac:dyDescent="0.25">
      <c r="A1747">
        <v>1088</v>
      </c>
      <c r="B1747" s="10" t="s">
        <v>4949</v>
      </c>
      <c r="C1747" s="10" t="s">
        <v>5014</v>
      </c>
      <c r="D1747" s="10">
        <v>9478</v>
      </c>
      <c r="E1747" s="10" t="s">
        <v>5229</v>
      </c>
      <c r="F1747" s="10" t="s">
        <v>5074</v>
      </c>
      <c r="G1747" s="10" t="s">
        <v>3468</v>
      </c>
      <c r="H1747" s="10" t="s">
        <v>3757</v>
      </c>
      <c r="I1747" s="10" t="s">
        <v>3757</v>
      </c>
    </row>
    <row r="1748" spans="1:9" x14ac:dyDescent="0.25">
      <c r="A1748">
        <v>1106</v>
      </c>
      <c r="B1748" s="10" t="s">
        <v>4949</v>
      </c>
      <c r="C1748" s="10" t="s">
        <v>5230</v>
      </c>
      <c r="D1748" s="10">
        <v>9491</v>
      </c>
      <c r="E1748" s="10" t="s">
        <v>5231</v>
      </c>
      <c r="F1748" s="10" t="s">
        <v>2451</v>
      </c>
      <c r="G1748" s="10" t="s">
        <v>3901</v>
      </c>
      <c r="H1748" s="10" t="s">
        <v>5232</v>
      </c>
      <c r="I1748" s="10" t="s">
        <v>2167</v>
      </c>
    </row>
    <row r="1749" spans="1:9" x14ac:dyDescent="0.25">
      <c r="A1749">
        <v>1107</v>
      </c>
      <c r="B1749" s="10" t="s">
        <v>4949</v>
      </c>
      <c r="C1749" s="10" t="s">
        <v>5230</v>
      </c>
      <c r="D1749" s="10">
        <v>9492</v>
      </c>
      <c r="E1749" s="10" t="s">
        <v>5233</v>
      </c>
      <c r="F1749" s="10" t="s">
        <v>2451</v>
      </c>
      <c r="G1749" s="10" t="s">
        <v>3901</v>
      </c>
      <c r="H1749" s="10" t="s">
        <v>5234</v>
      </c>
      <c r="I1749" s="10" t="s">
        <v>2167</v>
      </c>
    </row>
    <row r="1750" spans="1:9" x14ac:dyDescent="0.25">
      <c r="A1750">
        <v>1108</v>
      </c>
      <c r="B1750" s="10" t="s">
        <v>4949</v>
      </c>
      <c r="C1750" s="10" t="s">
        <v>5230</v>
      </c>
      <c r="D1750" s="10">
        <v>9493</v>
      </c>
      <c r="E1750" s="10" t="s">
        <v>5235</v>
      </c>
      <c r="F1750" s="10" t="s">
        <v>2451</v>
      </c>
      <c r="G1750" s="10" t="s">
        <v>3901</v>
      </c>
      <c r="H1750" s="10" t="s">
        <v>5234</v>
      </c>
      <c r="I1750" s="10" t="s">
        <v>2167</v>
      </c>
    </row>
    <row r="1751" spans="1:9" x14ac:dyDescent="0.25">
      <c r="A1751">
        <v>951</v>
      </c>
      <c r="B1751" s="10" t="s">
        <v>4961</v>
      </c>
      <c r="C1751" s="10" t="s">
        <v>5153</v>
      </c>
      <c r="D1751" s="10">
        <v>9494</v>
      </c>
      <c r="E1751" s="10" t="s">
        <v>5236</v>
      </c>
      <c r="F1751" s="10" t="s">
        <v>2406</v>
      </c>
      <c r="G1751" s="10" t="s">
        <v>5237</v>
      </c>
      <c r="H1751" s="10" t="s">
        <v>3757</v>
      </c>
      <c r="I1751" s="10" t="s">
        <v>3757</v>
      </c>
    </row>
    <row r="1752" spans="1:9" x14ac:dyDescent="0.25">
      <c r="A1752">
        <v>979</v>
      </c>
      <c r="B1752" s="10" t="s">
        <v>4961</v>
      </c>
      <c r="C1752" s="10" t="s">
        <v>5238</v>
      </c>
      <c r="D1752" s="10">
        <v>9501</v>
      </c>
      <c r="E1752" s="10" t="s">
        <v>5239</v>
      </c>
      <c r="F1752" s="10" t="s">
        <v>2843</v>
      </c>
      <c r="G1752" s="10" t="s">
        <v>4292</v>
      </c>
      <c r="H1752" s="10" t="s">
        <v>3199</v>
      </c>
      <c r="I1752" s="10" t="s">
        <v>3199</v>
      </c>
    </row>
    <row r="1753" spans="1:9" x14ac:dyDescent="0.25">
      <c r="A1753">
        <v>1072</v>
      </c>
      <c r="B1753" s="10" t="s">
        <v>4949</v>
      </c>
      <c r="C1753" s="10" t="s">
        <v>5203</v>
      </c>
      <c r="D1753" s="10">
        <v>9505</v>
      </c>
      <c r="E1753" s="10" t="s">
        <v>5240</v>
      </c>
      <c r="F1753" s="10" t="s">
        <v>2598</v>
      </c>
      <c r="G1753" s="10" t="s">
        <v>2368</v>
      </c>
      <c r="H1753" s="10" t="s">
        <v>2319</v>
      </c>
      <c r="I1753" s="10" t="s">
        <v>2213</v>
      </c>
    </row>
    <row r="1754" spans="1:9" x14ac:dyDescent="0.25">
      <c r="A1754">
        <v>820</v>
      </c>
      <c r="B1754" s="10" t="s">
        <v>4316</v>
      </c>
      <c r="C1754" s="10" t="s">
        <v>2678</v>
      </c>
      <c r="D1754" s="10">
        <v>9514</v>
      </c>
      <c r="E1754" s="10" t="s">
        <v>5241</v>
      </c>
      <c r="F1754" s="10" t="s">
        <v>2365</v>
      </c>
      <c r="G1754" s="10" t="s">
        <v>2849</v>
      </c>
      <c r="H1754" s="10" t="s">
        <v>4946</v>
      </c>
      <c r="I1754" s="10" t="s">
        <v>2707</v>
      </c>
    </row>
    <row r="1755" spans="1:9" x14ac:dyDescent="0.25">
      <c r="A1755">
        <v>1021</v>
      </c>
      <c r="B1755" s="10" t="s">
        <v>4961</v>
      </c>
      <c r="C1755" s="10" t="s">
        <v>5242</v>
      </c>
      <c r="D1755" s="10">
        <v>9535</v>
      </c>
      <c r="E1755" s="10" t="s">
        <v>5243</v>
      </c>
      <c r="F1755" s="10" t="s">
        <v>2740</v>
      </c>
      <c r="G1755" s="10" t="s">
        <v>5244</v>
      </c>
      <c r="H1755" s="10" t="s">
        <v>2258</v>
      </c>
      <c r="I1755" s="10" t="s">
        <v>2258</v>
      </c>
    </row>
    <row r="1756" spans="1:9" x14ac:dyDescent="0.25">
      <c r="A1756">
        <v>1022</v>
      </c>
      <c r="B1756" s="10" t="s">
        <v>4961</v>
      </c>
      <c r="C1756" s="10" t="s">
        <v>5242</v>
      </c>
      <c r="D1756" s="10">
        <v>9536</v>
      </c>
      <c r="E1756" s="10" t="s">
        <v>5245</v>
      </c>
      <c r="F1756" s="10" t="s">
        <v>4742</v>
      </c>
      <c r="G1756" s="10" t="s">
        <v>2888</v>
      </c>
      <c r="H1756" s="10" t="s">
        <v>2908</v>
      </c>
      <c r="I1756" s="10" t="s">
        <v>2908</v>
      </c>
    </row>
    <row r="1757" spans="1:9" x14ac:dyDescent="0.25">
      <c r="A1757">
        <v>1023</v>
      </c>
      <c r="B1757" s="10" t="s">
        <v>4961</v>
      </c>
      <c r="C1757" s="10" t="s">
        <v>5242</v>
      </c>
      <c r="D1757" s="10">
        <v>9537</v>
      </c>
      <c r="E1757" s="10" t="s">
        <v>5246</v>
      </c>
      <c r="F1757" s="10" t="s">
        <v>5247</v>
      </c>
      <c r="G1757" s="10" t="s">
        <v>5248</v>
      </c>
      <c r="H1757" s="10" t="s">
        <v>2132</v>
      </c>
      <c r="I1757" s="10" t="s">
        <v>2132</v>
      </c>
    </row>
    <row r="1758" spans="1:9" x14ac:dyDescent="0.25">
      <c r="A1758">
        <v>1024</v>
      </c>
      <c r="B1758" s="10" t="s">
        <v>4961</v>
      </c>
      <c r="C1758" s="10" t="s">
        <v>5242</v>
      </c>
      <c r="D1758" s="10">
        <v>9538</v>
      </c>
      <c r="E1758" s="10" t="s">
        <v>5249</v>
      </c>
      <c r="F1758" s="10" t="s">
        <v>2791</v>
      </c>
      <c r="G1758" s="10" t="s">
        <v>5250</v>
      </c>
      <c r="H1758" s="10" t="s">
        <v>2277</v>
      </c>
      <c r="I1758" s="10" t="s">
        <v>2277</v>
      </c>
    </row>
    <row r="1759" spans="1:9" x14ac:dyDescent="0.25">
      <c r="A1759">
        <v>1025</v>
      </c>
      <c r="B1759" s="10" t="s">
        <v>4961</v>
      </c>
      <c r="C1759" s="10" t="s">
        <v>5242</v>
      </c>
      <c r="D1759" s="10">
        <v>9539</v>
      </c>
      <c r="E1759" s="10" t="s">
        <v>5251</v>
      </c>
      <c r="F1759" s="10" t="s">
        <v>2791</v>
      </c>
      <c r="G1759" s="10" t="s">
        <v>5250</v>
      </c>
      <c r="H1759" s="10" t="s">
        <v>2277</v>
      </c>
      <c r="I1759" s="10" t="s">
        <v>2277</v>
      </c>
    </row>
    <row r="1760" spans="1:9" x14ac:dyDescent="0.25">
      <c r="A1760">
        <v>1026</v>
      </c>
      <c r="B1760" s="10" t="s">
        <v>4961</v>
      </c>
      <c r="C1760" s="10" t="s">
        <v>5242</v>
      </c>
      <c r="D1760" s="10">
        <v>9540</v>
      </c>
      <c r="E1760" s="10" t="s">
        <v>5252</v>
      </c>
      <c r="F1760" s="10" t="s">
        <v>2791</v>
      </c>
      <c r="G1760" s="10" t="s">
        <v>5250</v>
      </c>
      <c r="H1760" s="10" t="s">
        <v>2277</v>
      </c>
      <c r="I1760" s="10" t="s">
        <v>2277</v>
      </c>
    </row>
    <row r="1761" spans="1:9" x14ac:dyDescent="0.25">
      <c r="A1761">
        <v>1027</v>
      </c>
      <c r="B1761" s="10" t="s">
        <v>4961</v>
      </c>
      <c r="C1761" s="10" t="s">
        <v>5242</v>
      </c>
      <c r="D1761" s="10">
        <v>9541</v>
      </c>
      <c r="E1761" s="10" t="s">
        <v>5253</v>
      </c>
      <c r="F1761" s="10" t="s">
        <v>2380</v>
      </c>
      <c r="G1761" s="10" t="s">
        <v>3551</v>
      </c>
      <c r="H1761" s="10" t="s">
        <v>3131</v>
      </c>
      <c r="I1761" s="10" t="s">
        <v>3131</v>
      </c>
    </row>
    <row r="1762" spans="1:9" x14ac:dyDescent="0.25">
      <c r="A1762">
        <v>1028</v>
      </c>
      <c r="B1762" s="10" t="s">
        <v>4961</v>
      </c>
      <c r="C1762" s="10" t="s">
        <v>5242</v>
      </c>
      <c r="D1762" s="10">
        <v>9542</v>
      </c>
      <c r="E1762" s="10" t="s">
        <v>5254</v>
      </c>
      <c r="F1762" s="10" t="s">
        <v>2470</v>
      </c>
      <c r="G1762" s="10" t="s">
        <v>3351</v>
      </c>
      <c r="H1762" s="10" t="s">
        <v>2167</v>
      </c>
      <c r="I1762" s="10" t="s">
        <v>2167</v>
      </c>
    </row>
    <row r="1763" spans="1:9" x14ac:dyDescent="0.25">
      <c r="A1763">
        <v>1029</v>
      </c>
      <c r="B1763" s="10" t="s">
        <v>4961</v>
      </c>
      <c r="C1763" s="10" t="s">
        <v>5242</v>
      </c>
      <c r="D1763" s="10">
        <v>9543</v>
      </c>
      <c r="E1763" s="10" t="s">
        <v>5255</v>
      </c>
      <c r="F1763" s="10" t="s">
        <v>2703</v>
      </c>
      <c r="G1763" s="10" t="s">
        <v>5256</v>
      </c>
      <c r="H1763" s="10" t="s">
        <v>3499</v>
      </c>
      <c r="I1763" s="10" t="s">
        <v>3499</v>
      </c>
    </row>
    <row r="1764" spans="1:9" x14ac:dyDescent="0.25">
      <c r="A1764">
        <v>1030</v>
      </c>
      <c r="B1764" s="10" t="s">
        <v>4961</v>
      </c>
      <c r="C1764" s="10" t="s">
        <v>5242</v>
      </c>
      <c r="D1764" s="10">
        <v>9544</v>
      </c>
      <c r="E1764" s="10" t="s">
        <v>5257</v>
      </c>
      <c r="F1764" s="10" t="s">
        <v>2625</v>
      </c>
      <c r="G1764" s="10" t="s">
        <v>3023</v>
      </c>
      <c r="H1764" s="10" t="s">
        <v>2123</v>
      </c>
      <c r="I1764" s="10" t="s">
        <v>2123</v>
      </c>
    </row>
    <row r="1765" spans="1:9" x14ac:dyDescent="0.25">
      <c r="A1765">
        <v>1031</v>
      </c>
      <c r="B1765" s="10" t="s">
        <v>4961</v>
      </c>
      <c r="C1765" s="10" t="s">
        <v>5242</v>
      </c>
      <c r="D1765" s="10">
        <v>9545</v>
      </c>
      <c r="E1765" s="10" t="s">
        <v>5258</v>
      </c>
      <c r="F1765" s="10" t="s">
        <v>2625</v>
      </c>
      <c r="G1765" s="10" t="s">
        <v>3023</v>
      </c>
      <c r="H1765" s="10" t="s">
        <v>2123</v>
      </c>
      <c r="I1765" s="10" t="s">
        <v>2123</v>
      </c>
    </row>
    <row r="1766" spans="1:9" x14ac:dyDescent="0.25">
      <c r="A1766">
        <v>1551</v>
      </c>
      <c r="B1766" s="10" t="s">
        <v>2671</v>
      </c>
      <c r="C1766" s="10" t="s">
        <v>5259</v>
      </c>
      <c r="D1766" s="10">
        <v>9803</v>
      </c>
      <c r="E1766" s="10" t="s">
        <v>5260</v>
      </c>
      <c r="F1766" s="10">
        <v>0</v>
      </c>
      <c r="G1766" s="10">
        <v>0</v>
      </c>
      <c r="H1766" s="10">
        <v>0</v>
      </c>
      <c r="I1766" s="10">
        <v>0</v>
      </c>
    </row>
    <row r="1767" spans="1:9" x14ac:dyDescent="0.25">
      <c r="A1767">
        <v>1552</v>
      </c>
      <c r="B1767" s="10" t="s">
        <v>2671</v>
      </c>
      <c r="C1767" s="10" t="s">
        <v>5259</v>
      </c>
      <c r="D1767" s="10">
        <v>9884</v>
      </c>
      <c r="E1767" s="10" t="s">
        <v>5261</v>
      </c>
      <c r="F1767" s="10">
        <v>0</v>
      </c>
      <c r="G1767" s="10">
        <v>0</v>
      </c>
      <c r="H1767" s="10">
        <v>0</v>
      </c>
      <c r="I1767" s="10">
        <v>0</v>
      </c>
    </row>
  </sheetData>
  <autoFilter ref="A1:I1" xr:uid="{6E89820E-506B-407E-B7DC-3D8027F6B12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1668-405E-44FD-9814-5030AD35DD7C}">
  <dimension ref="A1:B61"/>
  <sheetViews>
    <sheetView topLeftCell="A55" workbookViewId="0">
      <selection activeCell="A62" sqref="A62"/>
    </sheetView>
  </sheetViews>
  <sheetFormatPr defaultRowHeight="15" x14ac:dyDescent="0.25"/>
  <cols>
    <col min="1" max="1" width="5.5703125" bestFit="1" customWidth="1"/>
    <col min="2" max="2" width="14.5703125" customWidth="1"/>
  </cols>
  <sheetData>
    <row r="1" spans="1:2" ht="47.25" x14ac:dyDescent="0.25">
      <c r="A1" s="22">
        <v>2706</v>
      </c>
      <c r="B1" s="23" t="s">
        <v>5281</v>
      </c>
    </row>
    <row r="2" spans="1:2" ht="31.5" x14ac:dyDescent="0.25">
      <c r="A2" s="19">
        <v>4162</v>
      </c>
      <c r="B2" s="17" t="s">
        <v>5282</v>
      </c>
    </row>
    <row r="3" spans="1:2" ht="31.5" x14ac:dyDescent="0.25">
      <c r="A3" s="19">
        <v>4165</v>
      </c>
      <c r="B3" s="17" t="s">
        <v>5283</v>
      </c>
    </row>
    <row r="4" spans="1:2" ht="47.25" x14ac:dyDescent="0.25">
      <c r="A4" s="19">
        <v>6438</v>
      </c>
      <c r="B4" s="17" t="s">
        <v>5284</v>
      </c>
    </row>
    <row r="5" spans="1:2" ht="47.25" x14ac:dyDescent="0.25">
      <c r="A5" s="19">
        <v>8801</v>
      </c>
      <c r="B5" s="17" t="s">
        <v>5285</v>
      </c>
    </row>
    <row r="6" spans="1:2" ht="47.25" x14ac:dyDescent="0.25">
      <c r="A6" s="19">
        <v>8802</v>
      </c>
      <c r="B6" s="17" t="s">
        <v>5286</v>
      </c>
    </row>
    <row r="7" spans="1:2" ht="47.25" x14ac:dyDescent="0.25">
      <c r="A7" s="19">
        <v>4334</v>
      </c>
      <c r="B7" s="17" t="s">
        <v>5287</v>
      </c>
    </row>
    <row r="8" spans="1:2" ht="47.25" x14ac:dyDescent="0.25">
      <c r="A8" s="19">
        <v>4335</v>
      </c>
      <c r="B8" s="17" t="s">
        <v>5288</v>
      </c>
    </row>
    <row r="9" spans="1:2" ht="31.5" x14ac:dyDescent="0.25">
      <c r="A9" s="19">
        <v>9505</v>
      </c>
      <c r="B9" s="17" t="s">
        <v>5289</v>
      </c>
    </row>
    <row r="10" spans="1:2" ht="31.5" x14ac:dyDescent="0.25">
      <c r="A10" s="20">
        <v>9411</v>
      </c>
      <c r="B10" s="21" t="s">
        <v>5290</v>
      </c>
    </row>
    <row r="11" spans="1:2" ht="31.5" x14ac:dyDescent="0.25">
      <c r="A11" s="20">
        <v>4536</v>
      </c>
      <c r="B11" s="21" t="s">
        <v>5291</v>
      </c>
    </row>
    <row r="12" spans="1:2" ht="31.5" x14ac:dyDescent="0.25">
      <c r="A12" s="20">
        <v>4537</v>
      </c>
      <c r="B12" s="21" t="s">
        <v>5292</v>
      </c>
    </row>
    <row r="13" spans="1:2" ht="31.5" x14ac:dyDescent="0.25">
      <c r="A13" s="20">
        <v>4538</v>
      </c>
      <c r="B13" s="21" t="s">
        <v>5293</v>
      </c>
    </row>
    <row r="14" spans="1:2" ht="31.5" x14ac:dyDescent="0.25">
      <c r="A14" s="20">
        <v>4539</v>
      </c>
      <c r="B14" s="21" t="s">
        <v>5294</v>
      </c>
    </row>
    <row r="15" spans="1:2" ht="47.25" x14ac:dyDescent="0.25">
      <c r="A15" s="20">
        <v>4547</v>
      </c>
      <c r="B15" s="21" t="s">
        <v>5295</v>
      </c>
    </row>
    <row r="16" spans="1:2" ht="47.25" x14ac:dyDescent="0.25">
      <c r="A16" s="20">
        <v>4548</v>
      </c>
      <c r="B16" s="21" t="s">
        <v>5296</v>
      </c>
    </row>
    <row r="17" spans="1:2" ht="47.25" x14ac:dyDescent="0.25">
      <c r="A17" s="20">
        <v>4549</v>
      </c>
      <c r="B17" s="21" t="s">
        <v>5297</v>
      </c>
    </row>
    <row r="18" spans="1:2" ht="31.5" x14ac:dyDescent="0.25">
      <c r="A18" s="20">
        <v>9155</v>
      </c>
      <c r="B18" s="21" t="s">
        <v>5298</v>
      </c>
    </row>
    <row r="19" spans="1:2" ht="47.25" x14ac:dyDescent="0.25">
      <c r="A19" s="20">
        <v>9156</v>
      </c>
      <c r="B19" s="21" t="s">
        <v>5299</v>
      </c>
    </row>
    <row r="20" spans="1:2" ht="47.25" x14ac:dyDescent="0.25">
      <c r="A20" s="20">
        <v>5287</v>
      </c>
      <c r="B20" s="21" t="s">
        <v>5300</v>
      </c>
    </row>
    <row r="21" spans="1:2" ht="31.5" x14ac:dyDescent="0.25">
      <c r="A21" s="19">
        <v>5288</v>
      </c>
      <c r="B21" s="17" t="s">
        <v>5301</v>
      </c>
    </row>
    <row r="22" spans="1:2" ht="47.25" x14ac:dyDescent="0.25">
      <c r="A22" s="19">
        <v>5289</v>
      </c>
      <c r="B22" s="17" t="s">
        <v>5302</v>
      </c>
    </row>
    <row r="23" spans="1:2" ht="47.25" x14ac:dyDescent="0.25">
      <c r="A23" s="19">
        <v>5290</v>
      </c>
      <c r="B23" s="17" t="s">
        <v>5303</v>
      </c>
    </row>
    <row r="24" spans="1:2" ht="31.5" x14ac:dyDescent="0.25">
      <c r="A24" s="19">
        <v>5291</v>
      </c>
      <c r="B24" s="17" t="s">
        <v>5304</v>
      </c>
    </row>
    <row r="25" spans="1:2" ht="47.25" x14ac:dyDescent="0.25">
      <c r="A25" s="19">
        <v>5292</v>
      </c>
      <c r="B25" s="17" t="s">
        <v>5305</v>
      </c>
    </row>
    <row r="26" spans="1:2" ht="31.5" x14ac:dyDescent="0.25">
      <c r="A26" s="20">
        <v>1255</v>
      </c>
      <c r="B26" s="21" t="s">
        <v>5306</v>
      </c>
    </row>
    <row r="27" spans="1:2" ht="31.5" x14ac:dyDescent="0.25">
      <c r="A27" s="20">
        <v>9514</v>
      </c>
      <c r="B27" s="21" t="s">
        <v>5307</v>
      </c>
    </row>
    <row r="28" spans="1:2" ht="47.25" x14ac:dyDescent="0.25">
      <c r="A28" s="20">
        <v>5001</v>
      </c>
      <c r="B28" s="21" t="s">
        <v>5308</v>
      </c>
    </row>
    <row r="29" spans="1:2" ht="31.5" x14ac:dyDescent="0.25">
      <c r="A29" s="20">
        <v>9543</v>
      </c>
      <c r="B29" s="21" t="s">
        <v>5309</v>
      </c>
    </row>
    <row r="30" spans="1:2" ht="31.5" x14ac:dyDescent="0.25">
      <c r="A30" s="20">
        <v>9544</v>
      </c>
      <c r="B30" s="21" t="s">
        <v>5310</v>
      </c>
    </row>
    <row r="31" spans="1:2" ht="31.5" x14ac:dyDescent="0.25">
      <c r="A31" s="20">
        <v>9545</v>
      </c>
      <c r="B31" s="21" t="s">
        <v>5311</v>
      </c>
    </row>
    <row r="32" spans="1:2" ht="47.25" x14ac:dyDescent="0.25">
      <c r="A32" s="19">
        <v>8440</v>
      </c>
      <c r="B32" s="17" t="s">
        <v>5312</v>
      </c>
    </row>
    <row r="33" spans="1:2" ht="47.25" x14ac:dyDescent="0.25">
      <c r="A33" s="19">
        <v>8441</v>
      </c>
      <c r="B33" s="17" t="s">
        <v>5313</v>
      </c>
    </row>
    <row r="34" spans="1:2" ht="47.25" x14ac:dyDescent="0.25">
      <c r="A34" s="19">
        <v>8442</v>
      </c>
      <c r="B34" s="17" t="s">
        <v>5314</v>
      </c>
    </row>
    <row r="35" spans="1:2" ht="47.25" x14ac:dyDescent="0.25">
      <c r="A35" s="19">
        <v>8518</v>
      </c>
      <c r="B35" s="17" t="s">
        <v>5315</v>
      </c>
    </row>
    <row r="36" spans="1:2" ht="47.25" x14ac:dyDescent="0.25">
      <c r="A36" s="19">
        <v>8519</v>
      </c>
      <c r="B36" s="17" t="s">
        <v>5316</v>
      </c>
    </row>
    <row r="37" spans="1:2" ht="47.25" x14ac:dyDescent="0.25">
      <c r="A37" s="19">
        <v>8520</v>
      </c>
      <c r="B37" s="17" t="s">
        <v>5317</v>
      </c>
    </row>
    <row r="38" spans="1:2" ht="47.25" x14ac:dyDescent="0.25">
      <c r="A38" s="19">
        <v>8521</v>
      </c>
      <c r="B38" s="17" t="s">
        <v>5318</v>
      </c>
    </row>
    <row r="39" spans="1:2" ht="31.5" x14ac:dyDescent="0.25">
      <c r="A39" s="19">
        <v>2763</v>
      </c>
      <c r="B39" s="17" t="s">
        <v>5319</v>
      </c>
    </row>
    <row r="40" spans="1:2" ht="47.25" x14ac:dyDescent="0.25">
      <c r="A40" s="19">
        <v>2765</v>
      </c>
      <c r="B40" s="17" t="s">
        <v>5320</v>
      </c>
    </row>
    <row r="41" spans="1:2" ht="31.5" x14ac:dyDescent="0.25">
      <c r="A41" s="19">
        <v>2767</v>
      </c>
      <c r="B41" s="17" t="s">
        <v>5321</v>
      </c>
    </row>
    <row r="42" spans="1:2" ht="47.25" x14ac:dyDescent="0.25">
      <c r="A42" s="19">
        <v>5294</v>
      </c>
      <c r="B42" s="17" t="s">
        <v>5322</v>
      </c>
    </row>
    <row r="43" spans="1:2" ht="31.5" x14ac:dyDescent="0.25">
      <c r="A43" s="19">
        <v>1188</v>
      </c>
      <c r="B43" s="17" t="s">
        <v>5323</v>
      </c>
    </row>
    <row r="44" spans="1:2" ht="47.25" x14ac:dyDescent="0.25">
      <c r="A44" s="19">
        <v>6136</v>
      </c>
      <c r="B44" s="17" t="s">
        <v>5324</v>
      </c>
    </row>
    <row r="45" spans="1:2" ht="47.25" x14ac:dyDescent="0.25">
      <c r="A45" s="19">
        <v>6137</v>
      </c>
      <c r="B45" s="17" t="s">
        <v>5325</v>
      </c>
    </row>
    <row r="46" spans="1:2" ht="47.25" x14ac:dyDescent="0.25">
      <c r="A46" s="19">
        <v>6138</v>
      </c>
      <c r="B46" s="17" t="s">
        <v>5326</v>
      </c>
    </row>
    <row r="47" spans="1:2" ht="47.25" x14ac:dyDescent="0.25">
      <c r="A47" s="19">
        <v>6139</v>
      </c>
      <c r="B47" s="17" t="s">
        <v>5327</v>
      </c>
    </row>
    <row r="48" spans="1:2" ht="47.25" x14ac:dyDescent="0.25">
      <c r="A48" s="19">
        <v>5026</v>
      </c>
      <c r="B48" s="17" t="s">
        <v>5328</v>
      </c>
    </row>
    <row r="49" spans="1:2" ht="47.25" x14ac:dyDescent="0.25">
      <c r="A49" s="18" t="s">
        <v>5329</v>
      </c>
      <c r="B49" s="17" t="s">
        <v>5330</v>
      </c>
    </row>
    <row r="50" spans="1:2" ht="47.25" x14ac:dyDescent="0.25">
      <c r="A50" s="18" t="s">
        <v>5331</v>
      </c>
      <c r="B50" s="17" t="s">
        <v>5332</v>
      </c>
    </row>
    <row r="51" spans="1:2" ht="47.25" x14ac:dyDescent="0.25">
      <c r="A51" s="18" t="s">
        <v>5333</v>
      </c>
      <c r="B51" s="17" t="s">
        <v>5334</v>
      </c>
    </row>
    <row r="52" spans="1:2" ht="63" x14ac:dyDescent="0.25">
      <c r="A52" s="18" t="s">
        <v>5335</v>
      </c>
      <c r="B52" s="17" t="s">
        <v>5336</v>
      </c>
    </row>
    <row r="53" spans="1:2" ht="47.25" x14ac:dyDescent="0.25">
      <c r="A53" s="18" t="s">
        <v>5337</v>
      </c>
      <c r="B53" s="17" t="s">
        <v>5332</v>
      </c>
    </row>
    <row r="54" spans="1:2" ht="31.5" x14ac:dyDescent="0.25">
      <c r="A54" s="18" t="s">
        <v>5338</v>
      </c>
      <c r="B54" s="17" t="s">
        <v>5339</v>
      </c>
    </row>
    <row r="55" spans="1:2" ht="31.5" x14ac:dyDescent="0.25">
      <c r="A55" s="18" t="s">
        <v>5340</v>
      </c>
      <c r="B55" s="17" t="s">
        <v>5307</v>
      </c>
    </row>
    <row r="56" spans="1:2" ht="63" x14ac:dyDescent="0.25">
      <c r="A56" s="20">
        <v>3686</v>
      </c>
      <c r="B56" s="21" t="s">
        <v>5341</v>
      </c>
    </row>
    <row r="57" spans="1:2" ht="47.25" x14ac:dyDescent="0.25">
      <c r="A57" s="20">
        <v>5990</v>
      </c>
      <c r="B57" s="21" t="s">
        <v>5342</v>
      </c>
    </row>
    <row r="58" spans="1:2" ht="47.25" x14ac:dyDescent="0.25">
      <c r="A58" s="20">
        <v>5991</v>
      </c>
      <c r="B58" s="21" t="s">
        <v>5343</v>
      </c>
    </row>
    <row r="59" spans="1:2" ht="47.25" x14ac:dyDescent="0.25">
      <c r="A59" s="20">
        <v>4512</v>
      </c>
      <c r="B59" s="21" t="s">
        <v>5344</v>
      </c>
    </row>
    <row r="60" spans="1:2" ht="47.25" x14ac:dyDescent="0.25">
      <c r="A60" s="19">
        <v>5993</v>
      </c>
      <c r="B60" s="17" t="s">
        <v>5345</v>
      </c>
    </row>
    <row r="61" spans="1:2" ht="63" x14ac:dyDescent="0.25">
      <c r="A61" s="19">
        <v>5963</v>
      </c>
      <c r="B61" s="17" t="s">
        <v>5346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Sheet5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 Juez</dc:creator>
  <cp:lastModifiedBy>Jamil Juez</cp:lastModifiedBy>
  <dcterms:created xsi:type="dcterms:W3CDTF">2025-02-15T05:09:30Z</dcterms:created>
  <dcterms:modified xsi:type="dcterms:W3CDTF">2026-03-19T02:13:45Z</dcterms:modified>
</cp:coreProperties>
</file>